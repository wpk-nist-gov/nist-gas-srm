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wpk/gits/nist-gas-srm-certificate/nist-gas-srm/src/nist_gas_srm/core/data/"/>
    </mc:Choice>
  </mc:AlternateContent>
  <xr:revisionPtr revIDLastSave="0" documentId="13_ncr:1_{7CF043D9-F64D-8743-92B7-2AACAB5312B1}" xr6:coauthVersionLast="47" xr6:coauthVersionMax="47" xr10:uidLastSave="{00000000-0000-0000-0000-000000000000}"/>
  <bookViews>
    <workbookView xWindow="2000" yWindow="660" windowWidth="27980" windowHeight="21680" tabRatio="500" xr2:uid="{00000000-000D-0000-FFFF-FFFF00000000}"/>
  </bookViews>
  <sheets>
    <sheet name="Ratio Data" sheetId="1" r:id="rId1"/>
    <sheet name="Vendor Data" sheetId="2" r:id="rId2"/>
    <sheet name="Standards Data" sheetId="3" r:id="rId3"/>
    <sheet name="Past LS" sheetId="4" r:id="rId4"/>
    <sheet name="Ratio Analysis" sheetId="5" r:id="rId5"/>
    <sheet name="Std Analysis" sheetId="6" r:id="rId6"/>
    <sheet name="Certified Value" sheetId="7" r:id="rId7"/>
    <sheet name="RCertification" sheetId="8" r:id="rId8"/>
  </sheets>
  <definedNames>
    <definedName name="_xlnm._FilterDatabase" localSheetId="3" hidden="1">'Past LS'!$A$2:$F$2</definedName>
    <definedName name="_xlnm._FilterDatabase" localSheetId="0" hidden="1">'Ratio Data'!$A$1:$I$1412</definedName>
    <definedName name="_xlnm._FilterDatabase" localSheetId="2" hidden="1">'Standards Data'!$A$1:$E$57</definedName>
    <definedName name="_xlnm._FilterDatabase" localSheetId="1" hidden="1">'Vendor Data'!$A$1:$D$1</definedName>
    <definedName name="_xlfn_IFERROR">#REF!</definedName>
    <definedName name="CertifiedValue">'Certified Value'!$C$4</definedName>
    <definedName name="DegFree">'Ratio Analysis'!$F$189</definedName>
    <definedName name="fef">'Certified Value'!$C$4</definedName>
    <definedName name="Intercept">'Std Analysis'!$I$5</definedName>
    <definedName name="MeanRatio">'Ratio Analysis'!$F$187</definedName>
    <definedName name="_xlnm.Print_Area" localSheetId="6">'Certified Value'!$A$1:$H$43</definedName>
    <definedName name="_xlnm.Print_Area" localSheetId="3">'Past LS'!$A$1:$O$16</definedName>
    <definedName name="_xlnm.Print_Area" localSheetId="4">'Ratio Analysis'!$A$1:$Q$191</definedName>
    <definedName name="_xlnm.Print_Area" localSheetId="0">'Ratio Data'!$A$1:$G$65</definedName>
    <definedName name="RatioData">'Ratio Data'!$A$1:$G$1412</definedName>
    <definedName name="RCodeOptions">#REF!</definedName>
    <definedName name="Regdf">'Std Analysis'!$I$7</definedName>
    <definedName name="SConc">'Standards Data'!$D$2:$D$200</definedName>
    <definedName name="ScottData">'Vendor Data'!$D$2:$D$9997</definedName>
    <definedName name="Slope">'Std Analysis'!$I$3</definedName>
    <definedName name="SRatio">'Standards Data'!$C$2:$C$200</definedName>
    <definedName name="StdUnc">'Ratio Analysis'!$F$188</definedName>
    <definedName name="uintercept">'Std Analysis'!$I$6</definedName>
    <definedName name="umb">'Std Analysis'!$I$8</definedName>
    <definedName name="uslope">'Std Analysis'!$I$4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44" i="7" l="1"/>
  <c r="E43" i="7"/>
  <c r="E42" i="7"/>
  <c r="F20" i="7"/>
  <c r="T18" i="6"/>
  <c r="T17" i="6"/>
  <c r="I27" i="6"/>
  <c r="H27" i="6"/>
  <c r="I26" i="6"/>
  <c r="H26" i="6"/>
  <c r="C23" i="6"/>
  <c r="B23" i="6"/>
  <c r="Q49" i="8"/>
  <c r="U49" i="8"/>
  <c r="T49" i="8"/>
  <c r="S49" i="8"/>
  <c r="R49" i="8"/>
  <c r="H2" i="1"/>
  <c r="I2" i="1" s="1"/>
  <c r="Q48" i="8"/>
  <c r="U200" i="8"/>
  <c r="T200" i="8"/>
  <c r="S200" i="8"/>
  <c r="R200" i="8"/>
  <c r="Q200" i="8"/>
  <c r="U199" i="8"/>
  <c r="T199" i="8"/>
  <c r="S199" i="8"/>
  <c r="R199" i="8"/>
  <c r="Q199" i="8"/>
  <c r="U198" i="8"/>
  <c r="T198" i="8"/>
  <c r="S198" i="8"/>
  <c r="R198" i="8"/>
  <c r="Q198" i="8"/>
  <c r="U197" i="8"/>
  <c r="T197" i="8"/>
  <c r="S197" i="8"/>
  <c r="R197" i="8"/>
  <c r="Q197" i="8"/>
  <c r="U196" i="8"/>
  <c r="T196" i="8"/>
  <c r="S196" i="8"/>
  <c r="R196" i="8"/>
  <c r="Q196" i="8"/>
  <c r="U195" i="8"/>
  <c r="T195" i="8"/>
  <c r="S195" i="8"/>
  <c r="R195" i="8"/>
  <c r="Q195" i="8"/>
  <c r="U194" i="8"/>
  <c r="T194" i="8"/>
  <c r="S194" i="8"/>
  <c r="R194" i="8"/>
  <c r="Q194" i="8"/>
  <c r="U193" i="8"/>
  <c r="T193" i="8"/>
  <c r="S193" i="8"/>
  <c r="R193" i="8"/>
  <c r="Q193" i="8"/>
  <c r="U192" i="8"/>
  <c r="T192" i="8"/>
  <c r="S192" i="8"/>
  <c r="R192" i="8"/>
  <c r="Q192" i="8"/>
  <c r="U191" i="8"/>
  <c r="T191" i="8"/>
  <c r="S191" i="8"/>
  <c r="R191" i="8"/>
  <c r="Q191" i="8"/>
  <c r="U190" i="8"/>
  <c r="T190" i="8"/>
  <c r="S190" i="8"/>
  <c r="R190" i="8"/>
  <c r="Q190" i="8"/>
  <c r="U189" i="8"/>
  <c r="T189" i="8"/>
  <c r="S189" i="8"/>
  <c r="R189" i="8"/>
  <c r="Q189" i="8"/>
  <c r="U188" i="8"/>
  <c r="T188" i="8"/>
  <c r="S188" i="8"/>
  <c r="R188" i="8"/>
  <c r="Q188" i="8"/>
  <c r="U187" i="8"/>
  <c r="T187" i="8"/>
  <c r="S187" i="8"/>
  <c r="R187" i="8"/>
  <c r="Q187" i="8"/>
  <c r="U186" i="8"/>
  <c r="T186" i="8"/>
  <c r="S186" i="8"/>
  <c r="R186" i="8"/>
  <c r="Q186" i="8"/>
  <c r="U185" i="8"/>
  <c r="T185" i="8"/>
  <c r="S185" i="8"/>
  <c r="R185" i="8"/>
  <c r="Q185" i="8"/>
  <c r="U184" i="8"/>
  <c r="T184" i="8"/>
  <c r="S184" i="8"/>
  <c r="R184" i="8"/>
  <c r="Q184" i="8"/>
  <c r="U183" i="8"/>
  <c r="T183" i="8"/>
  <c r="S183" i="8"/>
  <c r="R183" i="8"/>
  <c r="Q183" i="8"/>
  <c r="U182" i="8"/>
  <c r="T182" i="8"/>
  <c r="S182" i="8"/>
  <c r="R182" i="8"/>
  <c r="Q182" i="8"/>
  <c r="U181" i="8"/>
  <c r="T181" i="8"/>
  <c r="S181" i="8"/>
  <c r="R181" i="8"/>
  <c r="Q181" i="8"/>
  <c r="U180" i="8"/>
  <c r="T180" i="8"/>
  <c r="S180" i="8"/>
  <c r="R180" i="8"/>
  <c r="Q180" i="8"/>
  <c r="U179" i="8"/>
  <c r="T179" i="8"/>
  <c r="S179" i="8"/>
  <c r="R179" i="8"/>
  <c r="Q179" i="8"/>
  <c r="U178" i="8"/>
  <c r="T178" i="8"/>
  <c r="S178" i="8"/>
  <c r="R178" i="8"/>
  <c r="Q178" i="8"/>
  <c r="U177" i="8"/>
  <c r="T177" i="8"/>
  <c r="S177" i="8"/>
  <c r="R177" i="8"/>
  <c r="Q177" i="8"/>
  <c r="U176" i="8"/>
  <c r="T176" i="8"/>
  <c r="S176" i="8"/>
  <c r="R176" i="8"/>
  <c r="Q176" i="8"/>
  <c r="U175" i="8"/>
  <c r="T175" i="8"/>
  <c r="S175" i="8"/>
  <c r="R175" i="8"/>
  <c r="Q175" i="8"/>
  <c r="U174" i="8"/>
  <c r="T174" i="8"/>
  <c r="S174" i="8"/>
  <c r="R174" i="8"/>
  <c r="Q174" i="8"/>
  <c r="U173" i="8"/>
  <c r="T173" i="8"/>
  <c r="S173" i="8"/>
  <c r="R173" i="8"/>
  <c r="Q173" i="8"/>
  <c r="U172" i="8"/>
  <c r="T172" i="8"/>
  <c r="S172" i="8"/>
  <c r="R172" i="8"/>
  <c r="Q172" i="8"/>
  <c r="U171" i="8"/>
  <c r="T171" i="8"/>
  <c r="S171" i="8"/>
  <c r="R171" i="8"/>
  <c r="Q171" i="8"/>
  <c r="U170" i="8"/>
  <c r="T170" i="8"/>
  <c r="S170" i="8"/>
  <c r="R170" i="8"/>
  <c r="Q170" i="8"/>
  <c r="U169" i="8"/>
  <c r="T169" i="8"/>
  <c r="S169" i="8"/>
  <c r="R169" i="8"/>
  <c r="Q169" i="8"/>
  <c r="U168" i="8"/>
  <c r="T168" i="8"/>
  <c r="S168" i="8"/>
  <c r="R168" i="8"/>
  <c r="Q168" i="8"/>
  <c r="U167" i="8"/>
  <c r="T167" i="8"/>
  <c r="S167" i="8"/>
  <c r="R167" i="8"/>
  <c r="Q167" i="8"/>
  <c r="U166" i="8"/>
  <c r="T166" i="8"/>
  <c r="S166" i="8"/>
  <c r="R166" i="8"/>
  <c r="Q166" i="8"/>
  <c r="U165" i="8"/>
  <c r="T165" i="8"/>
  <c r="S165" i="8"/>
  <c r="R165" i="8"/>
  <c r="Q165" i="8"/>
  <c r="U164" i="8"/>
  <c r="T164" i="8"/>
  <c r="S164" i="8"/>
  <c r="R164" i="8"/>
  <c r="Q164" i="8"/>
  <c r="U163" i="8"/>
  <c r="T163" i="8"/>
  <c r="S163" i="8"/>
  <c r="R163" i="8"/>
  <c r="Q163" i="8"/>
  <c r="U162" i="8"/>
  <c r="T162" i="8"/>
  <c r="S162" i="8"/>
  <c r="R162" i="8"/>
  <c r="Q162" i="8"/>
  <c r="U161" i="8"/>
  <c r="T161" i="8"/>
  <c r="S161" i="8"/>
  <c r="R161" i="8"/>
  <c r="Q161" i="8"/>
  <c r="U160" i="8"/>
  <c r="T160" i="8"/>
  <c r="S160" i="8"/>
  <c r="R160" i="8"/>
  <c r="Q160" i="8"/>
  <c r="U159" i="8"/>
  <c r="T159" i="8"/>
  <c r="S159" i="8"/>
  <c r="R159" i="8"/>
  <c r="Q159" i="8"/>
  <c r="U158" i="8"/>
  <c r="T158" i="8"/>
  <c r="S158" i="8"/>
  <c r="R158" i="8"/>
  <c r="Q158" i="8"/>
  <c r="U157" i="8"/>
  <c r="T157" i="8"/>
  <c r="S157" i="8"/>
  <c r="R157" i="8"/>
  <c r="Q157" i="8"/>
  <c r="U156" i="8"/>
  <c r="T156" i="8"/>
  <c r="S156" i="8"/>
  <c r="R156" i="8"/>
  <c r="Q156" i="8"/>
  <c r="U155" i="8"/>
  <c r="T155" i="8"/>
  <c r="S155" i="8"/>
  <c r="R155" i="8"/>
  <c r="Q155" i="8"/>
  <c r="U154" i="8"/>
  <c r="T154" i="8"/>
  <c r="S154" i="8"/>
  <c r="R154" i="8"/>
  <c r="Q154" i="8"/>
  <c r="U153" i="8"/>
  <c r="T153" i="8"/>
  <c r="S153" i="8"/>
  <c r="R153" i="8"/>
  <c r="Q153" i="8"/>
  <c r="U152" i="8"/>
  <c r="T152" i="8"/>
  <c r="S152" i="8"/>
  <c r="R152" i="8"/>
  <c r="Q152" i="8"/>
  <c r="U151" i="8"/>
  <c r="T151" i="8"/>
  <c r="S151" i="8"/>
  <c r="R151" i="8"/>
  <c r="Q151" i="8"/>
  <c r="U150" i="8"/>
  <c r="T150" i="8"/>
  <c r="S150" i="8"/>
  <c r="R150" i="8"/>
  <c r="Q150" i="8"/>
  <c r="U149" i="8"/>
  <c r="T149" i="8"/>
  <c r="S149" i="8"/>
  <c r="R149" i="8"/>
  <c r="Q149" i="8"/>
  <c r="U148" i="8"/>
  <c r="T148" i="8"/>
  <c r="S148" i="8"/>
  <c r="R148" i="8"/>
  <c r="Q148" i="8"/>
  <c r="U147" i="8"/>
  <c r="T147" i="8"/>
  <c r="S147" i="8"/>
  <c r="R147" i="8"/>
  <c r="Q147" i="8"/>
  <c r="U146" i="8"/>
  <c r="T146" i="8"/>
  <c r="S146" i="8"/>
  <c r="R146" i="8"/>
  <c r="Q146" i="8"/>
  <c r="U145" i="8"/>
  <c r="T145" i="8"/>
  <c r="S145" i="8"/>
  <c r="R145" i="8"/>
  <c r="Q145" i="8"/>
  <c r="U144" i="8"/>
  <c r="T144" i="8"/>
  <c r="S144" i="8"/>
  <c r="R144" i="8"/>
  <c r="Q144" i="8"/>
  <c r="U143" i="8"/>
  <c r="T143" i="8"/>
  <c r="S143" i="8"/>
  <c r="R143" i="8"/>
  <c r="Q143" i="8"/>
  <c r="U142" i="8"/>
  <c r="T142" i="8"/>
  <c r="S142" i="8"/>
  <c r="R142" i="8"/>
  <c r="Q142" i="8"/>
  <c r="U141" i="8"/>
  <c r="T141" i="8"/>
  <c r="S141" i="8"/>
  <c r="R141" i="8"/>
  <c r="Q141" i="8"/>
  <c r="U140" i="8"/>
  <c r="T140" i="8"/>
  <c r="S140" i="8"/>
  <c r="R140" i="8"/>
  <c r="Q140" i="8"/>
  <c r="U139" i="8"/>
  <c r="T139" i="8"/>
  <c r="S139" i="8"/>
  <c r="R139" i="8"/>
  <c r="Q139" i="8"/>
  <c r="U138" i="8"/>
  <c r="T138" i="8"/>
  <c r="S138" i="8"/>
  <c r="R138" i="8"/>
  <c r="Q138" i="8"/>
  <c r="U137" i="8"/>
  <c r="T137" i="8"/>
  <c r="S137" i="8"/>
  <c r="R137" i="8"/>
  <c r="Q137" i="8"/>
  <c r="U136" i="8"/>
  <c r="T136" i="8"/>
  <c r="S136" i="8"/>
  <c r="R136" i="8"/>
  <c r="Q136" i="8"/>
  <c r="U135" i="8"/>
  <c r="T135" i="8"/>
  <c r="S135" i="8"/>
  <c r="R135" i="8"/>
  <c r="Q135" i="8"/>
  <c r="U134" i="8"/>
  <c r="T134" i="8"/>
  <c r="S134" i="8"/>
  <c r="R134" i="8"/>
  <c r="Q134" i="8"/>
  <c r="U133" i="8"/>
  <c r="T133" i="8"/>
  <c r="S133" i="8"/>
  <c r="R133" i="8"/>
  <c r="Q133" i="8"/>
  <c r="U132" i="8"/>
  <c r="T132" i="8"/>
  <c r="S132" i="8"/>
  <c r="R132" i="8"/>
  <c r="Q132" i="8"/>
  <c r="U131" i="8"/>
  <c r="T131" i="8"/>
  <c r="S131" i="8"/>
  <c r="R131" i="8"/>
  <c r="Q131" i="8"/>
  <c r="U130" i="8"/>
  <c r="T130" i="8"/>
  <c r="S130" i="8"/>
  <c r="R130" i="8"/>
  <c r="Q130" i="8"/>
  <c r="U129" i="8"/>
  <c r="T129" i="8"/>
  <c r="S129" i="8"/>
  <c r="R129" i="8"/>
  <c r="Q129" i="8"/>
  <c r="U128" i="8"/>
  <c r="T128" i="8"/>
  <c r="S128" i="8"/>
  <c r="R128" i="8"/>
  <c r="Q128" i="8"/>
  <c r="U127" i="8"/>
  <c r="T127" i="8"/>
  <c r="S127" i="8"/>
  <c r="R127" i="8"/>
  <c r="Q127" i="8"/>
  <c r="U126" i="8"/>
  <c r="T126" i="8"/>
  <c r="S126" i="8"/>
  <c r="R126" i="8"/>
  <c r="Q126" i="8"/>
  <c r="U125" i="8"/>
  <c r="T125" i="8"/>
  <c r="S125" i="8"/>
  <c r="R125" i="8"/>
  <c r="Q125" i="8"/>
  <c r="U124" i="8"/>
  <c r="T124" i="8"/>
  <c r="S124" i="8"/>
  <c r="R124" i="8"/>
  <c r="Q124" i="8"/>
  <c r="U123" i="8"/>
  <c r="T123" i="8"/>
  <c r="S123" i="8"/>
  <c r="R123" i="8"/>
  <c r="Q123" i="8"/>
  <c r="U122" i="8"/>
  <c r="T122" i="8"/>
  <c r="S122" i="8"/>
  <c r="R122" i="8"/>
  <c r="Q122" i="8"/>
  <c r="U121" i="8"/>
  <c r="T121" i="8"/>
  <c r="S121" i="8"/>
  <c r="R121" i="8"/>
  <c r="Q121" i="8"/>
  <c r="U120" i="8"/>
  <c r="T120" i="8"/>
  <c r="S120" i="8"/>
  <c r="R120" i="8"/>
  <c r="Q120" i="8"/>
  <c r="U119" i="8"/>
  <c r="T119" i="8"/>
  <c r="S119" i="8"/>
  <c r="R119" i="8"/>
  <c r="Q119" i="8"/>
  <c r="U118" i="8"/>
  <c r="T118" i="8"/>
  <c r="S118" i="8"/>
  <c r="R118" i="8"/>
  <c r="Q118" i="8"/>
  <c r="U117" i="8"/>
  <c r="T117" i="8"/>
  <c r="S117" i="8"/>
  <c r="R117" i="8"/>
  <c r="Q117" i="8"/>
  <c r="U116" i="8"/>
  <c r="T116" i="8"/>
  <c r="S116" i="8"/>
  <c r="R116" i="8"/>
  <c r="Q116" i="8"/>
  <c r="U115" i="8"/>
  <c r="T115" i="8"/>
  <c r="S115" i="8"/>
  <c r="R115" i="8"/>
  <c r="Q115" i="8"/>
  <c r="U114" i="8"/>
  <c r="T114" i="8"/>
  <c r="S114" i="8"/>
  <c r="R114" i="8"/>
  <c r="Q114" i="8"/>
  <c r="U113" i="8"/>
  <c r="T113" i="8"/>
  <c r="S113" i="8"/>
  <c r="R113" i="8"/>
  <c r="Q113" i="8"/>
  <c r="U112" i="8"/>
  <c r="T112" i="8"/>
  <c r="S112" i="8"/>
  <c r="R112" i="8"/>
  <c r="Q112" i="8"/>
  <c r="U111" i="8"/>
  <c r="T111" i="8"/>
  <c r="S111" i="8"/>
  <c r="R111" i="8"/>
  <c r="Q111" i="8"/>
  <c r="U110" i="8"/>
  <c r="T110" i="8"/>
  <c r="S110" i="8"/>
  <c r="R110" i="8"/>
  <c r="Q110" i="8"/>
  <c r="U109" i="8"/>
  <c r="T109" i="8"/>
  <c r="S109" i="8"/>
  <c r="R109" i="8"/>
  <c r="Q109" i="8"/>
  <c r="U108" i="8"/>
  <c r="T108" i="8"/>
  <c r="S108" i="8"/>
  <c r="R108" i="8"/>
  <c r="Q108" i="8"/>
  <c r="U107" i="8"/>
  <c r="T107" i="8"/>
  <c r="S107" i="8"/>
  <c r="R107" i="8"/>
  <c r="Q107" i="8"/>
  <c r="U106" i="8"/>
  <c r="T106" i="8"/>
  <c r="S106" i="8"/>
  <c r="R106" i="8"/>
  <c r="Q106" i="8"/>
  <c r="U105" i="8"/>
  <c r="T105" i="8"/>
  <c r="S105" i="8"/>
  <c r="R105" i="8"/>
  <c r="Q105" i="8"/>
  <c r="U104" i="8"/>
  <c r="T104" i="8"/>
  <c r="S104" i="8"/>
  <c r="R104" i="8"/>
  <c r="Q104" i="8"/>
  <c r="U103" i="8"/>
  <c r="T103" i="8"/>
  <c r="S103" i="8"/>
  <c r="R103" i="8"/>
  <c r="Q103" i="8"/>
  <c r="U102" i="8"/>
  <c r="T102" i="8"/>
  <c r="S102" i="8"/>
  <c r="R102" i="8"/>
  <c r="Q102" i="8"/>
  <c r="U101" i="8"/>
  <c r="T101" i="8"/>
  <c r="S101" i="8"/>
  <c r="R101" i="8"/>
  <c r="Q101" i="8"/>
  <c r="U100" i="8"/>
  <c r="T100" i="8"/>
  <c r="S100" i="8"/>
  <c r="R100" i="8"/>
  <c r="Q100" i="8"/>
  <c r="U99" i="8"/>
  <c r="T99" i="8"/>
  <c r="S99" i="8"/>
  <c r="R99" i="8"/>
  <c r="Q99" i="8"/>
  <c r="U98" i="8"/>
  <c r="T98" i="8"/>
  <c r="S98" i="8"/>
  <c r="R98" i="8"/>
  <c r="Q98" i="8"/>
  <c r="U97" i="8"/>
  <c r="T97" i="8"/>
  <c r="S97" i="8"/>
  <c r="R97" i="8"/>
  <c r="Q97" i="8"/>
  <c r="U96" i="8"/>
  <c r="T96" i="8"/>
  <c r="S96" i="8"/>
  <c r="R96" i="8"/>
  <c r="Q96" i="8"/>
  <c r="U95" i="8"/>
  <c r="T95" i="8"/>
  <c r="S95" i="8"/>
  <c r="R95" i="8"/>
  <c r="Q95" i="8"/>
  <c r="U94" i="8"/>
  <c r="T94" i="8"/>
  <c r="S94" i="8"/>
  <c r="R94" i="8"/>
  <c r="Q94" i="8"/>
  <c r="U93" i="8"/>
  <c r="T93" i="8"/>
  <c r="S93" i="8"/>
  <c r="R93" i="8"/>
  <c r="Q93" i="8"/>
  <c r="U92" i="8"/>
  <c r="T92" i="8"/>
  <c r="S92" i="8"/>
  <c r="R92" i="8"/>
  <c r="Q92" i="8"/>
  <c r="U91" i="8"/>
  <c r="T91" i="8"/>
  <c r="S91" i="8"/>
  <c r="R91" i="8"/>
  <c r="Q91" i="8"/>
  <c r="U90" i="8"/>
  <c r="T90" i="8"/>
  <c r="S90" i="8"/>
  <c r="R90" i="8"/>
  <c r="Q90" i="8"/>
  <c r="U89" i="8"/>
  <c r="T89" i="8"/>
  <c r="S89" i="8"/>
  <c r="R89" i="8"/>
  <c r="Q89" i="8"/>
  <c r="U88" i="8"/>
  <c r="T88" i="8"/>
  <c r="S88" i="8"/>
  <c r="R88" i="8"/>
  <c r="Q88" i="8"/>
  <c r="U87" i="8"/>
  <c r="T87" i="8"/>
  <c r="S87" i="8"/>
  <c r="R87" i="8"/>
  <c r="Q87" i="8"/>
  <c r="U86" i="8"/>
  <c r="T86" i="8"/>
  <c r="S86" i="8"/>
  <c r="R86" i="8"/>
  <c r="Q86" i="8"/>
  <c r="U85" i="8"/>
  <c r="T85" i="8"/>
  <c r="S85" i="8"/>
  <c r="R85" i="8"/>
  <c r="Q85" i="8"/>
  <c r="U84" i="8"/>
  <c r="T84" i="8"/>
  <c r="S84" i="8"/>
  <c r="R84" i="8"/>
  <c r="Q84" i="8"/>
  <c r="U83" i="8"/>
  <c r="T83" i="8"/>
  <c r="S83" i="8"/>
  <c r="R83" i="8"/>
  <c r="Q83" i="8"/>
  <c r="U82" i="8"/>
  <c r="T82" i="8"/>
  <c r="S82" i="8"/>
  <c r="R82" i="8"/>
  <c r="Q82" i="8"/>
  <c r="U81" i="8"/>
  <c r="T81" i="8"/>
  <c r="S81" i="8"/>
  <c r="R81" i="8"/>
  <c r="Q81" i="8"/>
  <c r="U80" i="8"/>
  <c r="T80" i="8"/>
  <c r="S80" i="8"/>
  <c r="R80" i="8"/>
  <c r="Q80" i="8"/>
  <c r="U79" i="8"/>
  <c r="T79" i="8"/>
  <c r="S79" i="8"/>
  <c r="R79" i="8"/>
  <c r="Q79" i="8"/>
  <c r="U78" i="8"/>
  <c r="T78" i="8"/>
  <c r="S78" i="8"/>
  <c r="R78" i="8"/>
  <c r="Q78" i="8"/>
  <c r="U77" i="8"/>
  <c r="T77" i="8"/>
  <c r="S77" i="8"/>
  <c r="R77" i="8"/>
  <c r="Q77" i="8"/>
  <c r="U76" i="8"/>
  <c r="T76" i="8"/>
  <c r="S76" i="8"/>
  <c r="R76" i="8"/>
  <c r="Q76" i="8"/>
  <c r="U75" i="8"/>
  <c r="T75" i="8"/>
  <c r="S75" i="8"/>
  <c r="R75" i="8"/>
  <c r="Q75" i="8"/>
  <c r="U74" i="8"/>
  <c r="T74" i="8"/>
  <c r="S74" i="8"/>
  <c r="R74" i="8"/>
  <c r="Q74" i="8"/>
  <c r="U73" i="8"/>
  <c r="T73" i="8"/>
  <c r="S73" i="8"/>
  <c r="R73" i="8"/>
  <c r="Q73" i="8"/>
  <c r="U72" i="8"/>
  <c r="T72" i="8"/>
  <c r="S72" i="8"/>
  <c r="R72" i="8"/>
  <c r="Q72" i="8"/>
  <c r="U71" i="8"/>
  <c r="T71" i="8"/>
  <c r="S71" i="8"/>
  <c r="R71" i="8"/>
  <c r="Q71" i="8"/>
  <c r="U70" i="8"/>
  <c r="T70" i="8"/>
  <c r="S70" i="8"/>
  <c r="R70" i="8"/>
  <c r="Q70" i="8"/>
  <c r="U69" i="8"/>
  <c r="T69" i="8"/>
  <c r="S69" i="8"/>
  <c r="R69" i="8"/>
  <c r="Q69" i="8"/>
  <c r="U68" i="8"/>
  <c r="T68" i="8"/>
  <c r="S68" i="8"/>
  <c r="R68" i="8"/>
  <c r="Q68" i="8"/>
  <c r="U67" i="8"/>
  <c r="T67" i="8"/>
  <c r="S67" i="8"/>
  <c r="R67" i="8"/>
  <c r="Q67" i="8"/>
  <c r="U66" i="8"/>
  <c r="T66" i="8"/>
  <c r="S66" i="8"/>
  <c r="R66" i="8"/>
  <c r="Q66" i="8"/>
  <c r="U65" i="8"/>
  <c r="T65" i="8"/>
  <c r="S65" i="8"/>
  <c r="R65" i="8"/>
  <c r="Q65" i="8"/>
  <c r="U64" i="8"/>
  <c r="T64" i="8"/>
  <c r="S64" i="8"/>
  <c r="R64" i="8"/>
  <c r="Q64" i="8"/>
  <c r="U63" i="8"/>
  <c r="T63" i="8"/>
  <c r="S63" i="8"/>
  <c r="R63" i="8"/>
  <c r="Q63" i="8"/>
  <c r="U62" i="8"/>
  <c r="T62" i="8"/>
  <c r="S62" i="8"/>
  <c r="R62" i="8"/>
  <c r="Q62" i="8"/>
  <c r="U61" i="8"/>
  <c r="T61" i="8"/>
  <c r="S61" i="8"/>
  <c r="R61" i="8"/>
  <c r="Q61" i="8"/>
  <c r="U60" i="8"/>
  <c r="T60" i="8"/>
  <c r="S60" i="8"/>
  <c r="R60" i="8"/>
  <c r="Q60" i="8"/>
  <c r="U59" i="8"/>
  <c r="T59" i="8"/>
  <c r="S59" i="8"/>
  <c r="R59" i="8"/>
  <c r="Q59" i="8"/>
  <c r="U58" i="8"/>
  <c r="T58" i="8"/>
  <c r="S58" i="8"/>
  <c r="R58" i="8"/>
  <c r="Q58" i="8"/>
  <c r="U57" i="8"/>
  <c r="T57" i="8"/>
  <c r="S57" i="8"/>
  <c r="R57" i="8"/>
  <c r="Q57" i="8"/>
  <c r="U56" i="8"/>
  <c r="T56" i="8"/>
  <c r="S56" i="8"/>
  <c r="R56" i="8"/>
  <c r="Q56" i="8"/>
  <c r="U55" i="8"/>
  <c r="T55" i="8"/>
  <c r="S55" i="8"/>
  <c r="R55" i="8"/>
  <c r="Q55" i="8"/>
  <c r="U54" i="8"/>
  <c r="T54" i="8"/>
  <c r="S54" i="8"/>
  <c r="R54" i="8"/>
  <c r="Q54" i="8"/>
  <c r="U53" i="8"/>
  <c r="T53" i="8"/>
  <c r="S53" i="8"/>
  <c r="R53" i="8"/>
  <c r="Q53" i="8"/>
  <c r="U52" i="8"/>
  <c r="T52" i="8"/>
  <c r="S52" i="8"/>
  <c r="R52" i="8"/>
  <c r="Q52" i="8"/>
  <c r="U51" i="8"/>
  <c r="T51" i="8"/>
  <c r="S51" i="8"/>
  <c r="R51" i="8"/>
  <c r="Q51" i="8"/>
  <c r="U50" i="8"/>
  <c r="T50" i="8"/>
  <c r="S50" i="8"/>
  <c r="R50" i="8"/>
  <c r="Q50" i="8"/>
  <c r="U48" i="8"/>
  <c r="T48" i="8"/>
  <c r="S48" i="8"/>
  <c r="R48" i="8"/>
  <c r="AE166" i="8"/>
  <c r="AD166" i="8"/>
  <c r="AE165" i="8"/>
  <c r="AD165" i="8"/>
  <c r="AE164" i="8"/>
  <c r="AD164" i="8"/>
  <c r="AE163" i="8"/>
  <c r="AD163" i="8"/>
  <c r="AE162" i="8"/>
  <c r="AD162" i="8"/>
  <c r="AE161" i="8"/>
  <c r="AD161" i="8"/>
  <c r="AE160" i="8"/>
  <c r="AD160" i="8"/>
  <c r="AE159" i="8"/>
  <c r="AD159" i="8"/>
  <c r="AE158" i="8"/>
  <c r="AD158" i="8"/>
  <c r="H76" i="8"/>
  <c r="G76" i="8"/>
  <c r="F76" i="8"/>
  <c r="H75" i="8"/>
  <c r="G75" i="8"/>
  <c r="F75" i="8"/>
  <c r="H74" i="8"/>
  <c r="G74" i="8"/>
  <c r="F74" i="8"/>
  <c r="H73" i="8"/>
  <c r="G73" i="8"/>
  <c r="F73" i="8"/>
  <c r="I69" i="8"/>
  <c r="H69" i="8"/>
  <c r="G69" i="8"/>
  <c r="F69" i="8"/>
  <c r="I68" i="8"/>
  <c r="H68" i="8"/>
  <c r="G68" i="8"/>
  <c r="F68" i="8"/>
  <c r="I67" i="8"/>
  <c r="H67" i="8"/>
  <c r="G67" i="8"/>
  <c r="F67" i="8"/>
  <c r="I66" i="8"/>
  <c r="H66" i="8"/>
  <c r="G66" i="8"/>
  <c r="F66" i="8"/>
  <c r="I65" i="8"/>
  <c r="H65" i="8"/>
  <c r="G65" i="8"/>
  <c r="F65" i="8"/>
  <c r="I64" i="8"/>
  <c r="H64" i="8"/>
  <c r="G64" i="8"/>
  <c r="F64" i="8"/>
  <c r="I63" i="8"/>
  <c r="H63" i="8"/>
  <c r="G63" i="8"/>
  <c r="F63" i="8"/>
  <c r="I62" i="8"/>
  <c r="H62" i="8"/>
  <c r="G62" i="8"/>
  <c r="F62" i="8"/>
  <c r="I61" i="8"/>
  <c r="H61" i="8"/>
  <c r="G61" i="8"/>
  <c r="F61" i="8"/>
  <c r="I60" i="8"/>
  <c r="H60" i="8"/>
  <c r="G60" i="8"/>
  <c r="F60" i="8"/>
  <c r="K51" i="8"/>
  <c r="J51" i="8"/>
  <c r="I51" i="8"/>
  <c r="K50" i="8"/>
  <c r="J50" i="8"/>
  <c r="I50" i="8"/>
  <c r="K49" i="8"/>
  <c r="J49" i="8"/>
  <c r="K48" i="8"/>
  <c r="J48" i="8"/>
  <c r="F44" i="7"/>
  <c r="G44" i="7"/>
  <c r="C44" i="7"/>
  <c r="J43" i="7"/>
  <c r="F43" i="7"/>
  <c r="G43" i="7"/>
  <c r="C43" i="7"/>
  <c r="F42" i="7"/>
  <c r="D4" i="7"/>
  <c r="S69" i="6"/>
  <c r="S68" i="6"/>
  <c r="S67" i="6"/>
  <c r="S66" i="6"/>
  <c r="S65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6" i="6"/>
  <c r="J34" i="6"/>
  <c r="U12" i="6"/>
  <c r="T12" i="6"/>
  <c r="I7" i="6"/>
  <c r="F28" i="7" s="1"/>
  <c r="I6" i="6"/>
  <c r="D12" i="7" s="1"/>
  <c r="C55" i="8"/>
  <c r="C56" i="8" s="1"/>
  <c r="L13" i="1"/>
  <c r="I5" i="6"/>
  <c r="C4" i="7" s="1"/>
  <c r="I4" i="6"/>
  <c r="D11" i="7" s="1"/>
  <c r="D4" i="6"/>
  <c r="I8" i="6" s="1"/>
  <c r="D13" i="7" s="1"/>
  <c r="I3" i="6"/>
  <c r="D3" i="6"/>
  <c r="L2" i="6"/>
  <c r="AB200" i="5"/>
  <c r="Z200" i="5"/>
  <c r="AB199" i="5"/>
  <c r="Z199" i="5"/>
  <c r="AB198" i="5"/>
  <c r="Z198" i="5"/>
  <c r="AB197" i="5"/>
  <c r="Z197" i="5"/>
  <c r="AB196" i="5"/>
  <c r="Z196" i="5"/>
  <c r="AB195" i="5"/>
  <c r="Z195" i="5"/>
  <c r="AB194" i="5"/>
  <c r="Z194" i="5"/>
  <c r="AB193" i="5"/>
  <c r="Z193" i="5"/>
  <c r="AB192" i="5"/>
  <c r="Z192" i="5"/>
  <c r="AB191" i="5"/>
  <c r="Z191" i="5"/>
  <c r="AB190" i="5"/>
  <c r="Z190" i="5"/>
  <c r="AB189" i="5"/>
  <c r="Z189" i="5"/>
  <c r="AB188" i="5"/>
  <c r="Z188" i="5"/>
  <c r="AB187" i="5"/>
  <c r="Z187" i="5"/>
  <c r="AB186" i="5"/>
  <c r="Z186" i="5"/>
  <c r="AB185" i="5"/>
  <c r="Z185" i="5"/>
  <c r="AB184" i="5"/>
  <c r="Z184" i="5"/>
  <c r="AB183" i="5"/>
  <c r="Z183" i="5"/>
  <c r="AB182" i="5"/>
  <c r="Z182" i="5"/>
  <c r="AB181" i="5"/>
  <c r="Z181" i="5"/>
  <c r="AB180" i="5"/>
  <c r="Z180" i="5"/>
  <c r="AB179" i="5"/>
  <c r="Z179" i="5"/>
  <c r="AB178" i="5"/>
  <c r="Z178" i="5"/>
  <c r="AB177" i="5"/>
  <c r="Z177" i="5"/>
  <c r="AB176" i="5"/>
  <c r="Z176" i="5"/>
  <c r="AB175" i="5"/>
  <c r="Z175" i="5"/>
  <c r="AB174" i="5"/>
  <c r="Z174" i="5"/>
  <c r="AB173" i="5"/>
  <c r="Z173" i="5"/>
  <c r="AB172" i="5"/>
  <c r="Z172" i="5"/>
  <c r="AB171" i="5"/>
  <c r="Z171" i="5"/>
  <c r="AB170" i="5"/>
  <c r="Z170" i="5"/>
  <c r="AB169" i="5"/>
  <c r="Z169" i="5"/>
  <c r="AB168" i="5"/>
  <c r="Z168" i="5"/>
  <c r="AB167" i="5"/>
  <c r="Z167" i="5"/>
  <c r="AB166" i="5"/>
  <c r="Z166" i="5"/>
  <c r="AB165" i="5"/>
  <c r="Z165" i="5"/>
  <c r="AB164" i="5"/>
  <c r="Z164" i="5"/>
  <c r="AB163" i="5"/>
  <c r="Z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B162" i="5"/>
  <c r="Z162" i="5"/>
  <c r="N162" i="5"/>
  <c r="N164" i="5" s="1"/>
  <c r="M162" i="5"/>
  <c r="M164" i="5" s="1"/>
  <c r="L162" i="5"/>
  <c r="L164" i="5" s="1"/>
  <c r="K162" i="5"/>
  <c r="K164" i="5" s="1"/>
  <c r="J162" i="5"/>
  <c r="J164" i="5" s="1"/>
  <c r="I162" i="5"/>
  <c r="I164" i="5" s="1"/>
  <c r="H162" i="5"/>
  <c r="H164" i="5" s="1"/>
  <c r="G162" i="5"/>
  <c r="G164" i="5" s="1"/>
  <c r="F162" i="5"/>
  <c r="F164" i="5" s="1"/>
  <c r="E162" i="5"/>
  <c r="E164" i="5" s="1"/>
  <c r="D162" i="5"/>
  <c r="D164" i="5" s="1"/>
  <c r="C162" i="5"/>
  <c r="C164" i="5" s="1"/>
  <c r="B162" i="5"/>
  <c r="B164" i="5" s="1"/>
  <c r="AB161" i="5"/>
  <c r="Z161" i="5"/>
  <c r="AB160" i="5"/>
  <c r="Z160" i="5"/>
  <c r="AB159" i="5"/>
  <c r="Z159" i="5"/>
  <c r="AB158" i="5"/>
  <c r="Z158" i="5"/>
  <c r="AB157" i="5"/>
  <c r="Z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B156" i="5"/>
  <c r="Z156" i="5"/>
  <c r="N156" i="5"/>
  <c r="N158" i="5" s="1"/>
  <c r="M156" i="5"/>
  <c r="M158" i="5" s="1"/>
  <c r="L156" i="5"/>
  <c r="L158" i="5" s="1"/>
  <c r="K156" i="5"/>
  <c r="K158" i="5" s="1"/>
  <c r="J156" i="5"/>
  <c r="J158" i="5" s="1"/>
  <c r="I156" i="5"/>
  <c r="I158" i="5" s="1"/>
  <c r="H156" i="5"/>
  <c r="H158" i="5" s="1"/>
  <c r="G156" i="5"/>
  <c r="G158" i="5" s="1"/>
  <c r="F156" i="5"/>
  <c r="F158" i="5" s="1"/>
  <c r="E156" i="5"/>
  <c r="E158" i="5" s="1"/>
  <c r="D156" i="5"/>
  <c r="D158" i="5" s="1"/>
  <c r="C156" i="5"/>
  <c r="C158" i="5" s="1"/>
  <c r="B156" i="5"/>
  <c r="AB155" i="5"/>
  <c r="Z155" i="5"/>
  <c r="AB154" i="5"/>
  <c r="Z154" i="5"/>
  <c r="AB153" i="5"/>
  <c r="Z153" i="5"/>
  <c r="AB152" i="5"/>
  <c r="Z152" i="5"/>
  <c r="AB151" i="5"/>
  <c r="Z151" i="5"/>
  <c r="AB150" i="5"/>
  <c r="Z150" i="5"/>
  <c r="AB149" i="5"/>
  <c r="Z149" i="5"/>
  <c r="AB148" i="5"/>
  <c r="Z148" i="5"/>
  <c r="AB147" i="5"/>
  <c r="Z147" i="5"/>
  <c r="AB146" i="5"/>
  <c r="Z146" i="5"/>
  <c r="AB145" i="5"/>
  <c r="Z145" i="5"/>
  <c r="AB144" i="5"/>
  <c r="Z144" i="5"/>
  <c r="AB143" i="5"/>
  <c r="Z143" i="5"/>
  <c r="AB142" i="5"/>
  <c r="Z142" i="5"/>
  <c r="AB141" i="5"/>
  <c r="Z141" i="5"/>
  <c r="B141" i="5"/>
  <c r="AB140" i="5"/>
  <c r="Z140" i="5"/>
  <c r="C140" i="5"/>
  <c r="AB139" i="5"/>
  <c r="Z139" i="5"/>
  <c r="AB138" i="5"/>
  <c r="Z138" i="5"/>
  <c r="AB137" i="5"/>
  <c r="Z137" i="5"/>
  <c r="AB136" i="5"/>
  <c r="Z136" i="5"/>
  <c r="AB135" i="5"/>
  <c r="Z135" i="5"/>
  <c r="B135" i="5"/>
  <c r="AB134" i="5"/>
  <c r="Z134" i="5"/>
  <c r="C134" i="5"/>
  <c r="AB133" i="5"/>
  <c r="Z133" i="5"/>
  <c r="AB132" i="5"/>
  <c r="Z132" i="5"/>
  <c r="AB131" i="5"/>
  <c r="Z131" i="5"/>
  <c r="AB130" i="5"/>
  <c r="Z130" i="5"/>
  <c r="AB129" i="5"/>
  <c r="Z129" i="5"/>
  <c r="B129" i="5"/>
  <c r="AB128" i="5"/>
  <c r="Z128" i="5"/>
  <c r="C128" i="5"/>
  <c r="AB127" i="5"/>
  <c r="Z127" i="5"/>
  <c r="AB126" i="5"/>
  <c r="Z126" i="5"/>
  <c r="AB125" i="5"/>
  <c r="Z125" i="5"/>
  <c r="AB124" i="5"/>
  <c r="Z124" i="5"/>
  <c r="AB123" i="5"/>
  <c r="Z123" i="5"/>
  <c r="B123" i="5"/>
  <c r="AB122" i="5"/>
  <c r="Z122" i="5"/>
  <c r="C122" i="5"/>
  <c r="AB121" i="5"/>
  <c r="Z121" i="5"/>
  <c r="AB120" i="5"/>
  <c r="Z120" i="5"/>
  <c r="AB119" i="5"/>
  <c r="Z119" i="5"/>
  <c r="AB118" i="5"/>
  <c r="Z118" i="5"/>
  <c r="AB117" i="5"/>
  <c r="Z117" i="5"/>
  <c r="AB116" i="5"/>
  <c r="Z116" i="5"/>
  <c r="AB115" i="5"/>
  <c r="Z115" i="5"/>
  <c r="AB114" i="5"/>
  <c r="Z114" i="5"/>
  <c r="AB113" i="5"/>
  <c r="Z113" i="5"/>
  <c r="AB112" i="5"/>
  <c r="Z112" i="5"/>
  <c r="AB111" i="5"/>
  <c r="Z111" i="5"/>
  <c r="AB110" i="5"/>
  <c r="Z110" i="5"/>
  <c r="AB109" i="5"/>
  <c r="Z109" i="5"/>
  <c r="AB108" i="5"/>
  <c r="Z108" i="5"/>
  <c r="AB107" i="5"/>
  <c r="Z107" i="5"/>
  <c r="AB106" i="5"/>
  <c r="Z106" i="5"/>
  <c r="AB105" i="5"/>
  <c r="Z105" i="5"/>
  <c r="AB104" i="5"/>
  <c r="Z104" i="5"/>
  <c r="AB103" i="5"/>
  <c r="Z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B102" i="5"/>
  <c r="Z102" i="5"/>
  <c r="AB101" i="5"/>
  <c r="Z101" i="5"/>
  <c r="AB100" i="5"/>
  <c r="Z100" i="5"/>
  <c r="AB99" i="5"/>
  <c r="Z99" i="5"/>
  <c r="AB98" i="5"/>
  <c r="Z98" i="5"/>
  <c r="AB97" i="5"/>
  <c r="Z97" i="5"/>
  <c r="AB96" i="5"/>
  <c r="Z96" i="5"/>
  <c r="AB95" i="5"/>
  <c r="Z95" i="5"/>
  <c r="AB94" i="5"/>
  <c r="Z94" i="5"/>
  <c r="AB93" i="5"/>
  <c r="Z93" i="5"/>
  <c r="AB92" i="5"/>
  <c r="Z92" i="5"/>
  <c r="AB91" i="5"/>
  <c r="Z91" i="5"/>
  <c r="AB90" i="5"/>
  <c r="Z90" i="5"/>
  <c r="B90" i="5"/>
  <c r="AB89" i="5"/>
  <c r="Z89" i="5"/>
  <c r="AB88" i="5"/>
  <c r="Z88" i="5"/>
  <c r="B88" i="5"/>
  <c r="B89" i="5" s="1"/>
  <c r="AB87" i="5"/>
  <c r="Z87" i="5"/>
  <c r="C87" i="5"/>
  <c r="AB86" i="5"/>
  <c r="Z86" i="5"/>
  <c r="AB85" i="5"/>
  <c r="Z85" i="5"/>
  <c r="AB84" i="5"/>
  <c r="Z84" i="5"/>
  <c r="AB83" i="5"/>
  <c r="Z83" i="5"/>
  <c r="AB82" i="5"/>
  <c r="Z82" i="5"/>
  <c r="B82" i="5"/>
  <c r="AB81" i="5"/>
  <c r="Z81" i="5"/>
  <c r="C81" i="5"/>
  <c r="AB80" i="5"/>
  <c r="Z80" i="5"/>
  <c r="AB79" i="5"/>
  <c r="Z79" i="5"/>
  <c r="AB78" i="5"/>
  <c r="Z78" i="5"/>
  <c r="AB77" i="5"/>
  <c r="Z77" i="5"/>
  <c r="AB76" i="5"/>
  <c r="Z76" i="5"/>
  <c r="B76" i="5"/>
  <c r="AB75" i="5"/>
  <c r="Z75" i="5"/>
  <c r="C75" i="5"/>
  <c r="AB74" i="5"/>
  <c r="Z74" i="5"/>
  <c r="AB73" i="5"/>
  <c r="Z73" i="5"/>
  <c r="AB72" i="5"/>
  <c r="Z72" i="5"/>
  <c r="AB71" i="5"/>
  <c r="Z71" i="5"/>
  <c r="AB70" i="5"/>
  <c r="Z70" i="5"/>
  <c r="B70" i="5"/>
  <c r="AB69" i="5"/>
  <c r="Z69" i="5"/>
  <c r="C69" i="5"/>
  <c r="AB68" i="5"/>
  <c r="Z68" i="5"/>
  <c r="AB67" i="5"/>
  <c r="Z67" i="5"/>
  <c r="AB66" i="5"/>
  <c r="Z66" i="5"/>
  <c r="AB65" i="5"/>
  <c r="Z65" i="5"/>
  <c r="AB64" i="5"/>
  <c r="Z64" i="5"/>
  <c r="B64" i="5"/>
  <c r="AB63" i="5"/>
  <c r="Z63" i="5"/>
  <c r="C63" i="5"/>
  <c r="AB62" i="5"/>
  <c r="Z62" i="5"/>
  <c r="AB61" i="5"/>
  <c r="Z61" i="5"/>
  <c r="AB60" i="5"/>
  <c r="Z60" i="5"/>
  <c r="AB59" i="5"/>
  <c r="Z59" i="5"/>
  <c r="AB58" i="5"/>
  <c r="Z58" i="5"/>
  <c r="B58" i="5"/>
  <c r="AB57" i="5"/>
  <c r="Z57" i="5"/>
  <c r="C57" i="5"/>
  <c r="AB56" i="5"/>
  <c r="Z56" i="5"/>
  <c r="AB55" i="5"/>
  <c r="Z55" i="5"/>
  <c r="AB54" i="5"/>
  <c r="Z54" i="5"/>
  <c r="AB53" i="5"/>
  <c r="Z53" i="5"/>
  <c r="AB52" i="5"/>
  <c r="Z52" i="5"/>
  <c r="B52" i="5"/>
  <c r="AB51" i="5"/>
  <c r="Z51" i="5"/>
  <c r="C51" i="5"/>
  <c r="AB50" i="5"/>
  <c r="Z50" i="5"/>
  <c r="AB49" i="5"/>
  <c r="Z49" i="5"/>
  <c r="AB48" i="5"/>
  <c r="Z48" i="5"/>
  <c r="AB47" i="5"/>
  <c r="Z47" i="5"/>
  <c r="AB46" i="5"/>
  <c r="Z46" i="5"/>
  <c r="B46" i="5"/>
  <c r="AB45" i="5"/>
  <c r="Z45" i="5"/>
  <c r="C45" i="5"/>
  <c r="AB44" i="5"/>
  <c r="Z44" i="5"/>
  <c r="AB43" i="5"/>
  <c r="Z43" i="5"/>
  <c r="AB42" i="5"/>
  <c r="Z42" i="5"/>
  <c r="B42" i="5"/>
  <c r="AB41" i="5"/>
  <c r="Z41" i="5"/>
  <c r="AB40" i="5"/>
  <c r="Z40" i="5"/>
  <c r="B40" i="5"/>
  <c r="B41" i="5" s="1"/>
  <c r="AB39" i="5"/>
  <c r="Z39" i="5"/>
  <c r="C39" i="5"/>
  <c r="AB38" i="5"/>
  <c r="Z38" i="5"/>
  <c r="AB37" i="5"/>
  <c r="Z37" i="5"/>
  <c r="AB36" i="5"/>
  <c r="Z36" i="5"/>
  <c r="AB35" i="5"/>
  <c r="Z35" i="5"/>
  <c r="AB34" i="5"/>
  <c r="Z34" i="5"/>
  <c r="B34" i="5"/>
  <c r="AB33" i="5"/>
  <c r="Z33" i="5"/>
  <c r="C33" i="5"/>
  <c r="AB32" i="5"/>
  <c r="Z32" i="5"/>
  <c r="AB31" i="5"/>
  <c r="Z31" i="5"/>
  <c r="AB30" i="5"/>
  <c r="Z30" i="5"/>
  <c r="AB29" i="5"/>
  <c r="Z29" i="5"/>
  <c r="AB28" i="5"/>
  <c r="Z28" i="5"/>
  <c r="AB27" i="5"/>
  <c r="Z27" i="5"/>
  <c r="AB26" i="5"/>
  <c r="Z26" i="5"/>
  <c r="AB25" i="5"/>
  <c r="Z25" i="5"/>
  <c r="AB24" i="5"/>
  <c r="Z24" i="5"/>
  <c r="AB23" i="5"/>
  <c r="Z23" i="5"/>
  <c r="AB22" i="5"/>
  <c r="Z22" i="5"/>
  <c r="AB21" i="5"/>
  <c r="Z21" i="5"/>
  <c r="AB20" i="5"/>
  <c r="Z20" i="5"/>
  <c r="AB19" i="5"/>
  <c r="Z19" i="5"/>
  <c r="AB18" i="5"/>
  <c r="Z18" i="5"/>
  <c r="AB17" i="5"/>
  <c r="Z17" i="5"/>
  <c r="AB16" i="5"/>
  <c r="Z16" i="5"/>
  <c r="AB15" i="5"/>
  <c r="Z15" i="5"/>
  <c r="AB14" i="5"/>
  <c r="Z14" i="5"/>
  <c r="AB13" i="5"/>
  <c r="Z13" i="5"/>
  <c r="AB12" i="5"/>
  <c r="Z12" i="5"/>
  <c r="AB11" i="5"/>
  <c r="Z11" i="5"/>
  <c r="AB10" i="5"/>
  <c r="Z10" i="5"/>
  <c r="AB9" i="5"/>
  <c r="Z9" i="5"/>
  <c r="AB8" i="5"/>
  <c r="Z8" i="5"/>
  <c r="AB7" i="5"/>
  <c r="Z7" i="5"/>
  <c r="AB6" i="5"/>
  <c r="Z6" i="5"/>
  <c r="AB5" i="5"/>
  <c r="Z5" i="5"/>
  <c r="C5" i="5"/>
  <c r="AB4" i="5"/>
  <c r="Z4" i="5"/>
  <c r="C4" i="5"/>
  <c r="AB3" i="5"/>
  <c r="G186" i="5" s="1"/>
  <c r="J186" i="5" s="1"/>
  <c r="Z3" i="5"/>
  <c r="C3" i="5"/>
  <c r="F100" i="4"/>
  <c r="E100" i="4"/>
  <c r="F99" i="4"/>
  <c r="E99" i="4"/>
  <c r="F98" i="4"/>
  <c r="E98" i="4"/>
  <c r="F97" i="4"/>
  <c r="E97" i="4"/>
  <c r="F96" i="4"/>
  <c r="E96" i="4"/>
  <c r="F95" i="4"/>
  <c r="E95" i="4"/>
  <c r="F94" i="4"/>
  <c r="E94" i="4"/>
  <c r="F93" i="4"/>
  <c r="E93" i="4"/>
  <c r="F92" i="4"/>
  <c r="E92" i="4"/>
  <c r="F91" i="4"/>
  <c r="E91" i="4"/>
  <c r="F90" i="4"/>
  <c r="E90" i="4"/>
  <c r="F89" i="4"/>
  <c r="E89" i="4"/>
  <c r="F88" i="4"/>
  <c r="E88" i="4"/>
  <c r="F87" i="4"/>
  <c r="E87" i="4"/>
  <c r="F86" i="4"/>
  <c r="E86" i="4"/>
  <c r="F85" i="4"/>
  <c r="E85" i="4"/>
  <c r="F84" i="4"/>
  <c r="E84" i="4"/>
  <c r="F83" i="4"/>
  <c r="E83" i="4"/>
  <c r="F82" i="4"/>
  <c r="E82" i="4"/>
  <c r="F81" i="4"/>
  <c r="E81" i="4"/>
  <c r="F80" i="4"/>
  <c r="E80" i="4"/>
  <c r="F79" i="4"/>
  <c r="E79" i="4"/>
  <c r="F78" i="4"/>
  <c r="E78" i="4"/>
  <c r="F77" i="4"/>
  <c r="E77" i="4"/>
  <c r="F76" i="4"/>
  <c r="E76" i="4"/>
  <c r="F75" i="4"/>
  <c r="E75" i="4"/>
  <c r="F74" i="4"/>
  <c r="E74" i="4"/>
  <c r="F73" i="4"/>
  <c r="E73" i="4"/>
  <c r="F72" i="4"/>
  <c r="E72" i="4"/>
  <c r="F71" i="4"/>
  <c r="E71" i="4"/>
  <c r="F70" i="4"/>
  <c r="E70" i="4"/>
  <c r="F69" i="4"/>
  <c r="E69" i="4"/>
  <c r="F68" i="4"/>
  <c r="E68" i="4"/>
  <c r="F67" i="4"/>
  <c r="E67" i="4"/>
  <c r="F66" i="4"/>
  <c r="E66" i="4"/>
  <c r="F65" i="4"/>
  <c r="E65" i="4"/>
  <c r="F64" i="4"/>
  <c r="E64" i="4"/>
  <c r="F63" i="4"/>
  <c r="E63" i="4"/>
  <c r="F62" i="4"/>
  <c r="E62" i="4"/>
  <c r="F61" i="4"/>
  <c r="E61" i="4"/>
  <c r="F60" i="4"/>
  <c r="E60" i="4"/>
  <c r="F59" i="4"/>
  <c r="E59" i="4"/>
  <c r="F58" i="4"/>
  <c r="E58" i="4"/>
  <c r="F57" i="4"/>
  <c r="E57" i="4"/>
  <c r="F56" i="4"/>
  <c r="E56" i="4"/>
  <c r="F55" i="4"/>
  <c r="E55" i="4"/>
  <c r="F54" i="4"/>
  <c r="E54" i="4"/>
  <c r="F53" i="4"/>
  <c r="E53" i="4"/>
  <c r="F52" i="4"/>
  <c r="E52" i="4"/>
  <c r="F51" i="4"/>
  <c r="E51" i="4"/>
  <c r="F50" i="4"/>
  <c r="E50" i="4"/>
  <c r="F49" i="4"/>
  <c r="E49" i="4"/>
  <c r="F48" i="4"/>
  <c r="E48" i="4"/>
  <c r="F47" i="4"/>
  <c r="E47" i="4"/>
  <c r="F46" i="4"/>
  <c r="E46" i="4"/>
  <c r="F45" i="4"/>
  <c r="E45" i="4"/>
  <c r="F44" i="4"/>
  <c r="E44" i="4"/>
  <c r="F43" i="4"/>
  <c r="E43" i="4"/>
  <c r="F42" i="4"/>
  <c r="E42" i="4"/>
  <c r="F41" i="4"/>
  <c r="E41" i="4"/>
  <c r="F40" i="4"/>
  <c r="E40" i="4"/>
  <c r="F39" i="4"/>
  <c r="E39" i="4"/>
  <c r="F38" i="4"/>
  <c r="E38" i="4"/>
  <c r="F37" i="4"/>
  <c r="E37" i="4"/>
  <c r="F36" i="4"/>
  <c r="E36" i="4"/>
  <c r="F35" i="4"/>
  <c r="E35" i="4"/>
  <c r="F34" i="4"/>
  <c r="E34" i="4"/>
  <c r="F33" i="4"/>
  <c r="E33" i="4"/>
  <c r="F32" i="4"/>
  <c r="E32" i="4"/>
  <c r="F31" i="4"/>
  <c r="E31" i="4"/>
  <c r="F30" i="4"/>
  <c r="E30" i="4"/>
  <c r="F29" i="4"/>
  <c r="E29" i="4"/>
  <c r="N28" i="4"/>
  <c r="F28" i="4"/>
  <c r="E28" i="4"/>
  <c r="F27" i="4"/>
  <c r="E27" i="4"/>
  <c r="O26" i="4"/>
  <c r="U15" i="6" s="1"/>
  <c r="N26" i="4"/>
  <c r="U14" i="6" s="1"/>
  <c r="M26" i="4"/>
  <c r="U13" i="6" s="1"/>
  <c r="F26" i="4"/>
  <c r="E26" i="4"/>
  <c r="O25" i="4"/>
  <c r="T15" i="6" s="1"/>
  <c r="N25" i="4"/>
  <c r="T14" i="6" s="1"/>
  <c r="M25" i="4"/>
  <c r="F25" i="4"/>
  <c r="E25" i="4"/>
  <c r="F24" i="4"/>
  <c r="E24" i="4"/>
  <c r="F23" i="4"/>
  <c r="E23" i="4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T13" i="4"/>
  <c r="S13" i="4"/>
  <c r="R13" i="4"/>
  <c r="Q13" i="4"/>
  <c r="P13" i="4"/>
  <c r="O13" i="4"/>
  <c r="N13" i="4"/>
  <c r="M13" i="4"/>
  <c r="F13" i="4"/>
  <c r="E13" i="4"/>
  <c r="T12" i="4"/>
  <c r="T14" i="4" s="1"/>
  <c r="S12" i="4"/>
  <c r="S14" i="4" s="1"/>
  <c r="R12" i="4"/>
  <c r="R14" i="4" s="1"/>
  <c r="Q12" i="4"/>
  <c r="Q14" i="4" s="1"/>
  <c r="P12" i="4"/>
  <c r="P14" i="4" s="1"/>
  <c r="O12" i="4"/>
  <c r="O14" i="4" s="1"/>
  <c r="N12" i="4"/>
  <c r="N14" i="4" s="1"/>
  <c r="M12" i="4"/>
  <c r="M14" i="4" s="1"/>
  <c r="F12" i="4"/>
  <c r="E12" i="4"/>
  <c r="T11" i="4"/>
  <c r="T16" i="4" s="1"/>
  <c r="T17" i="4" s="1"/>
  <c r="S11" i="4"/>
  <c r="S16" i="4" s="1"/>
  <c r="S17" i="4" s="1"/>
  <c r="R11" i="4"/>
  <c r="R16" i="4" s="1"/>
  <c r="R17" i="4" s="1"/>
  <c r="Q11" i="4"/>
  <c r="Q16" i="4" s="1"/>
  <c r="Q17" i="4" s="1"/>
  <c r="P11" i="4"/>
  <c r="P16" i="4" s="1"/>
  <c r="P17" i="4" s="1"/>
  <c r="O11" i="4"/>
  <c r="O16" i="4" s="1"/>
  <c r="O17" i="4" s="1"/>
  <c r="N11" i="4"/>
  <c r="N16" i="4" s="1"/>
  <c r="N17" i="4" s="1"/>
  <c r="M11" i="4"/>
  <c r="M16" i="4" s="1"/>
  <c r="M17" i="4" s="1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N4" i="4"/>
  <c r="M4" i="4"/>
  <c r="F4" i="4"/>
  <c r="E4" i="4"/>
  <c r="N3" i="4"/>
  <c r="M3" i="4"/>
  <c r="F3" i="4"/>
  <c r="E3" i="4"/>
  <c r="Q2" i="4"/>
  <c r="P2" i="4"/>
  <c r="N2" i="4"/>
  <c r="O2" i="4" s="1"/>
  <c r="M2" i="4"/>
  <c r="AC200" i="3"/>
  <c r="AB200" i="3"/>
  <c r="F200" i="3"/>
  <c r="AC199" i="3"/>
  <c r="AB199" i="3"/>
  <c r="F199" i="3"/>
  <c r="AC198" i="3"/>
  <c r="AB198" i="3"/>
  <c r="F198" i="3"/>
  <c r="AC197" i="3"/>
  <c r="AB197" i="3"/>
  <c r="F197" i="3"/>
  <c r="AC196" i="3"/>
  <c r="AB196" i="3"/>
  <c r="F196" i="3"/>
  <c r="AC195" i="3"/>
  <c r="AB195" i="3"/>
  <c r="F195" i="3"/>
  <c r="AC194" i="3"/>
  <c r="AB194" i="3"/>
  <c r="F194" i="3"/>
  <c r="AC193" i="3"/>
  <c r="AB193" i="3"/>
  <c r="F193" i="3"/>
  <c r="AC192" i="3"/>
  <c r="AB192" i="3"/>
  <c r="F192" i="3"/>
  <c r="AC191" i="3"/>
  <c r="AB191" i="3"/>
  <c r="F191" i="3"/>
  <c r="AC190" i="3"/>
  <c r="AB190" i="3"/>
  <c r="F190" i="3"/>
  <c r="AC189" i="3"/>
  <c r="AB189" i="3"/>
  <c r="F189" i="3"/>
  <c r="AC188" i="3"/>
  <c r="AB188" i="3"/>
  <c r="F188" i="3"/>
  <c r="AC187" i="3"/>
  <c r="AB187" i="3"/>
  <c r="F187" i="3"/>
  <c r="AC186" i="3"/>
  <c r="AB186" i="3"/>
  <c r="F186" i="3"/>
  <c r="AC185" i="3"/>
  <c r="AB185" i="3"/>
  <c r="F185" i="3"/>
  <c r="AC184" i="3"/>
  <c r="AB184" i="3"/>
  <c r="F184" i="3"/>
  <c r="AC183" i="3"/>
  <c r="AB183" i="3"/>
  <c r="F183" i="3"/>
  <c r="AC182" i="3"/>
  <c r="AB182" i="3"/>
  <c r="F182" i="3"/>
  <c r="AC181" i="3"/>
  <c r="AB181" i="3"/>
  <c r="F181" i="3"/>
  <c r="AC180" i="3"/>
  <c r="AB180" i="3"/>
  <c r="F180" i="3"/>
  <c r="AC179" i="3"/>
  <c r="AB179" i="3"/>
  <c r="F179" i="3"/>
  <c r="AC178" i="3"/>
  <c r="AB178" i="3"/>
  <c r="F178" i="3"/>
  <c r="AC177" i="3"/>
  <c r="AB177" i="3"/>
  <c r="F177" i="3"/>
  <c r="AC176" i="3"/>
  <c r="AB176" i="3"/>
  <c r="F176" i="3"/>
  <c r="AC175" i="3"/>
  <c r="AB175" i="3"/>
  <c r="F175" i="3"/>
  <c r="AC174" i="3"/>
  <c r="AB174" i="3"/>
  <c r="F174" i="3"/>
  <c r="AC173" i="3"/>
  <c r="AB173" i="3"/>
  <c r="F173" i="3"/>
  <c r="AC172" i="3"/>
  <c r="AB172" i="3"/>
  <c r="F172" i="3"/>
  <c r="AC171" i="3"/>
  <c r="AB171" i="3"/>
  <c r="F171" i="3"/>
  <c r="AC170" i="3"/>
  <c r="AB170" i="3"/>
  <c r="F170" i="3"/>
  <c r="AC169" i="3"/>
  <c r="AB169" i="3"/>
  <c r="F169" i="3"/>
  <c r="AC168" i="3"/>
  <c r="AB168" i="3"/>
  <c r="F168" i="3"/>
  <c r="AC167" i="3"/>
  <c r="AB167" i="3"/>
  <c r="F167" i="3"/>
  <c r="AC166" i="3"/>
  <c r="AB166" i="3"/>
  <c r="F166" i="3"/>
  <c r="AC165" i="3"/>
  <c r="AB165" i="3"/>
  <c r="F165" i="3"/>
  <c r="AC164" i="3"/>
  <c r="AB164" i="3"/>
  <c r="F164" i="3"/>
  <c r="AC163" i="3"/>
  <c r="AB163" i="3"/>
  <c r="F163" i="3"/>
  <c r="AC162" i="3"/>
  <c r="AB162" i="3"/>
  <c r="F162" i="3"/>
  <c r="AC161" i="3"/>
  <c r="AB161" i="3"/>
  <c r="F161" i="3"/>
  <c r="AC160" i="3"/>
  <c r="AB160" i="3"/>
  <c r="F160" i="3"/>
  <c r="AC159" i="3"/>
  <c r="AB159" i="3"/>
  <c r="F159" i="3"/>
  <c r="AC158" i="3"/>
  <c r="AB158" i="3"/>
  <c r="F158" i="3"/>
  <c r="AC157" i="3"/>
  <c r="AB157" i="3"/>
  <c r="F157" i="3"/>
  <c r="AC156" i="3"/>
  <c r="AB156" i="3"/>
  <c r="F156" i="3"/>
  <c r="AC155" i="3"/>
  <c r="AB155" i="3"/>
  <c r="F155" i="3"/>
  <c r="AC154" i="3"/>
  <c r="AB154" i="3"/>
  <c r="F154" i="3"/>
  <c r="AC153" i="3"/>
  <c r="AB153" i="3"/>
  <c r="F153" i="3"/>
  <c r="AC152" i="3"/>
  <c r="AB152" i="3"/>
  <c r="F152" i="3"/>
  <c r="AC151" i="3"/>
  <c r="AB151" i="3"/>
  <c r="F151" i="3"/>
  <c r="AC150" i="3"/>
  <c r="AB150" i="3"/>
  <c r="F150" i="3"/>
  <c r="AC149" i="3"/>
  <c r="AB149" i="3"/>
  <c r="F149" i="3"/>
  <c r="AC148" i="3"/>
  <c r="AB148" i="3"/>
  <c r="F148" i="3"/>
  <c r="AC147" i="3"/>
  <c r="AB147" i="3"/>
  <c r="F147" i="3"/>
  <c r="AC146" i="3"/>
  <c r="AB146" i="3"/>
  <c r="F146" i="3"/>
  <c r="AC145" i="3"/>
  <c r="AB145" i="3"/>
  <c r="F145" i="3"/>
  <c r="AC144" i="3"/>
  <c r="AB144" i="3"/>
  <c r="F144" i="3"/>
  <c r="AC143" i="3"/>
  <c r="AB143" i="3"/>
  <c r="F143" i="3"/>
  <c r="AC142" i="3"/>
  <c r="AB142" i="3"/>
  <c r="F142" i="3"/>
  <c r="AC141" i="3"/>
  <c r="AB141" i="3"/>
  <c r="F141" i="3"/>
  <c r="AC140" i="3"/>
  <c r="AB140" i="3"/>
  <c r="F140" i="3"/>
  <c r="AC139" i="3"/>
  <c r="AB139" i="3"/>
  <c r="F139" i="3"/>
  <c r="AC138" i="3"/>
  <c r="AB138" i="3"/>
  <c r="F138" i="3"/>
  <c r="AC137" i="3"/>
  <c r="AB137" i="3"/>
  <c r="F137" i="3"/>
  <c r="AC136" i="3"/>
  <c r="AB136" i="3"/>
  <c r="F136" i="3"/>
  <c r="AC135" i="3"/>
  <c r="AB135" i="3"/>
  <c r="F135" i="3"/>
  <c r="AC134" i="3"/>
  <c r="AB134" i="3"/>
  <c r="F134" i="3"/>
  <c r="AC133" i="3"/>
  <c r="AB133" i="3"/>
  <c r="F133" i="3"/>
  <c r="AC132" i="3"/>
  <c r="AB132" i="3"/>
  <c r="F132" i="3"/>
  <c r="AC131" i="3"/>
  <c r="AB131" i="3"/>
  <c r="F131" i="3"/>
  <c r="AC130" i="3"/>
  <c r="AB130" i="3"/>
  <c r="F130" i="3"/>
  <c r="AC129" i="3"/>
  <c r="AB129" i="3"/>
  <c r="F129" i="3"/>
  <c r="AC128" i="3"/>
  <c r="AB128" i="3"/>
  <c r="F128" i="3"/>
  <c r="AC127" i="3"/>
  <c r="AB127" i="3"/>
  <c r="F127" i="3"/>
  <c r="AC126" i="3"/>
  <c r="AB126" i="3"/>
  <c r="F126" i="3"/>
  <c r="AC125" i="3"/>
  <c r="AB125" i="3"/>
  <c r="F125" i="3"/>
  <c r="AC124" i="3"/>
  <c r="AB124" i="3"/>
  <c r="F124" i="3"/>
  <c r="AC123" i="3"/>
  <c r="AB123" i="3"/>
  <c r="F123" i="3"/>
  <c r="AC122" i="3"/>
  <c r="AB122" i="3"/>
  <c r="F122" i="3"/>
  <c r="AC121" i="3"/>
  <c r="AB121" i="3"/>
  <c r="F121" i="3"/>
  <c r="AC120" i="3"/>
  <c r="AB120" i="3"/>
  <c r="F120" i="3"/>
  <c r="AC119" i="3"/>
  <c r="AB119" i="3"/>
  <c r="F119" i="3"/>
  <c r="AC118" i="3"/>
  <c r="AB118" i="3"/>
  <c r="F118" i="3"/>
  <c r="AC117" i="3"/>
  <c r="AB117" i="3"/>
  <c r="F117" i="3"/>
  <c r="AC116" i="3"/>
  <c r="AB116" i="3"/>
  <c r="F116" i="3"/>
  <c r="AC115" i="3"/>
  <c r="AB115" i="3"/>
  <c r="F115" i="3"/>
  <c r="AC114" i="3"/>
  <c r="AB114" i="3"/>
  <c r="F114" i="3"/>
  <c r="AC113" i="3"/>
  <c r="AB113" i="3"/>
  <c r="F113" i="3"/>
  <c r="AC112" i="3"/>
  <c r="AB112" i="3"/>
  <c r="F112" i="3"/>
  <c r="AC111" i="3"/>
  <c r="AB111" i="3"/>
  <c r="F111" i="3"/>
  <c r="AC110" i="3"/>
  <c r="AB110" i="3"/>
  <c r="F110" i="3"/>
  <c r="AC109" i="3"/>
  <c r="AB109" i="3"/>
  <c r="F109" i="3"/>
  <c r="AC108" i="3"/>
  <c r="AB108" i="3"/>
  <c r="F108" i="3"/>
  <c r="AC107" i="3"/>
  <c r="AB107" i="3"/>
  <c r="F107" i="3"/>
  <c r="AC106" i="3"/>
  <c r="AB106" i="3"/>
  <c r="F106" i="3"/>
  <c r="AC105" i="3"/>
  <c r="AB105" i="3"/>
  <c r="F105" i="3"/>
  <c r="AC104" i="3"/>
  <c r="AB104" i="3"/>
  <c r="F104" i="3"/>
  <c r="AC103" i="3"/>
  <c r="AB103" i="3"/>
  <c r="F103" i="3"/>
  <c r="AC102" i="3"/>
  <c r="AB102" i="3"/>
  <c r="F102" i="3"/>
  <c r="AC101" i="3"/>
  <c r="AB101" i="3"/>
  <c r="F101" i="3"/>
  <c r="AC100" i="3"/>
  <c r="AB100" i="3"/>
  <c r="F100" i="3"/>
  <c r="AC99" i="3"/>
  <c r="AB99" i="3"/>
  <c r="F99" i="3"/>
  <c r="AC98" i="3"/>
  <c r="AB98" i="3"/>
  <c r="F98" i="3"/>
  <c r="AC97" i="3"/>
  <c r="AB97" i="3"/>
  <c r="F97" i="3"/>
  <c r="AC96" i="3"/>
  <c r="AB96" i="3"/>
  <c r="F96" i="3"/>
  <c r="AC95" i="3"/>
  <c r="AB95" i="3"/>
  <c r="F95" i="3"/>
  <c r="AC94" i="3"/>
  <c r="AB94" i="3"/>
  <c r="F94" i="3"/>
  <c r="AC93" i="3"/>
  <c r="AB93" i="3"/>
  <c r="F93" i="3"/>
  <c r="AC92" i="3"/>
  <c r="AB92" i="3"/>
  <c r="F92" i="3"/>
  <c r="AC91" i="3"/>
  <c r="AB91" i="3"/>
  <c r="F91" i="3"/>
  <c r="AC90" i="3"/>
  <c r="AB90" i="3"/>
  <c r="F90" i="3"/>
  <c r="AC89" i="3"/>
  <c r="AB89" i="3"/>
  <c r="F89" i="3"/>
  <c r="AC88" i="3"/>
  <c r="AB88" i="3"/>
  <c r="F88" i="3"/>
  <c r="AC87" i="3"/>
  <c r="AB87" i="3"/>
  <c r="F87" i="3"/>
  <c r="AC86" i="3"/>
  <c r="AB86" i="3"/>
  <c r="F86" i="3"/>
  <c r="AC85" i="3"/>
  <c r="AB85" i="3"/>
  <c r="F85" i="3"/>
  <c r="AC84" i="3"/>
  <c r="AB84" i="3"/>
  <c r="F84" i="3"/>
  <c r="AC83" i="3"/>
  <c r="AB83" i="3"/>
  <c r="F83" i="3"/>
  <c r="AC82" i="3"/>
  <c r="AB82" i="3"/>
  <c r="F82" i="3"/>
  <c r="AC81" i="3"/>
  <c r="AB81" i="3"/>
  <c r="F81" i="3"/>
  <c r="AC80" i="3"/>
  <c r="AB80" i="3"/>
  <c r="F80" i="3"/>
  <c r="AC79" i="3"/>
  <c r="AB79" i="3"/>
  <c r="F79" i="3"/>
  <c r="AC78" i="3"/>
  <c r="AB78" i="3"/>
  <c r="F78" i="3"/>
  <c r="AC77" i="3"/>
  <c r="AB77" i="3"/>
  <c r="F77" i="3"/>
  <c r="AC76" i="3"/>
  <c r="AB76" i="3"/>
  <c r="F76" i="3"/>
  <c r="AC75" i="3"/>
  <c r="AB75" i="3"/>
  <c r="F75" i="3"/>
  <c r="AC74" i="3"/>
  <c r="AB74" i="3"/>
  <c r="F74" i="3"/>
  <c r="AC73" i="3"/>
  <c r="AB73" i="3"/>
  <c r="F73" i="3"/>
  <c r="AC72" i="3"/>
  <c r="AB72" i="3"/>
  <c r="F72" i="3"/>
  <c r="AC71" i="3"/>
  <c r="AB71" i="3"/>
  <c r="F71" i="3"/>
  <c r="AC70" i="3"/>
  <c r="AB70" i="3"/>
  <c r="F70" i="3"/>
  <c r="AC69" i="3"/>
  <c r="AB69" i="3"/>
  <c r="F69" i="3"/>
  <c r="AC68" i="3"/>
  <c r="AB68" i="3"/>
  <c r="F68" i="3"/>
  <c r="AC67" i="3"/>
  <c r="AB67" i="3"/>
  <c r="F67" i="3"/>
  <c r="AC66" i="3"/>
  <c r="AB66" i="3"/>
  <c r="F66" i="3"/>
  <c r="AC65" i="3"/>
  <c r="AB65" i="3"/>
  <c r="F65" i="3"/>
  <c r="AC64" i="3"/>
  <c r="AB64" i="3"/>
  <c r="F64" i="3"/>
  <c r="AC63" i="3"/>
  <c r="AB63" i="3"/>
  <c r="F63" i="3"/>
  <c r="AC62" i="3"/>
  <c r="AB62" i="3"/>
  <c r="F62" i="3"/>
  <c r="AC61" i="3"/>
  <c r="AB61" i="3"/>
  <c r="F61" i="3"/>
  <c r="AC60" i="3"/>
  <c r="AB60" i="3"/>
  <c r="F60" i="3"/>
  <c r="AC59" i="3"/>
  <c r="AB59" i="3"/>
  <c r="F59" i="3"/>
  <c r="AC58" i="3"/>
  <c r="AB58" i="3"/>
  <c r="F58" i="3"/>
  <c r="AC57" i="3"/>
  <c r="AB57" i="3"/>
  <c r="F57" i="3"/>
  <c r="AC56" i="3"/>
  <c r="AB56" i="3"/>
  <c r="F56" i="3"/>
  <c r="AC55" i="3"/>
  <c r="AB55" i="3"/>
  <c r="F55" i="3"/>
  <c r="AC54" i="3"/>
  <c r="AB54" i="3"/>
  <c r="F54" i="3"/>
  <c r="AC53" i="3"/>
  <c r="AB53" i="3"/>
  <c r="F53" i="3"/>
  <c r="AC52" i="3"/>
  <c r="AB52" i="3"/>
  <c r="F52" i="3"/>
  <c r="AC51" i="3"/>
  <c r="AB51" i="3"/>
  <c r="F51" i="3"/>
  <c r="AC50" i="3"/>
  <c r="AB50" i="3"/>
  <c r="F50" i="3"/>
  <c r="AC49" i="3"/>
  <c r="AB49" i="3"/>
  <c r="F49" i="3"/>
  <c r="AC48" i="3"/>
  <c r="AB48" i="3"/>
  <c r="F48" i="3"/>
  <c r="AC47" i="3"/>
  <c r="AB47" i="3"/>
  <c r="F47" i="3"/>
  <c r="AC46" i="3"/>
  <c r="AB46" i="3"/>
  <c r="F46" i="3"/>
  <c r="AC45" i="3"/>
  <c r="AB45" i="3"/>
  <c r="F45" i="3"/>
  <c r="AC44" i="3"/>
  <c r="AB44" i="3"/>
  <c r="F44" i="3"/>
  <c r="AC43" i="3"/>
  <c r="AB43" i="3"/>
  <c r="F43" i="3"/>
  <c r="AC42" i="3"/>
  <c r="AB42" i="3"/>
  <c r="F42" i="3"/>
  <c r="AC41" i="3"/>
  <c r="AB41" i="3"/>
  <c r="F41" i="3"/>
  <c r="AC40" i="3"/>
  <c r="AB40" i="3"/>
  <c r="F40" i="3"/>
  <c r="AC39" i="3"/>
  <c r="AB39" i="3"/>
  <c r="F39" i="3"/>
  <c r="AC38" i="3"/>
  <c r="AB38" i="3"/>
  <c r="F38" i="3"/>
  <c r="AC37" i="3"/>
  <c r="AB37" i="3"/>
  <c r="F37" i="3"/>
  <c r="AC36" i="3"/>
  <c r="AB36" i="3"/>
  <c r="F36" i="3"/>
  <c r="AC35" i="3"/>
  <c r="AB35" i="3"/>
  <c r="F35" i="3"/>
  <c r="AC34" i="3"/>
  <c r="AB34" i="3"/>
  <c r="F34" i="3"/>
  <c r="AC33" i="3"/>
  <c r="AB33" i="3"/>
  <c r="F33" i="3"/>
  <c r="AC32" i="3"/>
  <c r="AB32" i="3"/>
  <c r="F32" i="3"/>
  <c r="AC31" i="3"/>
  <c r="AB31" i="3"/>
  <c r="F31" i="3"/>
  <c r="AC30" i="3"/>
  <c r="AB30" i="3"/>
  <c r="F30" i="3"/>
  <c r="AC29" i="3"/>
  <c r="AB29" i="3"/>
  <c r="F29" i="3"/>
  <c r="AC28" i="3"/>
  <c r="AB28" i="3"/>
  <c r="F28" i="3"/>
  <c r="AC27" i="3"/>
  <c r="AB27" i="3"/>
  <c r="F27" i="3"/>
  <c r="AC26" i="3"/>
  <c r="AB26" i="3"/>
  <c r="F26" i="3"/>
  <c r="AC25" i="3"/>
  <c r="AB25" i="3"/>
  <c r="F25" i="3"/>
  <c r="AC24" i="3"/>
  <c r="AB24" i="3"/>
  <c r="F24" i="3"/>
  <c r="AC23" i="3"/>
  <c r="AB23" i="3"/>
  <c r="F23" i="3"/>
  <c r="AC22" i="3"/>
  <c r="AB22" i="3"/>
  <c r="F22" i="3"/>
  <c r="AC21" i="3"/>
  <c r="AB21" i="3"/>
  <c r="F21" i="3"/>
  <c r="AC20" i="3"/>
  <c r="AB20" i="3"/>
  <c r="F20" i="3"/>
  <c r="AC19" i="3"/>
  <c r="AB19" i="3"/>
  <c r="F19" i="3"/>
  <c r="AC18" i="3"/>
  <c r="AB18" i="3"/>
  <c r="F18" i="3"/>
  <c r="AC17" i="3"/>
  <c r="AB17" i="3"/>
  <c r="F17" i="3"/>
  <c r="AC16" i="3"/>
  <c r="AB16" i="3"/>
  <c r="F16" i="3"/>
  <c r="AC15" i="3"/>
  <c r="AB15" i="3"/>
  <c r="F15" i="3"/>
  <c r="AC14" i="3"/>
  <c r="AB14" i="3"/>
  <c r="F14" i="3"/>
  <c r="AC13" i="3"/>
  <c r="AB13" i="3"/>
  <c r="F13" i="3"/>
  <c r="AC12" i="3"/>
  <c r="AB12" i="3"/>
  <c r="F12" i="3"/>
  <c r="AC11" i="3"/>
  <c r="AB11" i="3"/>
  <c r="F11" i="3"/>
  <c r="AC10" i="3"/>
  <c r="AB10" i="3"/>
  <c r="F10" i="3"/>
  <c r="AC9" i="3"/>
  <c r="AB9" i="3"/>
  <c r="F9" i="3"/>
  <c r="AC8" i="3"/>
  <c r="AB8" i="3"/>
  <c r="F8" i="3"/>
  <c r="AC7" i="3"/>
  <c r="AB7" i="3"/>
  <c r="T7" i="3"/>
  <c r="S7" i="3"/>
  <c r="R7" i="3"/>
  <c r="Q7" i="3"/>
  <c r="P7" i="3"/>
  <c r="O7" i="3"/>
  <c r="N7" i="3"/>
  <c r="M7" i="3"/>
  <c r="L7" i="3"/>
  <c r="K7" i="3"/>
  <c r="F7" i="3"/>
  <c r="AC6" i="3"/>
  <c r="AB6" i="3"/>
  <c r="F6" i="3"/>
  <c r="AC5" i="3"/>
  <c r="AB5" i="3"/>
  <c r="T5" i="3"/>
  <c r="N25" i="3" s="1"/>
  <c r="U11" i="6" s="1"/>
  <c r="S5" i="3"/>
  <c r="N24" i="3" s="1"/>
  <c r="U10" i="6" s="1"/>
  <c r="R5" i="3"/>
  <c r="N23" i="3" s="1"/>
  <c r="U9" i="6" s="1"/>
  <c r="Q5" i="3"/>
  <c r="N22" i="3" s="1"/>
  <c r="U8" i="6" s="1"/>
  <c r="P5" i="3"/>
  <c r="O5" i="3"/>
  <c r="N5" i="3"/>
  <c r="M5" i="3"/>
  <c r="L5" i="3"/>
  <c r="K5" i="3"/>
  <c r="F5" i="3"/>
  <c r="AC4" i="3"/>
  <c r="AB4" i="3"/>
  <c r="T4" i="3"/>
  <c r="M25" i="3" s="1"/>
  <c r="T11" i="6" s="1"/>
  <c r="S4" i="3"/>
  <c r="M24" i="3" s="1"/>
  <c r="T10" i="6" s="1"/>
  <c r="R4" i="3"/>
  <c r="M23" i="3" s="1"/>
  <c r="T9" i="6" s="1"/>
  <c r="Q4" i="3"/>
  <c r="M22" i="3" s="1"/>
  <c r="T8" i="6" s="1"/>
  <c r="P4" i="3"/>
  <c r="M21" i="3" s="1"/>
  <c r="T7" i="6" s="1"/>
  <c r="O4" i="3"/>
  <c r="M20" i="3" s="1"/>
  <c r="T6" i="6" s="1"/>
  <c r="N4" i="3"/>
  <c r="M19" i="3" s="1"/>
  <c r="T5" i="6" s="1"/>
  <c r="M4" i="3"/>
  <c r="M18" i="3" s="1"/>
  <c r="T4" i="6" s="1"/>
  <c r="L4" i="3"/>
  <c r="M17" i="3" s="1"/>
  <c r="T3" i="6" s="1"/>
  <c r="K4" i="3"/>
  <c r="M16" i="3" s="1"/>
  <c r="T2" i="6" s="1"/>
  <c r="F4" i="3"/>
  <c r="AC3" i="3"/>
  <c r="AB3" i="3"/>
  <c r="F3" i="3"/>
  <c r="AC2" i="3"/>
  <c r="AB2" i="3"/>
  <c r="H2" i="3"/>
  <c r="F2" i="3"/>
  <c r="G3" i="2"/>
  <c r="H3" i="2" s="1"/>
  <c r="F3" i="2"/>
  <c r="G2" i="2"/>
  <c r="H2" i="2" s="1"/>
  <c r="F2" i="2"/>
  <c r="F4" i="2" s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H473" i="1"/>
  <c r="I473" i="1" s="1"/>
  <c r="H472" i="1"/>
  <c r="I472" i="1" s="1"/>
  <c r="H471" i="1"/>
  <c r="I471" i="1" s="1"/>
  <c r="H470" i="1"/>
  <c r="I470" i="1" s="1"/>
  <c r="H469" i="1"/>
  <c r="I469" i="1" s="1"/>
  <c r="H468" i="1"/>
  <c r="I468" i="1" s="1"/>
  <c r="H467" i="1"/>
  <c r="I467" i="1" s="1"/>
  <c r="H466" i="1"/>
  <c r="I466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H453" i="1"/>
  <c r="I453" i="1" s="1"/>
  <c r="H452" i="1"/>
  <c r="I452" i="1" s="1"/>
  <c r="H451" i="1"/>
  <c r="I451" i="1" s="1"/>
  <c r="H450" i="1"/>
  <c r="I450" i="1" s="1"/>
  <c r="H449" i="1"/>
  <c r="I449" i="1" s="1"/>
  <c r="H448" i="1"/>
  <c r="I448" i="1" s="1"/>
  <c r="H447" i="1"/>
  <c r="I447" i="1" s="1"/>
  <c r="H446" i="1"/>
  <c r="I446" i="1" s="1"/>
  <c r="H445" i="1"/>
  <c r="I445" i="1" s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H380" i="1"/>
  <c r="I380" i="1" s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H323" i="1"/>
  <c r="I323" i="1" s="1"/>
  <c r="H322" i="1"/>
  <c r="I322" i="1" s="1"/>
  <c r="H321" i="1"/>
  <c r="I321" i="1" s="1"/>
  <c r="H320" i="1"/>
  <c r="I320" i="1" s="1"/>
  <c r="H319" i="1"/>
  <c r="I319" i="1" s="1"/>
  <c r="H318" i="1"/>
  <c r="I318" i="1" s="1"/>
  <c r="H317" i="1"/>
  <c r="I317" i="1" s="1"/>
  <c r="H316" i="1"/>
  <c r="I316" i="1" s="1"/>
  <c r="H315" i="1"/>
  <c r="I315" i="1" s="1"/>
  <c r="H314" i="1"/>
  <c r="I314" i="1" s="1"/>
  <c r="H313" i="1"/>
  <c r="I313" i="1" s="1"/>
  <c r="H312" i="1"/>
  <c r="I312" i="1" s="1"/>
  <c r="H311" i="1"/>
  <c r="I311" i="1" s="1"/>
  <c r="H310" i="1"/>
  <c r="I310" i="1" s="1"/>
  <c r="H309" i="1"/>
  <c r="I309" i="1" s="1"/>
  <c r="H308" i="1"/>
  <c r="I308" i="1" s="1"/>
  <c r="H307" i="1"/>
  <c r="I307" i="1" s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H297" i="1"/>
  <c r="I297" i="1" s="1"/>
  <c r="H296" i="1"/>
  <c r="I296" i="1" s="1"/>
  <c r="H295" i="1"/>
  <c r="I295" i="1" s="1"/>
  <c r="H294" i="1"/>
  <c r="I294" i="1" s="1"/>
  <c r="H293" i="1"/>
  <c r="I293" i="1" s="1"/>
  <c r="H292" i="1"/>
  <c r="I292" i="1" s="1"/>
  <c r="H291" i="1"/>
  <c r="I291" i="1" s="1"/>
  <c r="H290" i="1"/>
  <c r="I290" i="1" s="1"/>
  <c r="H289" i="1"/>
  <c r="I289" i="1" s="1"/>
  <c r="H288" i="1"/>
  <c r="I288" i="1" s="1"/>
  <c r="H287" i="1"/>
  <c r="I287" i="1" s="1"/>
  <c r="H286" i="1"/>
  <c r="I286" i="1" s="1"/>
  <c r="H285" i="1"/>
  <c r="I285" i="1" s="1"/>
  <c r="H284" i="1"/>
  <c r="I284" i="1" s="1"/>
  <c r="H283" i="1"/>
  <c r="I283" i="1" s="1"/>
  <c r="H282" i="1"/>
  <c r="I282" i="1" s="1"/>
  <c r="H281" i="1"/>
  <c r="I281" i="1" s="1"/>
  <c r="H280" i="1"/>
  <c r="I280" i="1" s="1"/>
  <c r="H279" i="1"/>
  <c r="I279" i="1" s="1"/>
  <c r="H278" i="1"/>
  <c r="I278" i="1" s="1"/>
  <c r="H277" i="1"/>
  <c r="I277" i="1" s="1"/>
  <c r="H276" i="1"/>
  <c r="I276" i="1" s="1"/>
  <c r="H275" i="1"/>
  <c r="I275" i="1" s="1"/>
  <c r="H274" i="1"/>
  <c r="I274" i="1" s="1"/>
  <c r="H273" i="1"/>
  <c r="I273" i="1" s="1"/>
  <c r="H272" i="1"/>
  <c r="I272" i="1" s="1"/>
  <c r="H271" i="1"/>
  <c r="I271" i="1" s="1"/>
  <c r="H270" i="1"/>
  <c r="I270" i="1" s="1"/>
  <c r="H269" i="1"/>
  <c r="I269" i="1" s="1"/>
  <c r="H268" i="1"/>
  <c r="I268" i="1" s="1"/>
  <c r="H267" i="1"/>
  <c r="I267" i="1" s="1"/>
  <c r="H266" i="1"/>
  <c r="I266" i="1" s="1"/>
  <c r="H265" i="1"/>
  <c r="I265" i="1" s="1"/>
  <c r="H264" i="1"/>
  <c r="I264" i="1" s="1"/>
  <c r="H263" i="1"/>
  <c r="I263" i="1" s="1"/>
  <c r="H262" i="1"/>
  <c r="I262" i="1" s="1"/>
  <c r="H261" i="1"/>
  <c r="I261" i="1" s="1"/>
  <c r="H260" i="1"/>
  <c r="I260" i="1" s="1"/>
  <c r="H259" i="1"/>
  <c r="I259" i="1" s="1"/>
  <c r="H258" i="1"/>
  <c r="I258" i="1" s="1"/>
  <c r="H257" i="1"/>
  <c r="I257" i="1" s="1"/>
  <c r="H256" i="1"/>
  <c r="I256" i="1" s="1"/>
  <c r="H255" i="1"/>
  <c r="I255" i="1" s="1"/>
  <c r="H254" i="1"/>
  <c r="I254" i="1" s="1"/>
  <c r="H253" i="1"/>
  <c r="I253" i="1" s="1"/>
  <c r="H252" i="1"/>
  <c r="I252" i="1" s="1"/>
  <c r="H251" i="1"/>
  <c r="I251" i="1" s="1"/>
  <c r="H250" i="1"/>
  <c r="I250" i="1" s="1"/>
  <c r="H249" i="1"/>
  <c r="I249" i="1" s="1"/>
  <c r="H248" i="1"/>
  <c r="I248" i="1" s="1"/>
  <c r="H247" i="1"/>
  <c r="I247" i="1" s="1"/>
  <c r="H246" i="1"/>
  <c r="I246" i="1" s="1"/>
  <c r="H245" i="1"/>
  <c r="I245" i="1" s="1"/>
  <c r="H244" i="1"/>
  <c r="I244" i="1" s="1"/>
  <c r="H243" i="1"/>
  <c r="I243" i="1" s="1"/>
  <c r="H242" i="1"/>
  <c r="I242" i="1" s="1"/>
  <c r="H241" i="1"/>
  <c r="I241" i="1" s="1"/>
  <c r="H240" i="1"/>
  <c r="I240" i="1" s="1"/>
  <c r="H239" i="1"/>
  <c r="I239" i="1" s="1"/>
  <c r="H238" i="1"/>
  <c r="I238" i="1" s="1"/>
  <c r="H237" i="1"/>
  <c r="I237" i="1" s="1"/>
  <c r="H236" i="1"/>
  <c r="I236" i="1" s="1"/>
  <c r="H235" i="1"/>
  <c r="I235" i="1" s="1"/>
  <c r="H234" i="1"/>
  <c r="I234" i="1" s="1"/>
  <c r="H233" i="1"/>
  <c r="I233" i="1" s="1"/>
  <c r="H232" i="1"/>
  <c r="I232" i="1" s="1"/>
  <c r="H231" i="1"/>
  <c r="I231" i="1" s="1"/>
  <c r="H230" i="1"/>
  <c r="I230" i="1" s="1"/>
  <c r="H229" i="1"/>
  <c r="I229" i="1" s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H218" i="1"/>
  <c r="I218" i="1" s="1"/>
  <c r="H217" i="1"/>
  <c r="I217" i="1" s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186" i="1"/>
  <c r="I186" i="1" s="1"/>
  <c r="H185" i="1"/>
  <c r="I185" i="1" s="1"/>
  <c r="H184" i="1"/>
  <c r="I184" i="1" s="1"/>
  <c r="H183" i="1"/>
  <c r="I183" i="1" s="1"/>
  <c r="H182" i="1"/>
  <c r="I182" i="1" s="1"/>
  <c r="H181" i="1"/>
  <c r="I181" i="1" s="1"/>
  <c r="H180" i="1"/>
  <c r="I180" i="1" s="1"/>
  <c r="H179" i="1"/>
  <c r="I179" i="1" s="1"/>
  <c r="H178" i="1"/>
  <c r="I178" i="1" s="1"/>
  <c r="H177" i="1"/>
  <c r="I177" i="1" s="1"/>
  <c r="H176" i="1"/>
  <c r="I176" i="1" s="1"/>
  <c r="H175" i="1"/>
  <c r="I175" i="1" s="1"/>
  <c r="H174" i="1"/>
  <c r="I174" i="1" s="1"/>
  <c r="H173" i="1"/>
  <c r="I173" i="1" s="1"/>
  <c r="H172" i="1"/>
  <c r="I172" i="1" s="1"/>
  <c r="H171" i="1"/>
  <c r="I171" i="1" s="1"/>
  <c r="H170" i="1"/>
  <c r="I170" i="1" s="1"/>
  <c r="H169" i="1"/>
  <c r="I169" i="1" s="1"/>
  <c r="H168" i="1"/>
  <c r="I168" i="1" s="1"/>
  <c r="H167" i="1"/>
  <c r="I167" i="1" s="1"/>
  <c r="H166" i="1"/>
  <c r="I166" i="1" s="1"/>
  <c r="H165" i="1"/>
  <c r="I165" i="1" s="1"/>
  <c r="H164" i="1"/>
  <c r="I164" i="1" s="1"/>
  <c r="H163" i="1"/>
  <c r="I163" i="1" s="1"/>
  <c r="H162" i="1"/>
  <c r="I162" i="1" s="1"/>
  <c r="H161" i="1"/>
  <c r="I161" i="1" s="1"/>
  <c r="H160" i="1"/>
  <c r="I160" i="1" s="1"/>
  <c r="H159" i="1"/>
  <c r="I159" i="1" s="1"/>
  <c r="H158" i="1"/>
  <c r="I158" i="1" s="1"/>
  <c r="H157" i="1"/>
  <c r="I157" i="1" s="1"/>
  <c r="H156" i="1"/>
  <c r="I156" i="1" s="1"/>
  <c r="H155" i="1"/>
  <c r="I155" i="1" s="1"/>
  <c r="H154" i="1"/>
  <c r="I154" i="1" s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5" i="1"/>
  <c r="I145" i="1" s="1"/>
  <c r="H144" i="1"/>
  <c r="I144" i="1" s="1"/>
  <c r="H143" i="1"/>
  <c r="I143" i="1" s="1"/>
  <c r="H142" i="1"/>
  <c r="I142" i="1" s="1"/>
  <c r="H141" i="1"/>
  <c r="I141" i="1" s="1"/>
  <c r="H140" i="1"/>
  <c r="I140" i="1" s="1"/>
  <c r="H139" i="1"/>
  <c r="I139" i="1" s="1"/>
  <c r="H138" i="1"/>
  <c r="I138" i="1" s="1"/>
  <c r="H137" i="1"/>
  <c r="I137" i="1" s="1"/>
  <c r="H136" i="1"/>
  <c r="I136" i="1" s="1"/>
  <c r="H135" i="1"/>
  <c r="I135" i="1" s="1"/>
  <c r="H134" i="1"/>
  <c r="I134" i="1" s="1"/>
  <c r="H133" i="1"/>
  <c r="I133" i="1" s="1"/>
  <c r="H132" i="1"/>
  <c r="I132" i="1" s="1"/>
  <c r="H131" i="1"/>
  <c r="I131" i="1" s="1"/>
  <c r="H130" i="1"/>
  <c r="I130" i="1" s="1"/>
  <c r="H129" i="1"/>
  <c r="I129" i="1" s="1"/>
  <c r="H128" i="1"/>
  <c r="I128" i="1" s="1"/>
  <c r="H127" i="1"/>
  <c r="I127" i="1" s="1"/>
  <c r="H126" i="1"/>
  <c r="I126" i="1" s="1"/>
  <c r="H125" i="1"/>
  <c r="I125" i="1" s="1"/>
  <c r="H124" i="1"/>
  <c r="I124" i="1" s="1"/>
  <c r="H123" i="1"/>
  <c r="I123" i="1" s="1"/>
  <c r="H122" i="1"/>
  <c r="I122" i="1" s="1"/>
  <c r="H121" i="1"/>
  <c r="I121" i="1" s="1"/>
  <c r="H120" i="1"/>
  <c r="I120" i="1" s="1"/>
  <c r="H119" i="1"/>
  <c r="I119" i="1" s="1"/>
  <c r="H118" i="1"/>
  <c r="I118" i="1" s="1"/>
  <c r="H117" i="1"/>
  <c r="I117" i="1" s="1"/>
  <c r="H116" i="1"/>
  <c r="I116" i="1" s="1"/>
  <c r="H115" i="1"/>
  <c r="I115" i="1" s="1"/>
  <c r="H114" i="1"/>
  <c r="I114" i="1" s="1"/>
  <c r="H113" i="1"/>
  <c r="I113" i="1" s="1"/>
  <c r="H112" i="1"/>
  <c r="I112" i="1" s="1"/>
  <c r="H111" i="1"/>
  <c r="I111" i="1" s="1"/>
  <c r="H110" i="1"/>
  <c r="I110" i="1" s="1"/>
  <c r="H109" i="1"/>
  <c r="I109" i="1" s="1"/>
  <c r="H108" i="1"/>
  <c r="I108" i="1" s="1"/>
  <c r="H107" i="1"/>
  <c r="I107" i="1" s="1"/>
  <c r="H106" i="1"/>
  <c r="I106" i="1" s="1"/>
  <c r="H105" i="1"/>
  <c r="I105" i="1" s="1"/>
  <c r="H104" i="1"/>
  <c r="I104" i="1" s="1"/>
  <c r="H103" i="1"/>
  <c r="I103" i="1" s="1"/>
  <c r="H102" i="1"/>
  <c r="I102" i="1" s="1"/>
  <c r="H101" i="1"/>
  <c r="I101" i="1" s="1"/>
  <c r="H100" i="1"/>
  <c r="I100" i="1" s="1"/>
  <c r="H99" i="1"/>
  <c r="I99" i="1" s="1"/>
  <c r="H98" i="1"/>
  <c r="I98" i="1" s="1"/>
  <c r="H97" i="1"/>
  <c r="I97" i="1" s="1"/>
  <c r="H96" i="1"/>
  <c r="I96" i="1" s="1"/>
  <c r="H95" i="1"/>
  <c r="I95" i="1" s="1"/>
  <c r="H94" i="1"/>
  <c r="I94" i="1" s="1"/>
  <c r="H93" i="1"/>
  <c r="I93" i="1" s="1"/>
  <c r="H92" i="1"/>
  <c r="I92" i="1" s="1"/>
  <c r="H91" i="1"/>
  <c r="I91" i="1" s="1"/>
  <c r="H90" i="1"/>
  <c r="I90" i="1" s="1"/>
  <c r="H89" i="1"/>
  <c r="I89" i="1" s="1"/>
  <c r="H88" i="1"/>
  <c r="I88" i="1" s="1"/>
  <c r="H87" i="1"/>
  <c r="I87" i="1" s="1"/>
  <c r="H86" i="1"/>
  <c r="I86" i="1" s="1"/>
  <c r="H85" i="1"/>
  <c r="I85" i="1" s="1"/>
  <c r="H84" i="1"/>
  <c r="I84" i="1" s="1"/>
  <c r="H83" i="1"/>
  <c r="I83" i="1" s="1"/>
  <c r="H82" i="1"/>
  <c r="I82" i="1" s="1"/>
  <c r="H81" i="1"/>
  <c r="I81" i="1" s="1"/>
  <c r="H80" i="1"/>
  <c r="I80" i="1" s="1"/>
  <c r="H79" i="1"/>
  <c r="I79" i="1" s="1"/>
  <c r="H78" i="1"/>
  <c r="I78" i="1" s="1"/>
  <c r="H77" i="1"/>
  <c r="I77" i="1" s="1"/>
  <c r="H76" i="1"/>
  <c r="I76" i="1" s="1"/>
  <c r="H75" i="1"/>
  <c r="I75" i="1" s="1"/>
  <c r="H74" i="1"/>
  <c r="I74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L17" i="1"/>
  <c r="H17" i="1"/>
  <c r="I17" i="1" s="1"/>
  <c r="L16" i="1"/>
  <c r="H16" i="1"/>
  <c r="I16" i="1" s="1"/>
  <c r="H15" i="1"/>
  <c r="I15" i="1" s="1"/>
  <c r="J14" i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C54" i="8" l="1"/>
  <c r="C12" i="7"/>
  <c r="E12" i="7" s="1"/>
  <c r="C27" i="7"/>
  <c r="C30" i="7" s="1"/>
  <c r="C168" i="5"/>
  <c r="C170" i="5" s="1"/>
  <c r="F182" i="5" s="1"/>
  <c r="G182" i="5" s="1"/>
  <c r="B158" i="5"/>
  <c r="B143" i="5"/>
  <c r="B142" i="5"/>
  <c r="D140" i="5"/>
  <c r="C141" i="5"/>
  <c r="B137" i="5"/>
  <c r="B136" i="5"/>
  <c r="C135" i="5"/>
  <c r="D134" i="5"/>
  <c r="B130" i="5"/>
  <c r="B131" i="5"/>
  <c r="C129" i="5"/>
  <c r="D128" i="5"/>
  <c r="B125" i="5"/>
  <c r="B124" i="5"/>
  <c r="C123" i="5"/>
  <c r="D122" i="5"/>
  <c r="C105" i="5"/>
  <c r="D180" i="5" s="1"/>
  <c r="C106" i="5"/>
  <c r="C107" i="5"/>
  <c r="C109" i="5" s="1"/>
  <c r="F180" i="5" s="1"/>
  <c r="G180" i="5" s="1"/>
  <c r="D87" i="5"/>
  <c r="C88" i="5"/>
  <c r="B83" i="5"/>
  <c r="B84" i="5"/>
  <c r="D81" i="5"/>
  <c r="C82" i="5"/>
  <c r="B77" i="5"/>
  <c r="B78" i="5"/>
  <c r="D75" i="5"/>
  <c r="C76" i="5"/>
  <c r="B71" i="5"/>
  <c r="B72" i="5"/>
  <c r="D69" i="5"/>
  <c r="C70" i="5"/>
  <c r="B66" i="5"/>
  <c r="B65" i="5"/>
  <c r="C64" i="5"/>
  <c r="D63" i="5"/>
  <c r="B59" i="5"/>
  <c r="B60" i="5"/>
  <c r="D57" i="5"/>
  <c r="C58" i="5"/>
  <c r="B54" i="5"/>
  <c r="B53" i="5"/>
  <c r="D51" i="5"/>
  <c r="C52" i="5"/>
  <c r="B47" i="5"/>
  <c r="B48" i="5"/>
  <c r="C46" i="5"/>
  <c r="D45" i="5"/>
  <c r="C40" i="5"/>
  <c r="D39" i="5"/>
  <c r="B36" i="5"/>
  <c r="B35" i="5"/>
  <c r="C34" i="5"/>
  <c r="D33" i="5"/>
  <c r="C25" i="5"/>
  <c r="C27" i="5" s="1"/>
  <c r="F178" i="5" s="1"/>
  <c r="G178" i="5" s="1"/>
  <c r="H178" i="5" s="1"/>
  <c r="C7" i="5"/>
  <c r="F177" i="5" s="1"/>
  <c r="G177" i="5" s="1"/>
  <c r="H177" i="5" s="1"/>
  <c r="C6" i="5"/>
  <c r="E177" i="5" s="1"/>
  <c r="C24" i="5"/>
  <c r="C26" i="5" s="1"/>
  <c r="E178" i="5" s="1"/>
  <c r="C23" i="5"/>
  <c r="D178" i="5" s="1"/>
  <c r="D177" i="5"/>
  <c r="S37" i="6"/>
  <c r="S39" i="6"/>
  <c r="T13" i="6"/>
  <c r="S38" i="6"/>
  <c r="R15" i="4"/>
  <c r="N15" i="4"/>
  <c r="S15" i="4"/>
  <c r="P15" i="4"/>
  <c r="Q15" i="4"/>
  <c r="T15" i="4"/>
  <c r="M15" i="4"/>
  <c r="O15" i="4"/>
  <c r="T8" i="3"/>
  <c r="K25" i="3"/>
  <c r="V11" i="6" s="1"/>
  <c r="S8" i="3"/>
  <c r="K24" i="3"/>
  <c r="V10" i="6" s="1"/>
  <c r="R8" i="3"/>
  <c r="K23" i="3"/>
  <c r="V9" i="6" s="1"/>
  <c r="Q8" i="3"/>
  <c r="K22" i="3"/>
  <c r="V8" i="6" s="1"/>
  <c r="P8" i="3"/>
  <c r="K21" i="3"/>
  <c r="V7" i="6" s="1"/>
  <c r="O8" i="3"/>
  <c r="K20" i="3"/>
  <c r="V6" i="6" s="1"/>
  <c r="N8" i="3"/>
  <c r="K19" i="3"/>
  <c r="V5" i="6" s="1"/>
  <c r="K18" i="3"/>
  <c r="V4" i="6" s="1"/>
  <c r="M8" i="3"/>
  <c r="L8" i="3"/>
  <c r="K17" i="3"/>
  <c r="V3" i="6" s="1"/>
  <c r="K8" i="3"/>
  <c r="K16" i="3"/>
  <c r="V2" i="6" s="1"/>
  <c r="P6" i="3"/>
  <c r="N21" i="3"/>
  <c r="U7" i="6" s="1"/>
  <c r="N20" i="3"/>
  <c r="U6" i="6" s="1"/>
  <c r="O6" i="3"/>
  <c r="N6" i="3"/>
  <c r="N19" i="3"/>
  <c r="U5" i="6" s="1"/>
  <c r="M6" i="3"/>
  <c r="N18" i="3"/>
  <c r="U4" i="6" s="1"/>
  <c r="L6" i="3"/>
  <c r="N17" i="3"/>
  <c r="U3" i="6" s="1"/>
  <c r="N16" i="3"/>
  <c r="U2" i="6" s="1"/>
  <c r="K6" i="3"/>
  <c r="L3" i="3"/>
  <c r="K3" i="3"/>
  <c r="T3" i="3"/>
  <c r="M3" i="3"/>
  <c r="N3" i="3"/>
  <c r="O3" i="3"/>
  <c r="P3" i="3"/>
  <c r="Q3" i="3"/>
  <c r="R3" i="3"/>
  <c r="S3" i="3"/>
  <c r="N18" i="4"/>
  <c r="D30" i="7" s="1"/>
  <c r="C57" i="8" l="1"/>
  <c r="D54" i="8"/>
  <c r="C166" i="5"/>
  <c r="D182" i="5" s="1"/>
  <c r="C167" i="5"/>
  <c r="C169" i="5" s="1"/>
  <c r="E182" i="5" s="1"/>
  <c r="H182" i="5" s="1"/>
  <c r="E140" i="5"/>
  <c r="D141" i="5"/>
  <c r="C142" i="5"/>
  <c r="C143" i="5"/>
  <c r="C137" i="5"/>
  <c r="C136" i="5"/>
  <c r="E134" i="5"/>
  <c r="D135" i="5"/>
  <c r="C130" i="5"/>
  <c r="C131" i="5"/>
  <c r="E128" i="5"/>
  <c r="D129" i="5"/>
  <c r="C124" i="5"/>
  <c r="C125" i="5"/>
  <c r="D123" i="5"/>
  <c r="E122" i="5"/>
  <c r="E87" i="5"/>
  <c r="D88" i="5"/>
  <c r="C89" i="5"/>
  <c r="C90" i="5"/>
  <c r="E81" i="5"/>
  <c r="D82" i="5"/>
  <c r="C83" i="5"/>
  <c r="C84" i="5"/>
  <c r="E75" i="5"/>
  <c r="D76" i="5"/>
  <c r="C77" i="5"/>
  <c r="C78" i="5"/>
  <c r="E69" i="5"/>
  <c r="D70" i="5"/>
  <c r="C71" i="5"/>
  <c r="C72" i="5"/>
  <c r="C65" i="5"/>
  <c r="C66" i="5"/>
  <c r="D64" i="5"/>
  <c r="E63" i="5"/>
  <c r="D58" i="5"/>
  <c r="E57" i="5"/>
  <c r="C59" i="5"/>
  <c r="C60" i="5"/>
  <c r="D52" i="5"/>
  <c r="E51" i="5"/>
  <c r="C53" i="5"/>
  <c r="C54" i="5"/>
  <c r="C47" i="5"/>
  <c r="C48" i="5"/>
  <c r="D46" i="5"/>
  <c r="E45" i="5"/>
  <c r="C41" i="5"/>
  <c r="C42" i="5"/>
  <c r="E39" i="5"/>
  <c r="D40" i="5"/>
  <c r="C35" i="5"/>
  <c r="C36" i="5"/>
  <c r="E33" i="5"/>
  <c r="D34" i="5"/>
  <c r="T9" i="3"/>
  <c r="L25" i="3"/>
  <c r="W11" i="6" s="1"/>
  <c r="S9" i="3"/>
  <c r="L24" i="3"/>
  <c r="W10" i="6" s="1"/>
  <c r="R9" i="3"/>
  <c r="L23" i="3"/>
  <c r="W9" i="6" s="1"/>
  <c r="Q9" i="3"/>
  <c r="L22" i="3"/>
  <c r="W8" i="6" s="1"/>
  <c r="P9" i="3"/>
  <c r="L21" i="3"/>
  <c r="W7" i="6" s="1"/>
  <c r="O9" i="3"/>
  <c r="L20" i="3"/>
  <c r="W6" i="6" s="1"/>
  <c r="N9" i="3"/>
  <c r="L19" i="3"/>
  <c r="W5" i="6" s="1"/>
  <c r="M9" i="3"/>
  <c r="L18" i="3"/>
  <c r="W4" i="6" s="1"/>
  <c r="L9" i="3"/>
  <c r="L17" i="3"/>
  <c r="W3" i="6" s="1"/>
  <c r="K9" i="3"/>
  <c r="L16" i="3"/>
  <c r="W2" i="6" s="1"/>
  <c r="C108" i="5"/>
  <c r="E180" i="5" s="1"/>
  <c r="H180" i="5" s="1"/>
  <c r="E30" i="7"/>
  <c r="G30" i="7" s="1"/>
  <c r="F140" i="5" l="1"/>
  <c r="E141" i="5"/>
  <c r="D142" i="5"/>
  <c r="D143" i="5"/>
  <c r="F134" i="5"/>
  <c r="E135" i="5"/>
  <c r="D136" i="5"/>
  <c r="D137" i="5"/>
  <c r="E129" i="5"/>
  <c r="F128" i="5"/>
  <c r="D130" i="5"/>
  <c r="D131" i="5"/>
  <c r="D125" i="5"/>
  <c r="D124" i="5"/>
  <c r="E123" i="5"/>
  <c r="F122" i="5"/>
  <c r="F87" i="5"/>
  <c r="E88" i="5"/>
  <c r="D89" i="5"/>
  <c r="D90" i="5"/>
  <c r="F81" i="5"/>
  <c r="E82" i="5"/>
  <c r="D83" i="5"/>
  <c r="D84" i="5"/>
  <c r="F75" i="5"/>
  <c r="E76" i="5"/>
  <c r="D77" i="5"/>
  <c r="D78" i="5"/>
  <c r="F69" i="5"/>
  <c r="E70" i="5"/>
  <c r="D71" i="5"/>
  <c r="D72" i="5"/>
  <c r="D65" i="5"/>
  <c r="D66" i="5"/>
  <c r="E64" i="5"/>
  <c r="F63" i="5"/>
  <c r="D60" i="5"/>
  <c r="D59" i="5"/>
  <c r="E58" i="5"/>
  <c r="F57" i="5"/>
  <c r="D54" i="5"/>
  <c r="D53" i="5"/>
  <c r="E52" i="5"/>
  <c r="F51" i="5"/>
  <c r="D47" i="5"/>
  <c r="D48" i="5"/>
  <c r="E46" i="5"/>
  <c r="F45" i="5"/>
  <c r="F39" i="5"/>
  <c r="E40" i="5"/>
  <c r="D41" i="5"/>
  <c r="D42" i="5"/>
  <c r="F33" i="5"/>
  <c r="E34" i="5"/>
  <c r="D35" i="5"/>
  <c r="D36" i="5"/>
  <c r="G140" i="5" l="1"/>
  <c r="F141" i="5"/>
  <c r="E142" i="5"/>
  <c r="E143" i="5"/>
  <c r="G134" i="5"/>
  <c r="F135" i="5"/>
  <c r="E136" i="5"/>
  <c r="E137" i="5"/>
  <c r="E130" i="5"/>
  <c r="E131" i="5"/>
  <c r="G128" i="5"/>
  <c r="F129" i="5"/>
  <c r="E124" i="5"/>
  <c r="E125" i="5"/>
  <c r="F123" i="5"/>
  <c r="G122" i="5"/>
  <c r="G87" i="5"/>
  <c r="F88" i="5"/>
  <c r="E89" i="5"/>
  <c r="E90" i="5"/>
  <c r="G81" i="5"/>
  <c r="F82" i="5"/>
  <c r="E83" i="5"/>
  <c r="E84" i="5"/>
  <c r="G75" i="5"/>
  <c r="F76" i="5"/>
  <c r="E77" i="5"/>
  <c r="E78" i="5"/>
  <c r="G69" i="5"/>
  <c r="F70" i="5"/>
  <c r="E71" i="5"/>
  <c r="E72" i="5"/>
  <c r="E65" i="5"/>
  <c r="E66" i="5"/>
  <c r="G63" i="5"/>
  <c r="F64" i="5"/>
  <c r="E59" i="5"/>
  <c r="E60" i="5"/>
  <c r="G57" i="5"/>
  <c r="F58" i="5"/>
  <c r="E53" i="5"/>
  <c r="E54" i="5"/>
  <c r="F52" i="5"/>
  <c r="G51" i="5"/>
  <c r="E47" i="5"/>
  <c r="E48" i="5"/>
  <c r="G45" i="5"/>
  <c r="F46" i="5"/>
  <c r="G39" i="5"/>
  <c r="F40" i="5"/>
  <c r="E41" i="5"/>
  <c r="E42" i="5"/>
  <c r="G33" i="5"/>
  <c r="F34" i="5"/>
  <c r="E35" i="5"/>
  <c r="E36" i="5"/>
  <c r="H140" i="5" l="1"/>
  <c r="G141" i="5"/>
  <c r="F143" i="5"/>
  <c r="F142" i="5"/>
  <c r="H134" i="5"/>
  <c r="G135" i="5"/>
  <c r="F137" i="5"/>
  <c r="F136" i="5"/>
  <c r="H128" i="5"/>
  <c r="G129" i="5"/>
  <c r="F130" i="5"/>
  <c r="F131" i="5"/>
  <c r="F125" i="5"/>
  <c r="F124" i="5"/>
  <c r="H122" i="5"/>
  <c r="G123" i="5"/>
  <c r="H87" i="5"/>
  <c r="G88" i="5"/>
  <c r="F89" i="5"/>
  <c r="F90" i="5"/>
  <c r="H81" i="5"/>
  <c r="G82" i="5"/>
  <c r="F83" i="5"/>
  <c r="F84" i="5"/>
  <c r="H75" i="5"/>
  <c r="G76" i="5"/>
  <c r="F77" i="5"/>
  <c r="F78" i="5"/>
  <c r="H69" i="5"/>
  <c r="G70" i="5"/>
  <c r="F71" i="5"/>
  <c r="F72" i="5"/>
  <c r="H63" i="5"/>
  <c r="G64" i="5"/>
  <c r="F65" i="5"/>
  <c r="F66" i="5"/>
  <c r="H57" i="5"/>
  <c r="G58" i="5"/>
  <c r="F59" i="5"/>
  <c r="F60" i="5"/>
  <c r="F53" i="5"/>
  <c r="F54" i="5"/>
  <c r="H51" i="5"/>
  <c r="G52" i="5"/>
  <c r="G46" i="5"/>
  <c r="H45" i="5"/>
  <c r="F48" i="5"/>
  <c r="F47" i="5"/>
  <c r="H39" i="5"/>
  <c r="G40" i="5"/>
  <c r="F41" i="5"/>
  <c r="F42" i="5"/>
  <c r="H33" i="5"/>
  <c r="G34" i="5"/>
  <c r="F35" i="5"/>
  <c r="F36" i="5"/>
  <c r="I140" i="5" l="1"/>
  <c r="H141" i="5"/>
  <c r="G143" i="5"/>
  <c r="G142" i="5"/>
  <c r="I134" i="5"/>
  <c r="H135" i="5"/>
  <c r="G137" i="5"/>
  <c r="G136" i="5"/>
  <c r="H129" i="5"/>
  <c r="I128" i="5"/>
  <c r="G130" i="5"/>
  <c r="G131" i="5"/>
  <c r="H123" i="5"/>
  <c r="I122" i="5"/>
  <c r="G125" i="5"/>
  <c r="G124" i="5"/>
  <c r="I87" i="5"/>
  <c r="H88" i="5"/>
  <c r="G89" i="5"/>
  <c r="G90" i="5"/>
  <c r="I81" i="5"/>
  <c r="H82" i="5"/>
  <c r="G83" i="5"/>
  <c r="G84" i="5"/>
  <c r="I75" i="5"/>
  <c r="H76" i="5"/>
  <c r="G77" i="5"/>
  <c r="G78" i="5"/>
  <c r="I69" i="5"/>
  <c r="H70" i="5"/>
  <c r="G71" i="5"/>
  <c r="G72" i="5"/>
  <c r="I63" i="5"/>
  <c r="H64" i="5"/>
  <c r="G65" i="5"/>
  <c r="G66" i="5"/>
  <c r="I57" i="5"/>
  <c r="H58" i="5"/>
  <c r="G59" i="5"/>
  <c r="G60" i="5"/>
  <c r="I51" i="5"/>
  <c r="H52" i="5"/>
  <c r="G54" i="5"/>
  <c r="G53" i="5"/>
  <c r="G47" i="5"/>
  <c r="G48" i="5"/>
  <c r="H46" i="5"/>
  <c r="I45" i="5"/>
  <c r="I39" i="5"/>
  <c r="H40" i="5"/>
  <c r="G41" i="5"/>
  <c r="G42" i="5"/>
  <c r="I33" i="5"/>
  <c r="H34" i="5"/>
  <c r="G35" i="5"/>
  <c r="G36" i="5"/>
  <c r="J140" i="5" l="1"/>
  <c r="I141" i="5"/>
  <c r="H142" i="5"/>
  <c r="H143" i="5"/>
  <c r="I135" i="5"/>
  <c r="J134" i="5"/>
  <c r="H136" i="5"/>
  <c r="H137" i="5"/>
  <c r="H131" i="5"/>
  <c r="H130" i="5"/>
  <c r="I129" i="5"/>
  <c r="J128" i="5"/>
  <c r="H125" i="5"/>
  <c r="H124" i="5"/>
  <c r="J122" i="5"/>
  <c r="I123" i="5"/>
  <c r="J87" i="5"/>
  <c r="I88" i="5"/>
  <c r="H89" i="5"/>
  <c r="H90" i="5"/>
  <c r="J81" i="5"/>
  <c r="I82" i="5"/>
  <c r="H83" i="5"/>
  <c r="H84" i="5"/>
  <c r="J75" i="5"/>
  <c r="I76" i="5"/>
  <c r="H77" i="5"/>
  <c r="H78" i="5"/>
  <c r="J69" i="5"/>
  <c r="I70" i="5"/>
  <c r="H71" i="5"/>
  <c r="H72" i="5"/>
  <c r="J63" i="5"/>
  <c r="I64" i="5"/>
  <c r="H65" i="5"/>
  <c r="H66" i="5"/>
  <c r="I58" i="5"/>
  <c r="J57" i="5"/>
  <c r="H59" i="5"/>
  <c r="H60" i="5"/>
  <c r="I52" i="5"/>
  <c r="J51" i="5"/>
  <c r="H53" i="5"/>
  <c r="H54" i="5"/>
  <c r="H47" i="5"/>
  <c r="H48" i="5"/>
  <c r="J45" i="5"/>
  <c r="I46" i="5"/>
  <c r="J39" i="5"/>
  <c r="I40" i="5"/>
  <c r="H41" i="5"/>
  <c r="H42" i="5"/>
  <c r="J33" i="5"/>
  <c r="I34" i="5"/>
  <c r="H35" i="5"/>
  <c r="H36" i="5"/>
  <c r="K140" i="5" l="1"/>
  <c r="J141" i="5"/>
  <c r="I143" i="5"/>
  <c r="I142" i="5"/>
  <c r="I137" i="5"/>
  <c r="I136" i="5"/>
  <c r="J135" i="5"/>
  <c r="K134" i="5"/>
  <c r="I131" i="5"/>
  <c r="I130" i="5"/>
  <c r="K128" i="5"/>
  <c r="J129" i="5"/>
  <c r="J123" i="5"/>
  <c r="K122" i="5"/>
  <c r="I125" i="5"/>
  <c r="I124" i="5"/>
  <c r="K87" i="5"/>
  <c r="J88" i="5"/>
  <c r="I89" i="5"/>
  <c r="I90" i="5"/>
  <c r="K81" i="5"/>
  <c r="J82" i="5"/>
  <c r="I83" i="5"/>
  <c r="I84" i="5"/>
  <c r="K75" i="5"/>
  <c r="J76" i="5"/>
  <c r="I77" i="5"/>
  <c r="I78" i="5"/>
  <c r="K69" i="5"/>
  <c r="J70" i="5"/>
  <c r="I71" i="5"/>
  <c r="I72" i="5"/>
  <c r="K63" i="5"/>
  <c r="J64" i="5"/>
  <c r="I65" i="5"/>
  <c r="I66" i="5"/>
  <c r="I59" i="5"/>
  <c r="I60" i="5"/>
  <c r="J58" i="5"/>
  <c r="K57" i="5"/>
  <c r="I53" i="5"/>
  <c r="I54" i="5"/>
  <c r="K51" i="5"/>
  <c r="J52" i="5"/>
  <c r="K45" i="5"/>
  <c r="J46" i="5"/>
  <c r="I48" i="5"/>
  <c r="I47" i="5"/>
  <c r="K39" i="5"/>
  <c r="J40" i="5"/>
  <c r="I42" i="5"/>
  <c r="I41" i="5"/>
  <c r="K33" i="5"/>
  <c r="J34" i="5"/>
  <c r="I35" i="5"/>
  <c r="I36" i="5"/>
  <c r="K141" i="5" l="1"/>
  <c r="L140" i="5"/>
  <c r="J142" i="5"/>
  <c r="J143" i="5"/>
  <c r="J137" i="5"/>
  <c r="J136" i="5"/>
  <c r="L134" i="5"/>
  <c r="K135" i="5"/>
  <c r="L128" i="5"/>
  <c r="K129" i="5"/>
  <c r="J131" i="5"/>
  <c r="J130" i="5"/>
  <c r="J124" i="5"/>
  <c r="J125" i="5"/>
  <c r="L122" i="5"/>
  <c r="K123" i="5"/>
  <c r="L87" i="5"/>
  <c r="K88" i="5"/>
  <c r="J89" i="5"/>
  <c r="J90" i="5"/>
  <c r="L81" i="5"/>
  <c r="K82" i="5"/>
  <c r="J83" i="5"/>
  <c r="J84" i="5"/>
  <c r="L75" i="5"/>
  <c r="K76" i="5"/>
  <c r="J77" i="5"/>
  <c r="J78" i="5"/>
  <c r="L69" i="5"/>
  <c r="K70" i="5"/>
  <c r="J71" i="5"/>
  <c r="J72" i="5"/>
  <c r="L63" i="5"/>
  <c r="K64" i="5"/>
  <c r="J65" i="5"/>
  <c r="J66" i="5"/>
  <c r="J60" i="5"/>
  <c r="J59" i="5"/>
  <c r="L57" i="5"/>
  <c r="K58" i="5"/>
  <c r="L51" i="5"/>
  <c r="K52" i="5"/>
  <c r="J54" i="5"/>
  <c r="J53" i="5"/>
  <c r="L45" i="5"/>
  <c r="K46" i="5"/>
  <c r="J48" i="5"/>
  <c r="J47" i="5"/>
  <c r="L39" i="5"/>
  <c r="K40" i="5"/>
  <c r="J42" i="5"/>
  <c r="J41" i="5"/>
  <c r="L33" i="5"/>
  <c r="K34" i="5"/>
  <c r="J35" i="5"/>
  <c r="J36" i="5"/>
  <c r="K142" i="5" l="1"/>
  <c r="K143" i="5"/>
  <c r="M140" i="5"/>
  <c r="L141" i="5"/>
  <c r="M134" i="5"/>
  <c r="L135" i="5"/>
  <c r="K136" i="5"/>
  <c r="K137" i="5"/>
  <c r="L129" i="5"/>
  <c r="M128" i="5"/>
  <c r="K130" i="5"/>
  <c r="K131" i="5"/>
  <c r="L123" i="5"/>
  <c r="M122" i="5"/>
  <c r="K124" i="5"/>
  <c r="K125" i="5"/>
  <c r="M87" i="5"/>
  <c r="L88" i="5"/>
  <c r="K89" i="5"/>
  <c r="K90" i="5"/>
  <c r="M81" i="5"/>
  <c r="L82" i="5"/>
  <c r="K83" i="5"/>
  <c r="K84" i="5"/>
  <c r="M75" i="5"/>
  <c r="L76" i="5"/>
  <c r="K77" i="5"/>
  <c r="K78" i="5"/>
  <c r="M69" i="5"/>
  <c r="L70" i="5"/>
  <c r="K71" i="5"/>
  <c r="K72" i="5"/>
  <c r="L64" i="5"/>
  <c r="M63" i="5"/>
  <c r="K65" i="5"/>
  <c r="K66" i="5"/>
  <c r="L58" i="5"/>
  <c r="M57" i="5"/>
  <c r="K59" i="5"/>
  <c r="K60" i="5"/>
  <c r="M51" i="5"/>
  <c r="L52" i="5"/>
  <c r="K54" i="5"/>
  <c r="K53" i="5"/>
  <c r="M45" i="5"/>
  <c r="L46" i="5"/>
  <c r="K48" i="5"/>
  <c r="K47" i="5"/>
  <c r="M39" i="5"/>
  <c r="L40" i="5"/>
  <c r="K41" i="5"/>
  <c r="K42" i="5"/>
  <c r="M33" i="5"/>
  <c r="L34" i="5"/>
  <c r="K35" i="5"/>
  <c r="K36" i="5"/>
  <c r="N140" i="5" l="1"/>
  <c r="N141" i="5" s="1"/>
  <c r="M141" i="5"/>
  <c r="L142" i="5"/>
  <c r="L143" i="5"/>
  <c r="M135" i="5"/>
  <c r="N134" i="5"/>
  <c r="N135" i="5" s="1"/>
  <c r="L137" i="5"/>
  <c r="L136" i="5"/>
  <c r="L130" i="5"/>
  <c r="L131" i="5"/>
  <c r="N128" i="5"/>
  <c r="N129" i="5" s="1"/>
  <c r="M129" i="5"/>
  <c r="L124" i="5"/>
  <c r="L125" i="5"/>
  <c r="N122" i="5"/>
  <c r="N123" i="5" s="1"/>
  <c r="M123" i="5"/>
  <c r="N87" i="5"/>
  <c r="N88" i="5" s="1"/>
  <c r="M88" i="5"/>
  <c r="L89" i="5"/>
  <c r="L90" i="5"/>
  <c r="N81" i="5"/>
  <c r="N82" i="5" s="1"/>
  <c r="M82" i="5"/>
  <c r="L83" i="5"/>
  <c r="L84" i="5"/>
  <c r="N75" i="5"/>
  <c r="N76" i="5" s="1"/>
  <c r="M76" i="5"/>
  <c r="L77" i="5"/>
  <c r="L78" i="5"/>
  <c r="N69" i="5"/>
  <c r="N70" i="5" s="1"/>
  <c r="M70" i="5"/>
  <c r="L71" i="5"/>
  <c r="L72" i="5"/>
  <c r="L65" i="5"/>
  <c r="L66" i="5"/>
  <c r="M64" i="5"/>
  <c r="N63" i="5"/>
  <c r="N64" i="5" s="1"/>
  <c r="L60" i="5"/>
  <c r="L59" i="5"/>
  <c r="M58" i="5"/>
  <c r="N57" i="5"/>
  <c r="N58" i="5" s="1"/>
  <c r="M52" i="5"/>
  <c r="N51" i="5"/>
  <c r="N52" i="5" s="1"/>
  <c r="L53" i="5"/>
  <c r="L54" i="5"/>
  <c r="M46" i="5"/>
  <c r="N45" i="5"/>
  <c r="N46" i="5" s="1"/>
  <c r="L47" i="5"/>
  <c r="L48" i="5"/>
  <c r="N39" i="5"/>
  <c r="N40" i="5" s="1"/>
  <c r="M40" i="5"/>
  <c r="L41" i="5"/>
  <c r="L42" i="5"/>
  <c r="N33" i="5"/>
  <c r="N34" i="5" s="1"/>
  <c r="M34" i="5"/>
  <c r="L35" i="5"/>
  <c r="L36" i="5"/>
  <c r="N142" i="5" l="1"/>
  <c r="N143" i="5"/>
  <c r="M142" i="5"/>
  <c r="M143" i="5"/>
  <c r="M136" i="5"/>
  <c r="M137" i="5"/>
  <c r="N136" i="5"/>
  <c r="N137" i="5"/>
  <c r="N130" i="5"/>
  <c r="N131" i="5"/>
  <c r="M131" i="5"/>
  <c r="M130" i="5"/>
  <c r="N124" i="5"/>
  <c r="N125" i="5"/>
  <c r="M124" i="5"/>
  <c r="M125" i="5"/>
  <c r="N90" i="5"/>
  <c r="N89" i="5"/>
  <c r="M89" i="5"/>
  <c r="M90" i="5"/>
  <c r="N83" i="5"/>
  <c r="N84" i="5"/>
  <c r="M83" i="5"/>
  <c r="M84" i="5"/>
  <c r="N77" i="5"/>
  <c r="N78" i="5"/>
  <c r="M77" i="5"/>
  <c r="M78" i="5"/>
  <c r="N71" i="5"/>
  <c r="N72" i="5"/>
  <c r="M71" i="5"/>
  <c r="M72" i="5"/>
  <c r="M65" i="5"/>
  <c r="M66" i="5"/>
  <c r="N65" i="5"/>
  <c r="N66" i="5"/>
  <c r="M59" i="5"/>
  <c r="M60" i="5"/>
  <c r="N60" i="5"/>
  <c r="N59" i="5"/>
  <c r="M54" i="5"/>
  <c r="M53" i="5"/>
  <c r="N53" i="5"/>
  <c r="N54" i="5"/>
  <c r="M47" i="5"/>
  <c r="M48" i="5"/>
  <c r="N47" i="5"/>
  <c r="N48" i="5"/>
  <c r="N42" i="5"/>
  <c r="N41" i="5"/>
  <c r="M41" i="5"/>
  <c r="M42" i="5"/>
  <c r="N35" i="5"/>
  <c r="N36" i="5"/>
  <c r="M35" i="5"/>
  <c r="M36" i="5"/>
  <c r="C147" i="5" l="1"/>
  <c r="C149" i="5" s="1"/>
  <c r="F181" i="5" s="1"/>
  <c r="G181" i="5" s="1"/>
  <c r="C146" i="5"/>
  <c r="C145" i="5"/>
  <c r="D181" i="5" s="1"/>
  <c r="C94" i="5"/>
  <c r="C96" i="5" s="1"/>
  <c r="F179" i="5" s="1"/>
  <c r="G179" i="5" s="1"/>
  <c r="H179" i="5" s="1"/>
  <c r="C92" i="5"/>
  <c r="D179" i="5" s="1"/>
  <c r="C93" i="5"/>
  <c r="C95" i="5" s="1"/>
  <c r="E179" i="5" s="1"/>
  <c r="C148" i="5" l="1"/>
  <c r="E181" i="5" s="1"/>
  <c r="H181" i="5" s="1"/>
  <c r="F184" i="5" s="1"/>
  <c r="F186" i="5" l="1"/>
  <c r="F189" i="5"/>
  <c r="F27" i="7" s="1"/>
  <c r="F188" i="5"/>
  <c r="D27" i="7" s="1"/>
  <c r="E27" i="7" s="1"/>
  <c r="F187" i="5"/>
  <c r="G27" i="7" l="1"/>
  <c r="E31" i="7"/>
  <c r="L6" i="6"/>
  <c r="M6" i="6" s="1"/>
  <c r="G31" i="7" l="1"/>
  <c r="E37" i="7"/>
  <c r="C49" i="8" s="1"/>
  <c r="C11" i="7"/>
  <c r="D29" i="7"/>
  <c r="E29" i="7" s="1"/>
  <c r="G29" i="7" s="1"/>
  <c r="C42" i="7"/>
  <c r="E11" i="7" l="1"/>
  <c r="C13" i="7"/>
  <c r="F13" i="7" s="1"/>
  <c r="E14" i="7" s="1"/>
  <c r="D28" i="7" s="1"/>
  <c r="E28" i="7" s="1"/>
  <c r="L14" i="1"/>
  <c r="C48" i="8"/>
  <c r="D48" i="8" s="1"/>
  <c r="F31" i="7" l="1"/>
  <c r="E38" i="7" s="1"/>
  <c r="G28" i="7"/>
  <c r="C52" i="8" l="1"/>
  <c r="E39" i="7"/>
  <c r="J42" i="7"/>
  <c r="C50" i="8" l="1"/>
  <c r="C51" i="8" s="1"/>
  <c r="G42" i="7" l="1"/>
  <c r="L15" i="1"/>
  <c r="M16" i="1" s="1"/>
  <c r="N14" i="1" l="1"/>
  <c r="M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B3" authorId="0" shapeId="0" xr:uid="{00000000-0006-0000-0400-000001000000}">
      <text>
        <r>
          <rPr>
            <sz val="10"/>
            <color rgb="FF000000"/>
            <rFont val="Arial"/>
            <family val="2"/>
          </rPr>
          <t>Microsoft Office User:
= variance / sum(variance)</t>
        </r>
      </text>
    </comment>
  </commentList>
</comments>
</file>

<file path=xl/sharedStrings.xml><?xml version="1.0" encoding="utf-8"?>
<sst xmlns="http://schemas.openxmlformats.org/spreadsheetml/2006/main" count="674" uniqueCount="324">
  <si>
    <t>SampleID</t>
  </si>
  <si>
    <t>SampleNo</t>
  </si>
  <si>
    <t>Ratio</t>
  </si>
  <si>
    <t>LSSet</t>
  </si>
  <si>
    <t>BreakSet</t>
  </si>
  <si>
    <t>Day</t>
  </si>
  <si>
    <t>Port</t>
  </si>
  <si>
    <t>ValueG</t>
  </si>
  <si>
    <t>Test</t>
  </si>
  <si>
    <t>11/25/2024 - CEC checked/amended original file after reviewing raw data, now addresses everythign in "…-marked.xls"</t>
  </si>
  <si>
    <t>SampleID = SRM designation (eg., 41-M-05)</t>
  </si>
  <si>
    <t>SampleNo = number associated with sampleID (e.g., 5)</t>
  </si>
  <si>
    <t>Ratio = ratio of response to LS</t>
  </si>
  <si>
    <t>LSSet = all ratios measured between LS measurements are a "set" and are assigned the same number (1,2,3…)</t>
  </si>
  <si>
    <t>BreakSet = all ratios measured without significant interruption (COGAS setup)</t>
  </si>
  <si>
    <t>Day = All measurements taken on the same day</t>
  </si>
  <si>
    <t>Port = COGAS Port number</t>
  </si>
  <si>
    <t>Named Range: RatioData</t>
  </si>
  <si>
    <t>R Values</t>
  </si>
  <si>
    <t>Low</t>
  </si>
  <si>
    <t>High</t>
  </si>
  <si>
    <t>Lot Standard</t>
  </si>
  <si>
    <t>Uncertainty</t>
  </si>
  <si>
    <t>Allowed coverage</t>
  </si>
  <si>
    <t xml:space="preserve">Number of points = </t>
  </si>
  <si>
    <t>Put SRM information here</t>
  </si>
  <si>
    <t>SRM#</t>
  </si>
  <si>
    <t>SRM 2627a</t>
  </si>
  <si>
    <t>&lt;---THIS WILL PREPARE THE SPREADSHEETS FOR NEW DATA</t>
  </si>
  <si>
    <t>Nominal</t>
  </si>
  <si>
    <t>5 ppm NO in N2</t>
  </si>
  <si>
    <t>&lt;--DO NOT USE ON A SPREEDSHEET YOU HAVE NOT SAVED</t>
  </si>
  <si>
    <t>Units</t>
  </si>
  <si>
    <t>ppm</t>
  </si>
  <si>
    <t>Polynomial =</t>
  </si>
  <si>
    <t>Interations =</t>
  </si>
  <si>
    <t xml:space="preserve">Cores = </t>
  </si>
  <si>
    <t>Before sending your data to Christina, please format the filename as follows:</t>
  </si>
  <si>
    <r>
      <rPr>
        <sz val="9"/>
        <rFont val="Univers"/>
        <charset val="1"/>
      </rPr>
      <t>[SRM number]_[Series]_[your initials]_[</t>
    </r>
    <r>
      <rPr>
        <i/>
        <sz val="9"/>
        <rFont val="Univers"/>
        <charset val="1"/>
      </rPr>
      <t>component - only for NO/NOx</t>
    </r>
    <r>
      <rPr>
        <sz val="9"/>
        <rFont val="Univers"/>
        <charset val="1"/>
      </rPr>
      <t>].xls</t>
    </r>
  </si>
  <si>
    <t>Examples:</t>
  </si>
  <si>
    <t>SRM1687b_SeriesM_CEL_NO.xls</t>
  </si>
  <si>
    <t>No spaces!</t>
  </si>
  <si>
    <t>SRM1693a_SeriesN_MEK.xls</t>
  </si>
  <si>
    <t>CylinderNo</t>
  </si>
  <si>
    <t>VendorRatio</t>
  </si>
  <si>
    <t>Average</t>
  </si>
  <si>
    <t>Stdev</t>
  </si>
  <si>
    <t>%rel</t>
  </si>
  <si>
    <t>Vendor</t>
  </si>
  <si>
    <t>NIST</t>
  </si>
  <si>
    <t>difference</t>
  </si>
  <si>
    <t>StandardID</t>
  </si>
  <si>
    <t>StandardNo</t>
  </si>
  <si>
    <t>SRatio</t>
  </si>
  <si>
    <t>SConc</t>
  </si>
  <si>
    <t>Sunc</t>
  </si>
  <si>
    <t>Suncert</t>
  </si>
  <si>
    <t>Named Ranges: "SConc" and "SRatio"</t>
  </si>
  <si>
    <t xml:space="preserve">Count = </t>
  </si>
  <si>
    <t xml:space="preserve">Max N = </t>
  </si>
  <si>
    <t>StdErr</t>
  </si>
  <si>
    <t>Conc</t>
  </si>
  <si>
    <t>uncert</t>
  </si>
  <si>
    <t xml:space="preserve">PSM Uncertainty = </t>
  </si>
  <si>
    <t>&lt;--overrides standards uncertainty column in table to left</t>
  </si>
  <si>
    <t>Number PSMs in order from lowest to highest concentration</t>
  </si>
  <si>
    <t>Make sure Sunc is given as standard uncertainty (k = 1)!</t>
  </si>
  <si>
    <t>Std#</t>
  </si>
  <si>
    <t>Past Lot Standards</t>
  </si>
  <si>
    <t>Additional Lot Standards</t>
  </si>
  <si>
    <t>From "RCertification"</t>
  </si>
  <si>
    <t>cov(b0,b1)</t>
  </si>
  <si>
    <t>cov(b0,b2)</t>
  </si>
  <si>
    <t>cov(b1,b2)</t>
  </si>
  <si>
    <t>Linear</t>
  </si>
  <si>
    <t>SQRT(($M$3 * M13) ^ 2 + $N$2 ^ 2 + (M12 * $N$3) ^ 2 + (2 * M12 * $O$2))</t>
  </si>
  <si>
    <t>LS ID</t>
  </si>
  <si>
    <t>LS#</t>
  </si>
  <si>
    <t>Past Conc</t>
  </si>
  <si>
    <t>Pred Conc</t>
  </si>
  <si>
    <t>% Diff</t>
  </si>
  <si>
    <t>ID</t>
  </si>
  <si>
    <t>b0</t>
  </si>
  <si>
    <t>Quadratic</t>
  </si>
  <si>
    <t>SQRT(($M$3 + 2 * $M$4 * M12) ^ 2 * M13 ^ 2 + $N$2 ^ 2 + ($N$3 ^ 2 * M12 ^ 2) + ($N$4 ^ 2 * M12 ^ 4) + (2 * M12 * $O$2) + (2 * $P$2 * M12 ^ 2) + (2 * $Q$2* M12 ^ 3))</t>
  </si>
  <si>
    <t>b1</t>
  </si>
  <si>
    <t>b2</t>
  </si>
  <si>
    <t>cov(x,y) = corr.coeff(x,y)*ux*uy</t>
  </si>
  <si>
    <t>https://towardsdatascience.com/covariance-and-correlation-321fdacab168</t>
  </si>
  <si>
    <t>Past Lot Standards: LS# = 1, 2, 3,...,N. This numbering is independent from the additional LSs.</t>
  </si>
  <si>
    <t>https://web.stanford.edu/class/archive/cs/cs109/cs109.1178/lectureHandouts/150-covariance.pdf</t>
  </si>
  <si>
    <t>Average Conc for Past LS</t>
  </si>
  <si>
    <t xml:space="preserve">Past Conc </t>
  </si>
  <si>
    <t>ratio</t>
  </si>
  <si>
    <t>uratio</t>
  </si>
  <si>
    <t xml:space="preserve">Pred Conc </t>
  </si>
  <si>
    <t>Pred unc</t>
  </si>
  <si>
    <t xml:space="preserve">% Diff </t>
  </si>
  <si>
    <t xml:space="preserve">Abs Value </t>
  </si>
  <si>
    <t xml:space="preserve">Avg % Diff </t>
  </si>
  <si>
    <t>Additional Lot standards: LS# = 2, 3, 4. LS# 1 is always control LS used.</t>
  </si>
  <si>
    <t>Number of points =</t>
  </si>
  <si>
    <t xml:space="preserve">  *Assigned values for Additional LSs are listed in the RCertification tab (Column A Row 72)*</t>
  </si>
  <si>
    <t>Step 1.</t>
  </si>
  <si>
    <t>UNGROUPED MODEL (ZERO FACTORS)</t>
  </si>
  <si>
    <t>cylinder</t>
  </si>
  <si>
    <t>Standard</t>
  </si>
  <si>
    <t>vendor</t>
  </si>
  <si>
    <t>Random Effects</t>
  </si>
  <si>
    <t>Fixed Effects Intercept</t>
  </si>
  <si>
    <t xml:space="preserve">standard </t>
  </si>
  <si>
    <t xml:space="preserve">vendor </t>
  </si>
  <si>
    <t>names</t>
  </si>
  <si>
    <t>No</t>
  </si>
  <si>
    <t>Groups</t>
  </si>
  <si>
    <t>Name</t>
  </si>
  <si>
    <t>Variance</t>
  </si>
  <si>
    <t>Std Dev</t>
  </si>
  <si>
    <t>Relative</t>
  </si>
  <si>
    <t>Estimate</t>
  </si>
  <si>
    <t>Std Error</t>
  </si>
  <si>
    <t>t value</t>
  </si>
  <si>
    <t>Step 1.1</t>
  </si>
  <si>
    <t>=</t>
  </si>
  <si>
    <t>Mean of all ratios</t>
  </si>
  <si>
    <t>Criteria for lookup</t>
  </si>
  <si>
    <t>s, Standard deviation of all ratios</t>
  </si>
  <si>
    <t>n, Number of ratios</t>
  </si>
  <si>
    <t>Step 1.2</t>
  </si>
  <si>
    <t>s/sqrt(n), Standard uncertainty</t>
  </si>
  <si>
    <t>Step 1.3</t>
  </si>
  <si>
    <t>degrees of freedom</t>
  </si>
  <si>
    <t>Step 2.</t>
  </si>
  <si>
    <t>SINGLE FACTOR MODELS</t>
  </si>
  <si>
    <t>Step 2.1</t>
  </si>
  <si>
    <t>Grouping factor = LS-Set</t>
  </si>
  <si>
    <t>SAME AS UNGROUPED MODEL (LS BRACKETS EACH RUN)</t>
  </si>
  <si>
    <t xml:space="preserve">Mean of means  </t>
  </si>
  <si>
    <t xml:space="preserve">s, standard deviation  </t>
  </si>
  <si>
    <t xml:space="preserve">n, number of means  </t>
  </si>
  <si>
    <t xml:space="preserve">s/sqrt(n), Std. Unc.  </t>
  </si>
  <si>
    <t xml:space="preserve">degrees of freedom  </t>
  </si>
  <si>
    <t>Grouping factor = Cylinder ID</t>
  </si>
  <si>
    <t>Grouping Factor = Port</t>
  </si>
  <si>
    <t>Step 3.</t>
  </si>
  <si>
    <t>NESTED TWO-FACTOR MODELS</t>
  </si>
  <si>
    <t>Step 3.1</t>
  </si>
  <si>
    <t>(Already done in Step 2.1 above -- we'll use those calculations.)</t>
  </si>
  <si>
    <t>Step 3.2</t>
  </si>
  <si>
    <t>ANOVA not required anymore - Keith Eberhardt ruling (8-22-97)</t>
  </si>
  <si>
    <t>As long as we have more than 2 days worth of data for ratios</t>
  </si>
  <si>
    <t>Step 3.3</t>
  </si>
  <si>
    <t>Grouping Factor = BreakSet</t>
  </si>
  <si>
    <t>Grouping Factor = Day</t>
  </si>
  <si>
    <t>Step 4.</t>
  </si>
  <si>
    <t>SUMMARY FOR HOMOGENEITY DATA</t>
  </si>
  <si>
    <t>Type</t>
  </si>
  <si>
    <t>Mean</t>
  </si>
  <si>
    <t>Std Unc</t>
  </si>
  <si>
    <t>d.f.</t>
  </si>
  <si>
    <t>Tinv</t>
  </si>
  <si>
    <t>Exp Unc</t>
  </si>
  <si>
    <t>Ungrouped</t>
  </si>
  <si>
    <t>By LSSet</t>
  </si>
  <si>
    <t>By Cylinder ID</t>
  </si>
  <si>
    <t>By Port</t>
  </si>
  <si>
    <t>By Break</t>
  </si>
  <si>
    <t>By Day</t>
  </si>
  <si>
    <t>Maximum standard uncertainty</t>
  </si>
  <si>
    <t>From the R model - analysis producing the maximum</t>
  </si>
  <si>
    <t>Analysis producing the maximum</t>
  </si>
  <si>
    <t>Mean Ratio, Y*</t>
  </si>
  <si>
    <t>Standard Uncertainty, s(Y*)</t>
  </si>
  <si>
    <t xml:space="preserve">Degrees of Freedom, </t>
  </si>
  <si>
    <t>Step 5.</t>
  </si>
  <si>
    <t>ANALYSIS OF CALIBRATION DATA</t>
  </si>
  <si>
    <t>&lt;--Assumed LS Ratio and uncert</t>
  </si>
  <si>
    <t>Regression Output</t>
  </si>
  <si>
    <t>Formula</t>
  </si>
  <si>
    <t>&lt;--Concentration of LS from OLS</t>
  </si>
  <si>
    <t>Number of measurents:</t>
  </si>
  <si>
    <r>
      <rPr>
        <sz val="9"/>
        <rFont val="Univers"/>
        <charset val="1"/>
      </rPr>
      <t>slope,</t>
    </r>
    <r>
      <rPr>
        <i/>
        <sz val="9"/>
        <rFont val="Univers"/>
        <charset val="1"/>
      </rPr>
      <t xml:space="preserve"> m</t>
    </r>
  </si>
  <si>
    <t>=B27</t>
  </si>
  <si>
    <t>Average Concentration:</t>
  </si>
  <si>
    <t>u(m)</t>
  </si>
  <si>
    <t>=C27</t>
  </si>
  <si>
    <t>&lt;--EIV Degree</t>
  </si>
  <si>
    <r>
      <rPr>
        <sz val="9"/>
        <rFont val="Univers"/>
        <charset val="1"/>
      </rPr>
      <t>intercept,</t>
    </r>
    <r>
      <rPr>
        <i/>
        <sz val="9"/>
        <rFont val="Univers"/>
        <charset val="1"/>
      </rPr>
      <t xml:space="preserve"> b</t>
    </r>
  </si>
  <si>
    <t>=B26</t>
  </si>
  <si>
    <t>&lt;--Concentration From ISO6143</t>
  </si>
  <si>
    <t xml:space="preserve">Step 5.1 </t>
  </si>
  <si>
    <t>Regression output, below</t>
  </si>
  <si>
    <t>Do Regression Below</t>
  </si>
  <si>
    <t>u(b)</t>
  </si>
  <si>
    <t>=C26</t>
  </si>
  <si>
    <t>&lt;--ISO6143 Lot Conc and uncertainty</t>
  </si>
  <si>
    <t>X=Concentration of Standards</t>
  </si>
  <si>
    <t>=B22</t>
  </si>
  <si>
    <t>(from ratio, LS conc, and LS bias uncerts)</t>
  </si>
  <si>
    <t>Y=Ratios</t>
  </si>
  <si>
    <t>u(m,b)</t>
  </si>
  <si>
    <t>= - D4*C27^2</t>
  </si>
  <si>
    <t>&lt;--Monte Carlo estimate</t>
  </si>
  <si>
    <t>Output=A10</t>
  </si>
  <si>
    <t>&lt;--Monte Carlo Slope</t>
  </si>
  <si>
    <t>SUMMARY OUTPUT</t>
  </si>
  <si>
    <t>&lt;--Monte Carlo Intercept</t>
  </si>
  <si>
    <t>(all k = 1)</t>
  </si>
  <si>
    <t>Regression Statistics</t>
  </si>
  <si>
    <t>Primary LS</t>
  </si>
  <si>
    <t>Multiple R</t>
  </si>
  <si>
    <t>Additional LS</t>
  </si>
  <si>
    <t>R Square</t>
  </si>
  <si>
    <t>Adjusted R Square</t>
  </si>
  <si>
    <t>Standard Error</t>
  </si>
  <si>
    <t>Observations</t>
  </si>
  <si>
    <t>Number of stds</t>
  </si>
  <si>
    <t>Number of LS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</si>
  <si>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</si>
  <si>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</si>
  <si>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</si>
  <si>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</si>
  <si>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</si>
  <si>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</si>
  <si>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</si>
  <si>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</si>
  <si>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</si>
  <si>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Value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</si>
  <si>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</si>
  <si>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</si>
  <si>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</si>
  <si>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</si>
  <si>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</si>
  <si>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</si>
  <si>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</si>
  <si>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</si>
  <si>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</si>
  <si>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RESIDUAL OUTPUT</t>
  </si>
  <si>
    <t>Observation</t>
  </si>
  <si>
    <t>Predicted Y</t>
  </si>
  <si>
    <t>Residuals</t>
  </si>
  <si>
    <t>Step 6.</t>
  </si>
  <si>
    <t>KE Memo VALUE</t>
  </si>
  <si>
    <t>X*  =</t>
  </si>
  <si>
    <t>Step 7.</t>
  </si>
  <si>
    <t>UNCERTAINTY COMPONENT DUE TO CALIBRATION</t>
  </si>
  <si>
    <t>Table 1.  Computation of standard uncertainty component due to calibration.</t>
  </si>
  <si>
    <t>Source</t>
  </si>
  <si>
    <r>
      <rPr>
        <sz val="9"/>
        <rFont val="Univers"/>
        <charset val="1"/>
      </rPr>
      <t>c</t>
    </r>
    <r>
      <rPr>
        <vertAlign val="subscript"/>
        <sz val="9"/>
        <rFont val="Univers"/>
        <charset val="1"/>
      </rPr>
      <t>i</t>
    </r>
  </si>
  <si>
    <r>
      <rPr>
        <sz val="9"/>
        <rFont val="Univers"/>
        <charset val="1"/>
      </rPr>
      <t>u</t>
    </r>
    <r>
      <rPr>
        <vertAlign val="subscript"/>
        <sz val="9"/>
        <rFont val="Univers"/>
        <charset val="1"/>
      </rPr>
      <t>i</t>
    </r>
  </si>
  <si>
    <r>
      <rPr>
        <sz val="9"/>
        <rFont val="Univers"/>
        <charset val="1"/>
      </rPr>
      <t>c</t>
    </r>
    <r>
      <rPr>
        <vertAlign val="subscript"/>
        <sz val="9"/>
        <rFont val="Univers"/>
        <charset val="1"/>
      </rPr>
      <t>i</t>
    </r>
    <r>
      <rPr>
        <sz val="9"/>
        <rFont val="Univers"/>
        <charset val="1"/>
      </rPr>
      <t>u</t>
    </r>
    <r>
      <rPr>
        <vertAlign val="subscript"/>
        <sz val="9"/>
        <rFont val="Univers"/>
        <charset val="1"/>
      </rPr>
      <t>i</t>
    </r>
  </si>
  <si>
    <r>
      <rPr>
        <sz val="9"/>
        <rFont val="Univers"/>
        <charset val="1"/>
      </rPr>
      <t>2c</t>
    </r>
    <r>
      <rPr>
        <vertAlign val="subscript"/>
        <sz val="9"/>
        <rFont val="Univers"/>
        <charset val="1"/>
      </rPr>
      <t>1</t>
    </r>
    <r>
      <rPr>
        <sz val="9"/>
        <rFont val="Univers"/>
        <charset val="1"/>
      </rPr>
      <t>c</t>
    </r>
    <r>
      <rPr>
        <vertAlign val="subscript"/>
        <sz val="9"/>
        <rFont val="Univers"/>
        <charset val="1"/>
      </rPr>
      <t>2</t>
    </r>
    <r>
      <rPr>
        <sz val="9"/>
        <rFont val="Univers"/>
        <charset val="1"/>
      </rPr>
      <t>u</t>
    </r>
    <r>
      <rPr>
        <vertAlign val="subscript"/>
        <sz val="9"/>
        <rFont val="Univers"/>
        <charset val="1"/>
      </rPr>
      <t>12</t>
    </r>
  </si>
  <si>
    <r>
      <rPr>
        <sz val="9"/>
        <rFont val="Univers"/>
        <charset val="1"/>
      </rPr>
      <t xml:space="preserve">Slope, </t>
    </r>
    <r>
      <rPr>
        <i/>
        <sz val="9"/>
        <rFont val="Univers"/>
        <charset val="1"/>
      </rPr>
      <t>m</t>
    </r>
  </si>
  <si>
    <r>
      <rPr>
        <sz val="9"/>
        <rFont val="Univers"/>
        <charset val="1"/>
      </rPr>
      <t xml:space="preserve">Intercept, </t>
    </r>
    <r>
      <rPr>
        <i/>
        <sz val="9"/>
        <rFont val="Univers"/>
        <charset val="1"/>
      </rPr>
      <t>b</t>
    </r>
  </si>
  <si>
    <r>
      <rPr>
        <sz val="9"/>
        <rFont val="Univers"/>
        <charset val="1"/>
      </rPr>
      <t>Cov(</t>
    </r>
    <r>
      <rPr>
        <i/>
        <sz val="9"/>
        <rFont val="Univers"/>
        <charset val="1"/>
      </rPr>
      <t>m,b</t>
    </r>
    <r>
      <rPr>
        <sz val="9"/>
        <rFont val="Univers"/>
        <charset val="1"/>
      </rPr>
      <t>)</t>
    </r>
  </si>
  <si>
    <r>
      <rPr>
        <sz val="9"/>
        <rFont val="Univers"/>
        <charset val="1"/>
      </rPr>
      <t xml:space="preserve">Combined standard uncertainty, </t>
    </r>
    <r>
      <rPr>
        <i/>
        <sz val="9"/>
        <rFont val="Univers"/>
        <charset val="1"/>
      </rPr>
      <t>u(cal)</t>
    </r>
  </si>
  <si>
    <t>Step 8.</t>
  </si>
  <si>
    <t>UNCERTAINTY OF PRIMARY STANDARDS</t>
  </si>
  <si>
    <r>
      <rPr>
        <sz val="9"/>
        <rFont val="Univers"/>
        <charset val="1"/>
      </rPr>
      <t xml:space="preserve">Relative std. deviation of Primary Standards, </t>
    </r>
    <r>
      <rPr>
        <i/>
        <sz val="9"/>
        <rFont val="Univers"/>
        <charset val="1"/>
      </rPr>
      <t>r</t>
    </r>
    <r>
      <rPr>
        <sz val="9"/>
        <rFont val="Univers"/>
        <charset val="1"/>
      </rPr>
      <t xml:space="preserve">(PS) = </t>
    </r>
  </si>
  <si>
    <r>
      <rPr>
        <sz val="9"/>
        <rFont val="Univers"/>
        <charset val="1"/>
      </rPr>
      <t xml:space="preserve">Standard uncertainty (in concentration units), </t>
    </r>
    <r>
      <rPr>
        <i/>
        <sz val="9"/>
        <rFont val="Univers"/>
        <charset val="1"/>
      </rPr>
      <t>u</t>
    </r>
    <r>
      <rPr>
        <sz val="9"/>
        <rFont val="Univers"/>
        <charset val="1"/>
      </rPr>
      <t>(PS) =</t>
    </r>
  </si>
  <si>
    <t>%</t>
  </si>
  <si>
    <t>Step 9.</t>
  </si>
  <si>
    <t>COMBINED STANDARD UNCERTAINTY</t>
  </si>
  <si>
    <t>Table 2.  Computation of Combined Standard Uncertainty</t>
  </si>
  <si>
    <t>Mean ratio, Y*</t>
  </si>
  <si>
    <t>Calibration</t>
  </si>
  <si>
    <t>Primary Standards</t>
  </si>
  <si>
    <t>infinity</t>
  </si>
  <si>
    <t>LS Bias</t>
  </si>
  <si>
    <r>
      <rPr>
        <sz val="9"/>
        <rFont val="Univers"/>
        <charset val="1"/>
      </rPr>
      <t xml:space="preserve">Combined standard uncertainty, </t>
    </r>
    <r>
      <rPr>
        <i/>
        <sz val="9"/>
        <rFont val="Univers"/>
        <charset val="1"/>
      </rPr>
      <t>u</t>
    </r>
    <r>
      <rPr>
        <vertAlign val="subscript"/>
        <sz val="9"/>
        <rFont val="Univers"/>
        <charset val="1"/>
      </rPr>
      <t>c</t>
    </r>
  </si>
  <si>
    <t>Step 10.</t>
  </si>
  <si>
    <t>EXPANDED UNCERTAINTY</t>
  </si>
  <si>
    <t xml:space="preserve">Table 3.  Calculation of Expanded Uncertainty </t>
  </si>
  <si>
    <r>
      <rPr>
        <sz val="9"/>
        <rFont val="Univers"/>
        <charset val="1"/>
      </rPr>
      <t xml:space="preserve">Expansion factor, </t>
    </r>
    <r>
      <rPr>
        <i/>
        <sz val="9"/>
        <rFont val="Univers"/>
        <charset val="1"/>
      </rPr>
      <t>k</t>
    </r>
  </si>
  <si>
    <r>
      <rPr>
        <sz val="9"/>
        <rFont val="Univers"/>
        <charset val="1"/>
      </rPr>
      <t xml:space="preserve">Expanded uncertainty, </t>
    </r>
    <r>
      <rPr>
        <i/>
        <sz val="9"/>
        <rFont val="Univers"/>
        <charset val="1"/>
      </rPr>
      <t>U</t>
    </r>
  </si>
  <si>
    <t>KE Memo Value:</t>
  </si>
  <si>
    <t>+/-</t>
  </si>
  <si>
    <t>k=</t>
  </si>
  <si>
    <t>Certified Value (R Code):</t>
  </si>
  <si>
    <t>Lot Standard:</t>
  </si>
  <si>
    <t>Test =</t>
  </si>
  <si>
    <t xml:space="preserve">R analysis date: </t>
  </si>
  <si>
    <t>Cylinder-specific uncertainties</t>
  </si>
  <si>
    <t>Keith Memo</t>
  </si>
  <si>
    <t>Analysis Function Coefficients</t>
  </si>
  <si>
    <t>Genline Values</t>
  </si>
  <si>
    <t xml:space="preserve">SRM </t>
  </si>
  <si>
    <t>Uncert</t>
  </si>
  <si>
    <t>CI 95</t>
  </si>
  <si>
    <t>Diff</t>
  </si>
  <si>
    <t>95CL</t>
  </si>
  <si>
    <t>Sample</t>
  </si>
  <si>
    <t>95% CI</t>
  </si>
  <si>
    <t>k</t>
  </si>
  <si>
    <t>Lower</t>
  </si>
  <si>
    <t>Upper</t>
  </si>
  <si>
    <t>IN/OUT</t>
  </si>
  <si>
    <t>SRM Value</t>
  </si>
  <si>
    <t>SRM uncertainty</t>
  </si>
  <si>
    <t>SRM 95 % C.L.</t>
  </si>
  <si>
    <t>SRM Rel Unc</t>
  </si>
  <si>
    <t>b3</t>
  </si>
  <si>
    <t>Effective k factor</t>
  </si>
  <si>
    <t>Correlation Coefficients</t>
  </si>
  <si>
    <t>uHistorical</t>
  </si>
  <si>
    <t>LS Value</t>
  </si>
  <si>
    <t>LS uncertainty</t>
  </si>
  <si>
    <t>LS 95 % C.L.</t>
  </si>
  <si>
    <t>LS Rel Unc</t>
  </si>
  <si>
    <t>Uncert (k=2)</t>
  </si>
  <si>
    <t>Predicted</t>
  </si>
  <si>
    <t>%diff</t>
  </si>
  <si>
    <t>Additional LSs</t>
  </si>
  <si>
    <t>LS #</t>
  </si>
  <si>
    <t>CI95-Lower</t>
  </si>
  <si>
    <t>CI95-Upper</t>
  </si>
  <si>
    <t>uHistorical Lot</t>
  </si>
  <si>
    <t>u(Value)</t>
  </si>
  <si>
    <t>U95(Value)</t>
  </si>
  <si>
    <t>k95</t>
  </si>
  <si>
    <t>CI 95 Lower</t>
  </si>
  <si>
    <t>CI 95 Upper</t>
  </si>
  <si>
    <t>l</t>
  </si>
  <si>
    <t>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</si>
</sst>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mm/dd/yyyy\ hh:mm:ss"/>
    <numFmt numFmtId="165" formatCode="0.0000"/>
    <numFmt numFmtId="166" formatCode="0.0000000"/>
    <numFmt numFmtId="167" formatCode="0.000"/>
    <numFmt numFmtId="168" formatCode="0.0%"/>
    <numFmt numFmtId="169" formatCode="0.00000"/>
    <numFmt numFmtId="170" formatCode="0.000000"/>
    <numFmt numFmtId="171" formatCode="0.0"/>
    <numFmt numFmtId="172" formatCode="0.000%"/>
    <numFmt numFmtId="173" formatCode="_(* #,##0.00_);_(* \(#,##0.00\);_(* \-??_);_(@_)"/>
    <numFmt numFmtId="174" formatCode="0%&quot; of the variance is attributed to:&quot;"/>
    <numFmt numFmtId="175" formatCode="0.000E+00;\"/>
    <numFmt numFmtId="176" formatCode="0.000E+00"/>
    <numFmt numFmtId="177" formatCode="0.00000000"/>
    <numFmt numFmtId="178" formatCode="0.0000%"/>
    <numFmt numFmtId="179" formatCode="_(* #,##0.00000_);_(* \(#,##0.00000\);_(* \-??_);_(@_)"/>
  </numFmts>
  <fonts count="28" x14ac:knownFonts="1">
    <font>
      <sz val="9"/>
      <name val="Univers"/>
      <charset val="1"/>
    </font>
    <font>
      <sz val="10"/>
      <name val="Arial"/>
      <family val="2"/>
    </font>
    <font>
      <sz val="10"/>
      <name val="Univers"/>
      <charset val="1"/>
    </font>
    <font>
      <b/>
      <sz val="10"/>
      <name val="Univers"/>
      <charset val="1"/>
    </font>
    <font>
      <sz val="9"/>
      <color rgb="FFFF0000"/>
      <name val="Univers"/>
      <charset val="1"/>
    </font>
    <font>
      <b/>
      <sz val="9"/>
      <name val="Univers"/>
      <charset val="1"/>
    </font>
    <font>
      <b/>
      <sz val="10"/>
      <name val="Arial"/>
      <family val="2"/>
    </font>
    <font>
      <sz val="10"/>
      <color rgb="FF008000"/>
      <name val="Arial"/>
      <family val="2"/>
    </font>
    <font>
      <sz val="9"/>
      <color rgb="FFFF0000"/>
      <name val="Univers"/>
      <family val="2"/>
      <charset val="1"/>
    </font>
    <font>
      <sz val="10"/>
      <color rgb="FF993300"/>
      <name val="Arial"/>
      <family val="2"/>
    </font>
    <font>
      <b/>
      <sz val="9"/>
      <color rgb="FFFF0000"/>
      <name val="Univers"/>
      <charset val="1"/>
    </font>
    <font>
      <i/>
      <sz val="9"/>
      <name val="Univers"/>
      <charset val="1"/>
    </font>
    <font>
      <sz val="9"/>
      <name val="Univers"/>
      <family val="2"/>
      <charset val="1"/>
    </font>
    <font>
      <sz val="6"/>
      <name val="Univers"/>
      <charset val="1"/>
    </font>
    <font>
      <sz val="10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0"/>
      <color rgb="FF993300"/>
      <name val="Arial"/>
      <family val="2"/>
    </font>
    <font>
      <sz val="10"/>
      <color rgb="FF000000"/>
      <name val="Arial"/>
      <family val="2"/>
    </font>
    <font>
      <sz val="9"/>
      <color rgb="FF008000"/>
      <name val="Univers"/>
      <charset val="1"/>
    </font>
    <font>
      <vertAlign val="subscript"/>
      <sz val="9"/>
      <name val="Univers"/>
      <charset val="1"/>
    </font>
    <font>
      <b/>
      <sz val="9"/>
      <color rgb="FF0000FF"/>
      <name val="Univers"/>
      <charset val="1"/>
    </font>
    <font>
      <b/>
      <sz val="9"/>
      <color rgb="FF339966"/>
      <name val="Univers"/>
      <charset val="1"/>
    </font>
    <font>
      <b/>
      <sz val="10"/>
      <color rgb="FF008000"/>
      <name val="Arial"/>
      <family val="2"/>
    </font>
    <font>
      <sz val="10"/>
      <color rgb="FF800080"/>
      <name val="Arial"/>
      <family val="2"/>
    </font>
    <font>
      <sz val="9"/>
      <name val="Univers"/>
      <charset val="1"/>
    </font>
    <font>
      <sz val="10"/>
      <color rgb="FF008000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  <fill>
      <patternFill patternType="solid">
        <fgColor rgb="FFFF6600"/>
        <bgColor rgb="FFFF9900"/>
      </patternFill>
    </fill>
    <fill>
      <patternFill patternType="solid">
        <fgColor rgb="FFFF99CC"/>
        <bgColor rgb="FFFF8080"/>
      </patternFill>
    </fill>
    <fill>
      <patternFill patternType="solid">
        <fgColor rgb="FFCCCCFF"/>
        <bgColor rgb="FFC0C0C0"/>
      </patternFill>
    </fill>
    <fill>
      <patternFill patternType="solid">
        <fgColor rgb="FFFFCC0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C6EFCF"/>
        <bgColor rgb="FFCCFFFF"/>
      </patternFill>
    </fill>
    <fill>
      <patternFill patternType="solid">
        <fgColor rgb="FFC6EFCE"/>
        <bgColor rgb="FFCCFFFF"/>
      </patternFill>
    </fill>
    <fill>
      <patternFill patternType="solid">
        <fgColor rgb="FFC6EFCF"/>
        <bgColor rgb="FFC0C0C0"/>
      </patternFill>
    </fill>
  </fills>
  <borders count="6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3">
    <xf numFmtId="0" fontId="0" fillId="0" borderId="0"/>
    <xf numFmtId="173" fontId="26" fillId="0" borderId="0" applyBorder="0" applyAlignment="0" applyProtection="0"/>
    <xf numFmtId="9" fontId="26" fillId="0" borderId="0" applyBorder="0" applyAlignment="0" applyProtection="0"/>
    <xf numFmtId="0" fontId="26" fillId="0" borderId="0" applyBorder="0" applyProtection="0">
      <alignment wrapText="1"/>
    </xf>
    <xf numFmtId="164" fontId="26" fillId="0" borderId="0" applyBorder="0" applyProtection="0">
      <alignment wrapText="1"/>
    </xf>
    <xf numFmtId="0" fontId="26" fillId="2" borderId="0" applyBorder="0" applyProtection="0">
      <alignment wrapText="1"/>
    </xf>
    <xf numFmtId="0" fontId="26" fillId="0" borderId="0" applyBorder="0" applyProtection="0">
      <alignment wrapText="1"/>
    </xf>
    <xf numFmtId="0" fontId="26" fillId="0" borderId="0" applyBorder="0" applyProtection="0">
      <alignment wrapText="1"/>
    </xf>
    <xf numFmtId="0" fontId="7" fillId="3" borderId="0" applyBorder="0" applyAlignment="0" applyProtection="0"/>
    <xf numFmtId="0" fontId="9" fillId="4" borderId="0" applyBorder="0" applyAlignment="0" applyProtection="0"/>
    <xf numFmtId="0" fontId="14" fillId="5" borderId="0" applyBorder="0" applyAlignment="0" applyProtection="0"/>
    <xf numFmtId="0" fontId="25" fillId="6" borderId="0" applyBorder="0" applyAlignment="0" applyProtection="0"/>
    <xf numFmtId="0" fontId="19" fillId="7" borderId="0" applyBorder="0" applyAlignment="0" applyProtection="0"/>
  </cellStyleXfs>
  <cellXfs count="499">
    <xf numFmtId="0" fontId="0" fillId="0" borderId="0" xfId="0"/>
    <xf numFmtId="0" fontId="0" fillId="0" borderId="0" xfId="0" applyAlignment="1">
      <alignment horizontal="right"/>
    </xf>
    <xf numFmtId="0" fontId="11" fillId="0" borderId="18" xfId="0" applyFont="1" applyBorder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1" xfId="0" applyFont="1" applyBorder="1" applyAlignment="1">
      <alignment horizontal="left"/>
    </xf>
    <xf numFmtId="0" fontId="5" fillId="8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0" fillId="9" borderId="0" xfId="0" applyFill="1" applyAlignment="1">
      <alignment horizontal="center"/>
    </xf>
    <xf numFmtId="166" fontId="0" fillId="9" borderId="0" xfId="0" applyNumberFormat="1" applyFill="1" applyAlignment="1">
      <alignment horizontal="center"/>
    </xf>
    <xf numFmtId="2" fontId="6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7" fillId="3" borderId="0" xfId="8" applyBorder="1" applyAlignment="1" applyProtection="1"/>
    <xf numFmtId="0" fontId="7" fillId="3" borderId="6" xfId="8" applyBorder="1" applyAlignment="1" applyProtection="1"/>
    <xf numFmtId="0" fontId="7" fillId="3" borderId="7" xfId="8" applyBorder="1" applyAlignment="1" applyProtection="1"/>
    <xf numFmtId="0" fontId="7" fillId="3" borderId="8" xfId="8" applyBorder="1" applyAlignment="1" applyProtection="1"/>
    <xf numFmtId="0" fontId="8" fillId="0" borderId="0" xfId="0" applyFont="1" applyAlignment="1">
      <alignment horizontal="left"/>
    </xf>
    <xf numFmtId="0" fontId="8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169" fontId="8" fillId="0" borderId="0" xfId="2" applyNumberFormat="1" applyFont="1" applyBorder="1" applyAlignment="1" applyProtection="1">
      <alignment horizontal="center"/>
    </xf>
    <xf numFmtId="1" fontId="4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4" fillId="0" borderId="9" xfId="0" applyFont="1" applyBorder="1"/>
    <xf numFmtId="0" fontId="9" fillId="9" borderId="11" xfId="9" applyFill="1" applyBorder="1" applyAlignment="1" applyProtection="1"/>
    <xf numFmtId="0" fontId="9" fillId="9" borderId="11" xfId="9" applyFill="1" applyBorder="1" applyAlignment="1" applyProtection="1">
      <alignment horizontal="right"/>
    </xf>
    <xf numFmtId="0" fontId="4" fillId="0" borderId="10" xfId="0" applyFont="1" applyBorder="1"/>
    <xf numFmtId="0" fontId="9" fillId="9" borderId="8" xfId="9" applyFill="1" applyBorder="1" applyAlignment="1" applyProtection="1"/>
    <xf numFmtId="0" fontId="5" fillId="2" borderId="2" xfId="0" applyFont="1" applyFill="1" applyBorder="1"/>
    <xf numFmtId="0" fontId="10" fillId="2" borderId="3" xfId="0" applyFont="1" applyFill="1" applyBorder="1"/>
    <xf numFmtId="0" fontId="10" fillId="2" borderId="4" xfId="0" applyFont="1" applyFill="1" applyBorder="1"/>
    <xf numFmtId="0" fontId="0" fillId="2" borderId="5" xfId="0" applyFill="1" applyBorder="1" applyAlignment="1">
      <alignment horizontal="left"/>
    </xf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4" fillId="2" borderId="6" xfId="0" applyFont="1" applyFill="1" applyBorder="1"/>
    <xf numFmtId="0" fontId="4" fillId="2" borderId="5" xfId="0" applyFont="1" applyFill="1" applyBorder="1"/>
    <xf numFmtId="1" fontId="4" fillId="2" borderId="0" xfId="0" applyNumberFormat="1" applyFont="1" applyFill="1" applyAlignment="1">
      <alignment horizontal="center"/>
    </xf>
    <xf numFmtId="0" fontId="5" fillId="2" borderId="5" xfId="0" applyFont="1" applyFill="1" applyBorder="1" applyAlignment="1">
      <alignment horizontal="left"/>
    </xf>
    <xf numFmtId="1" fontId="0" fillId="2" borderId="0" xfId="0" applyNumberFormat="1" applyFill="1" applyAlignment="1">
      <alignment horizontal="left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7" xfId="0" applyFill="1" applyBorder="1" applyAlignment="1">
      <alignment horizontal="left"/>
    </xf>
    <xf numFmtId="1" fontId="0" fillId="2" borderId="1" xfId="0" applyNumberFormat="1" applyFill="1" applyBorder="1" applyAlignment="1">
      <alignment horizontal="left"/>
    </xf>
    <xf numFmtId="1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4" fillId="2" borderId="1" xfId="0" applyFont="1" applyFill="1" applyBorder="1"/>
    <xf numFmtId="0" fontId="4" fillId="2" borderId="8" xfId="0" applyFont="1" applyFill="1" applyBorder="1"/>
    <xf numFmtId="0" fontId="0" fillId="0" borderId="0" xfId="0" applyAlignment="1">
      <alignment horizontal="left"/>
    </xf>
    <xf numFmtId="170" fontId="0" fillId="9" borderId="0" xfId="0" applyNumberFormat="1" applyFill="1" applyAlignment="1">
      <alignment horizontal="center"/>
    </xf>
    <xf numFmtId="0" fontId="12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12" fillId="0" borderId="12" xfId="0" applyFont="1" applyBorder="1" applyAlignment="1">
      <alignment horizontal="left"/>
    </xf>
    <xf numFmtId="165" fontId="12" fillId="0" borderId="12" xfId="0" applyNumberFormat="1" applyFont="1" applyBorder="1" applyAlignment="1">
      <alignment horizontal="left"/>
    </xf>
    <xf numFmtId="0" fontId="5" fillId="0" borderId="0" xfId="0" applyFont="1"/>
    <xf numFmtId="0" fontId="11" fillId="0" borderId="0" xfId="0" applyFont="1" applyAlignment="1">
      <alignment horizontal="center"/>
    </xf>
    <xf numFmtId="10" fontId="26" fillId="0" borderId="0" xfId="2" applyNumberFormat="1" applyBorder="1" applyAlignment="1" applyProtection="1"/>
    <xf numFmtId="165" fontId="0" fillId="0" borderId="0" xfId="0" applyNumberFormat="1"/>
    <xf numFmtId="170" fontId="0" fillId="0" borderId="0" xfId="0" applyNumberFormat="1" applyAlignment="1">
      <alignment horizontal="center"/>
    </xf>
    <xf numFmtId="0" fontId="13" fillId="0" borderId="0" xfId="0" applyFont="1"/>
    <xf numFmtId="169" fontId="4" fillId="0" borderId="0" xfId="0" applyNumberFormat="1" applyFont="1" applyAlignment="1">
      <alignment horizontal="center"/>
    </xf>
    <xf numFmtId="0" fontId="0" fillId="0" borderId="12" xfId="0" applyBorder="1" applyAlignment="1">
      <alignment horizontal="left"/>
    </xf>
    <xf numFmtId="170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165" fontId="0" fillId="9" borderId="0" xfId="0" applyNumberFormat="1" applyFill="1" applyAlignment="1">
      <alignment horizontal="center"/>
    </xf>
    <xf numFmtId="165" fontId="7" fillId="3" borderId="14" xfId="8" applyNumberFormat="1" applyBorder="1" applyAlignment="1" applyProtection="1">
      <alignment horizontal="center"/>
    </xf>
    <xf numFmtId="167" fontId="0" fillId="0" borderId="0" xfId="0" applyNumberFormat="1"/>
    <xf numFmtId="165" fontId="0" fillId="0" borderId="0" xfId="0" applyNumberFormat="1" applyAlignment="1">
      <alignment horizontal="center"/>
    </xf>
    <xf numFmtId="0" fontId="7" fillId="9" borderId="0" xfId="8" applyFill="1" applyBorder="1" applyAlignment="1" applyProtection="1"/>
    <xf numFmtId="2" fontId="0" fillId="0" borderId="0" xfId="0" applyNumberFormat="1"/>
    <xf numFmtId="10" fontId="26" fillId="0" borderId="0" xfId="2" applyNumberFormat="1" applyBorder="1" applyAlignment="1" applyProtection="1">
      <alignment horizontal="center"/>
    </xf>
    <xf numFmtId="165" fontId="12" fillId="0" borderId="0" xfId="0" applyNumberFormat="1" applyFont="1" applyAlignment="1">
      <alignment horizontal="center"/>
    </xf>
    <xf numFmtId="10" fontId="0" fillId="9" borderId="9" xfId="0" applyNumberFormat="1" applyFill="1" applyBorder="1"/>
    <xf numFmtId="0" fontId="10" fillId="0" borderId="0" xfId="0" applyFont="1"/>
    <xf numFmtId="1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0" fontId="5" fillId="0" borderId="0" xfId="2" applyNumberFormat="1" applyFont="1" applyBorder="1" applyAlignment="1" applyProtection="1">
      <alignment horizontal="center"/>
    </xf>
    <xf numFmtId="0" fontId="0" fillId="3" borderId="15" xfId="0" applyFill="1" applyBorder="1"/>
    <xf numFmtId="1" fontId="0" fillId="3" borderId="3" xfId="0" applyNumberFormat="1" applyFill="1" applyBorder="1" applyAlignment="1">
      <alignment horizontal="center"/>
    </xf>
    <xf numFmtId="1" fontId="0" fillId="3" borderId="4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6" xfId="0" applyFill="1" applyBorder="1"/>
    <xf numFmtId="2" fontId="0" fillId="3" borderId="0" xfId="0" applyNumberFormat="1" applyFill="1" applyAlignment="1">
      <alignment horizontal="center"/>
    </xf>
    <xf numFmtId="170" fontId="0" fillId="3" borderId="6" xfId="0" applyNumberFormat="1" applyFill="1" applyBorder="1" applyAlignment="1">
      <alignment horizontal="center"/>
    </xf>
    <xf numFmtId="170" fontId="0" fillId="3" borderId="5" xfId="0" applyNumberFormat="1" applyFill="1" applyBorder="1" applyAlignment="1">
      <alignment horizontal="center"/>
    </xf>
    <xf numFmtId="0" fontId="0" fillId="3" borderId="10" xfId="0" applyFill="1" applyBorder="1"/>
    <xf numFmtId="2" fontId="0" fillId="3" borderId="1" xfId="0" applyNumberFormat="1" applyFill="1" applyBorder="1" applyAlignment="1">
      <alignment horizontal="center"/>
    </xf>
    <xf numFmtId="170" fontId="0" fillId="3" borderId="8" xfId="0" applyNumberFormat="1" applyFill="1" applyBorder="1" applyAlignment="1">
      <alignment horizontal="center"/>
    </xf>
    <xf numFmtId="170" fontId="0" fillId="3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0" fontId="5" fillId="0" borderId="17" xfId="0" applyFont="1" applyBorder="1" applyAlignment="1">
      <alignment horizontal="left"/>
    </xf>
    <xf numFmtId="0" fontId="5" fillId="0" borderId="18" xfId="0" applyFont="1" applyBorder="1" applyAlignment="1">
      <alignment horizontal="left"/>
    </xf>
    <xf numFmtId="0" fontId="0" fillId="0" borderId="19" xfId="0" applyBorder="1" applyAlignment="1">
      <alignment horizontal="left"/>
    </xf>
    <xf numFmtId="0" fontId="14" fillId="5" borderId="20" xfId="10" applyBorder="1" applyAlignment="1" applyProtection="1"/>
    <xf numFmtId="0" fontId="14" fillId="5" borderId="21" xfId="10" applyBorder="1" applyAlignment="1" applyProtection="1"/>
    <xf numFmtId="0" fontId="14" fillId="5" borderId="11" xfId="10" applyBorder="1" applyAlignment="1" applyProtection="1"/>
    <xf numFmtId="0" fontId="14" fillId="5" borderId="20" xfId="10" applyBorder="1" applyAlignment="1" applyProtection="1">
      <alignment horizontal="center"/>
    </xf>
    <xf numFmtId="0" fontId="14" fillId="5" borderId="21" xfId="10" applyBorder="1" applyAlignment="1" applyProtection="1">
      <alignment horizontal="center"/>
    </xf>
    <xf numFmtId="0" fontId="14" fillId="5" borderId="11" xfId="10" applyBorder="1" applyAlignment="1" applyProtection="1">
      <alignment horizontal="center"/>
    </xf>
    <xf numFmtId="0" fontId="0" fillId="0" borderId="22" xfId="0" applyBorder="1" applyAlignment="1">
      <alignment horizontal="left"/>
    </xf>
    <xf numFmtId="2" fontId="0" fillId="0" borderId="22" xfId="0" applyNumberFormat="1" applyBorder="1" applyAlignment="1">
      <alignment horizontal="left"/>
    </xf>
    <xf numFmtId="0" fontId="0" fillId="0" borderId="22" xfId="0" applyBorder="1" applyAlignment="1">
      <alignment horizontal="center"/>
    </xf>
    <xf numFmtId="0" fontId="14" fillId="5" borderId="5" xfId="10" applyBorder="1" applyAlignment="1" applyProtection="1">
      <alignment horizontal="center"/>
    </xf>
    <xf numFmtId="169" fontId="14" fillId="5" borderId="0" xfId="10" applyNumberFormat="1" applyBorder="1" applyAlignment="1" applyProtection="1">
      <alignment horizontal="center"/>
    </xf>
    <xf numFmtId="169" fontId="14" fillId="5" borderId="6" xfId="10" applyNumberFormat="1" applyBorder="1" applyAlignment="1" applyProtection="1">
      <alignment horizontal="center"/>
    </xf>
    <xf numFmtId="165" fontId="14" fillId="5" borderId="5" xfId="10" applyNumberFormat="1" applyBorder="1" applyAlignment="1" applyProtection="1">
      <alignment horizontal="center"/>
    </xf>
    <xf numFmtId="165" fontId="14" fillId="5" borderId="0" xfId="10" applyNumberFormat="1" applyBorder="1" applyAlignment="1" applyProtection="1">
      <alignment horizontal="center"/>
    </xf>
    <xf numFmtId="165" fontId="14" fillId="5" borderId="6" xfId="10" applyNumberFormat="1" applyBorder="1" applyAlignment="1" applyProtection="1">
      <alignment horizontal="center"/>
    </xf>
    <xf numFmtId="2" fontId="7" fillId="3" borderId="0" xfId="8" applyNumberFormat="1" applyBorder="1" applyAlignment="1" applyProtection="1">
      <alignment horizontal="center"/>
    </xf>
    <xf numFmtId="10" fontId="7" fillId="3" borderId="0" xfId="8" applyNumberFormat="1" applyBorder="1" applyAlignment="1" applyProtection="1">
      <alignment horizontal="center"/>
    </xf>
    <xf numFmtId="0" fontId="14" fillId="5" borderId="5" xfId="10" applyBorder="1" applyAlignment="1" applyProtection="1"/>
    <xf numFmtId="0" fontId="14" fillId="5" borderId="0" xfId="10" applyBorder="1" applyAlignment="1" applyProtection="1"/>
    <xf numFmtId="0" fontId="14" fillId="5" borderId="6" xfId="10" applyBorder="1" applyAlignment="1" applyProtection="1"/>
    <xf numFmtId="0" fontId="14" fillId="5" borderId="7" xfId="10" applyBorder="1" applyAlignment="1" applyProtection="1">
      <alignment horizontal="center"/>
    </xf>
    <xf numFmtId="169" fontId="14" fillId="5" borderId="1" xfId="10" applyNumberFormat="1" applyBorder="1" applyAlignment="1" applyProtection="1">
      <alignment horizontal="center"/>
    </xf>
    <xf numFmtId="169" fontId="14" fillId="5" borderId="8" xfId="10" applyNumberFormat="1" applyBorder="1" applyAlignment="1" applyProtection="1">
      <alignment horizontal="center"/>
    </xf>
    <xf numFmtId="0" fontId="14" fillId="5" borderId="7" xfId="10" applyBorder="1" applyAlignment="1" applyProtection="1"/>
    <xf numFmtId="0" fontId="14" fillId="5" borderId="1" xfId="10" applyBorder="1" applyAlignment="1" applyProtection="1"/>
    <xf numFmtId="0" fontId="14" fillId="5" borderId="8" xfId="10" applyBorder="1" applyAlignment="1" applyProtection="1"/>
    <xf numFmtId="0" fontId="5" fillId="3" borderId="2" xfId="0" applyFont="1" applyFill="1" applyBorder="1"/>
    <xf numFmtId="0" fontId="5" fillId="3" borderId="3" xfId="0" applyFont="1" applyFill="1" applyBorder="1"/>
    <xf numFmtId="0" fontId="5" fillId="3" borderId="4" xfId="0" applyFont="1" applyFill="1" applyBorder="1"/>
    <xf numFmtId="0" fontId="5" fillId="3" borderId="5" xfId="0" applyFont="1" applyFill="1" applyBorder="1"/>
    <xf numFmtId="0" fontId="5" fillId="3" borderId="0" xfId="0" applyFont="1" applyFill="1"/>
    <xf numFmtId="0" fontId="5" fillId="3" borderId="6" xfId="0" applyFont="1" applyFill="1" applyBorder="1"/>
    <xf numFmtId="0" fontId="5" fillId="3" borderId="0" xfId="0" applyFont="1" applyFill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0" fillId="3" borderId="5" xfId="0" applyFill="1" applyBorder="1" applyAlignment="1">
      <alignment horizontal="right"/>
    </xf>
    <xf numFmtId="167" fontId="0" fillId="3" borderId="0" xfId="0" applyNumberFormat="1" applyFill="1" applyAlignment="1">
      <alignment horizontal="center"/>
    </xf>
    <xf numFmtId="167" fontId="0" fillId="3" borderId="6" xfId="0" applyNumberFormat="1" applyFill="1" applyBorder="1" applyAlignment="1">
      <alignment horizontal="center"/>
    </xf>
    <xf numFmtId="10" fontId="5" fillId="3" borderId="0" xfId="2" applyNumberFormat="1" applyFont="1" applyFill="1" applyBorder="1" applyAlignment="1" applyProtection="1">
      <alignment horizontal="center"/>
    </xf>
    <xf numFmtId="10" fontId="5" fillId="3" borderId="6" xfId="2" applyNumberFormat="1" applyFont="1" applyFill="1" applyBorder="1" applyAlignment="1" applyProtection="1">
      <alignment horizontal="center"/>
    </xf>
    <xf numFmtId="10" fontId="26" fillId="3" borderId="0" xfId="2" applyNumberFormat="1" applyFill="1" applyBorder="1" applyAlignment="1" applyProtection="1">
      <alignment horizontal="right"/>
    </xf>
    <xf numFmtId="10" fontId="26" fillId="3" borderId="6" xfId="2" applyNumberFormat="1" applyFill="1" applyBorder="1" applyAlignment="1" applyProtection="1">
      <alignment horizontal="right"/>
    </xf>
    <xf numFmtId="0" fontId="0" fillId="3" borderId="7" xfId="0" applyFill="1" applyBorder="1" applyAlignment="1">
      <alignment horizontal="right"/>
    </xf>
    <xf numFmtId="171" fontId="0" fillId="3" borderId="1" xfId="0" applyNumberFormat="1" applyFill="1" applyBorder="1" applyAlignment="1">
      <alignment horizontal="center"/>
    </xf>
    <xf numFmtId="172" fontId="5" fillId="3" borderId="1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169" fontId="0" fillId="3" borderId="1" xfId="0" applyNumberFormat="1" applyFill="1" applyBorder="1" applyAlignment="1">
      <alignment horizontal="center"/>
    </xf>
    <xf numFmtId="0" fontId="0" fillId="3" borderId="8" xfId="0" applyFill="1" applyBorder="1"/>
    <xf numFmtId="0" fontId="0" fillId="3" borderId="2" xfId="0" applyFill="1" applyBorder="1" applyAlignment="1">
      <alignment horizontal="left"/>
    </xf>
    <xf numFmtId="169" fontId="0" fillId="3" borderId="4" xfId="0" applyNumberForma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1" fontId="0" fillId="3" borderId="0" xfId="0" applyNumberFormat="1" applyFill="1" applyAlignment="1">
      <alignment horizontal="center"/>
    </xf>
    <xf numFmtId="169" fontId="0" fillId="3" borderId="6" xfId="0" applyNumberFormat="1" applyFill="1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169" fontId="0" fillId="3" borderId="0" xfId="0" applyNumberFormat="1" applyFill="1" applyAlignment="1">
      <alignment horizontal="center"/>
    </xf>
    <xf numFmtId="0" fontId="0" fillId="3" borderId="7" xfId="0" applyFill="1" applyBorder="1"/>
    <xf numFmtId="0" fontId="0" fillId="3" borderId="1" xfId="0" applyFill="1" applyBorder="1" applyAlignment="1">
      <alignment horizontal="right"/>
    </xf>
    <xf numFmtId="0" fontId="0" fillId="3" borderId="1" xfId="0" applyFill="1" applyBorder="1" applyAlignment="1">
      <alignment horizontal="left"/>
    </xf>
    <xf numFmtId="0" fontId="15" fillId="0" borderId="0" xfId="0" applyFont="1"/>
    <xf numFmtId="0" fontId="16" fillId="0" borderId="0" xfId="0" applyFont="1"/>
    <xf numFmtId="0" fontId="5" fillId="0" borderId="0" xfId="0" applyFont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2" xfId="0" applyFont="1" applyBorder="1"/>
    <xf numFmtId="0" fontId="16" fillId="0" borderId="2" xfId="0" applyFont="1" applyBorder="1" applyAlignment="1">
      <alignment horizontal="center"/>
    </xf>
    <xf numFmtId="170" fontId="0" fillId="0" borderId="3" xfId="0" applyNumberFormat="1" applyBorder="1"/>
    <xf numFmtId="0" fontId="16" fillId="0" borderId="3" xfId="0" applyFont="1" applyBorder="1" applyAlignment="1">
      <alignment horizontal="center"/>
    </xf>
    <xf numFmtId="0" fontId="16" fillId="0" borderId="3" xfId="0" applyFont="1" applyBorder="1"/>
    <xf numFmtId="0" fontId="16" fillId="0" borderId="4" xfId="0" applyFont="1" applyBorder="1"/>
    <xf numFmtId="0" fontId="0" fillId="5" borderId="0" xfId="0" applyFill="1"/>
    <xf numFmtId="9" fontId="26" fillId="0" borderId="0" xfId="2" applyBorder="1" applyAlignment="1" applyProtection="1"/>
    <xf numFmtId="0" fontId="16" fillId="0" borderId="5" xfId="0" applyFont="1" applyBorder="1" applyAlignment="1">
      <alignment horizontal="center"/>
    </xf>
    <xf numFmtId="170" fontId="0" fillId="0" borderId="0" xfId="0" applyNumberFormat="1"/>
    <xf numFmtId="0" fontId="16" fillId="0" borderId="0" xfId="0" applyFont="1" applyAlignment="1">
      <alignment horizontal="center"/>
    </xf>
    <xf numFmtId="0" fontId="16" fillId="0" borderId="6" xfId="0" applyFont="1" applyBorder="1"/>
    <xf numFmtId="0" fontId="0" fillId="5" borderId="0" xfId="0" applyFill="1" applyAlignment="1">
      <alignment horizontal="right"/>
    </xf>
    <xf numFmtId="170" fontId="16" fillId="0" borderId="0" xfId="0" applyNumberFormat="1" applyFont="1"/>
    <xf numFmtId="0" fontId="16" fillId="0" borderId="7" xfId="0" applyFont="1" applyBorder="1" applyAlignment="1">
      <alignment horizontal="center"/>
    </xf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16" fillId="0" borderId="8" xfId="0" applyFont="1" applyBorder="1"/>
    <xf numFmtId="0" fontId="5" fillId="0" borderId="2" xfId="0" applyFont="1" applyBorder="1"/>
    <xf numFmtId="0" fontId="15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6" fillId="0" borderId="0" xfId="0" applyFont="1" applyAlignment="1">
      <alignment horizontal="left"/>
    </xf>
    <xf numFmtId="0" fontId="0" fillId="0" borderId="6" xfId="0" applyBorder="1"/>
    <xf numFmtId="0" fontId="16" fillId="0" borderId="0" xfId="0" applyFont="1" applyAlignment="1">
      <alignment horizontal="right"/>
    </xf>
    <xf numFmtId="0" fontId="16" fillId="0" borderId="1" xfId="0" applyFont="1" applyBorder="1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8" xfId="0" applyBorder="1"/>
    <xf numFmtId="0" fontId="15" fillId="0" borderId="2" xfId="0" applyFont="1" applyBorder="1"/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169" fontId="0" fillId="0" borderId="6" xfId="0" applyNumberFormat="1" applyBorder="1" applyAlignment="1">
      <alignment horizontal="center"/>
    </xf>
    <xf numFmtId="10" fontId="26" fillId="0" borderId="6" xfId="2" applyNumberFormat="1" applyBorder="1" applyAlignment="1" applyProtection="1">
      <alignment horizontal="center"/>
    </xf>
    <xf numFmtId="1" fontId="0" fillId="0" borderId="0" xfId="0" applyNumberFormat="1"/>
    <xf numFmtId="1" fontId="0" fillId="0" borderId="1" xfId="0" applyNumberFormat="1" applyBorder="1"/>
    <xf numFmtId="0" fontId="0" fillId="0" borderId="2" xfId="0" applyBorder="1"/>
    <xf numFmtId="169" fontId="0" fillId="0" borderId="0" xfId="0" applyNumberFormat="1"/>
    <xf numFmtId="170" fontId="0" fillId="0" borderId="0" xfId="0" applyNumberFormat="1" applyAlignment="1">
      <alignment horizontal="right"/>
    </xf>
    <xf numFmtId="0" fontId="0" fillId="0" borderId="5" xfId="0" applyBorder="1" applyAlignment="1">
      <alignment horizontal="left"/>
    </xf>
    <xf numFmtId="0" fontId="16" fillId="0" borderId="5" xfId="0" applyFont="1" applyBorder="1"/>
    <xf numFmtId="170" fontId="26" fillId="0" borderId="0" xfId="1" applyNumberFormat="1" applyBorder="1" applyAlignment="1" applyProtection="1">
      <alignment horizontal="right"/>
    </xf>
    <xf numFmtId="0" fontId="16" fillId="0" borderId="7" xfId="0" applyFont="1" applyBorder="1"/>
    <xf numFmtId="0" fontId="0" fillId="0" borderId="1" xfId="0" applyBorder="1" applyAlignment="1">
      <alignment horizontal="right"/>
    </xf>
    <xf numFmtId="0" fontId="16" fillId="0" borderId="23" xfId="0" applyFont="1" applyBorder="1" applyAlignment="1">
      <alignment horizontal="left"/>
    </xf>
    <xf numFmtId="0" fontId="5" fillId="0" borderId="3" xfId="0" applyFont="1" applyBorder="1"/>
    <xf numFmtId="169" fontId="0" fillId="0" borderId="6" xfId="0" applyNumberFormat="1" applyBorder="1"/>
    <xf numFmtId="10" fontId="26" fillId="0" borderId="6" xfId="2" applyNumberFormat="1" applyBorder="1" applyAlignment="1" applyProtection="1"/>
    <xf numFmtId="0" fontId="16" fillId="0" borderId="24" xfId="0" applyFont="1" applyBorder="1"/>
    <xf numFmtId="0" fontId="16" fillId="0" borderId="18" xfId="0" applyFont="1" applyBorder="1"/>
    <xf numFmtId="0" fontId="16" fillId="0" borderId="25" xfId="0" applyFont="1" applyBorder="1"/>
    <xf numFmtId="170" fontId="16" fillId="0" borderId="6" xfId="0" applyNumberFormat="1" applyFont="1" applyBorder="1"/>
    <xf numFmtId="1" fontId="16" fillId="0" borderId="6" xfId="0" applyNumberFormat="1" applyFont="1" applyBorder="1"/>
    <xf numFmtId="170" fontId="16" fillId="0" borderId="1" xfId="0" applyNumberFormat="1" applyFont="1" applyBorder="1"/>
    <xf numFmtId="170" fontId="16" fillId="0" borderId="8" xfId="0" applyNumberFormat="1" applyFont="1" applyBorder="1"/>
    <xf numFmtId="0" fontId="16" fillId="0" borderId="2" xfId="0" applyFont="1" applyBorder="1"/>
    <xf numFmtId="170" fontId="16" fillId="0" borderId="6" xfId="0" applyNumberFormat="1" applyFont="1" applyBorder="1" applyAlignment="1">
      <alignment horizontal="right"/>
    </xf>
    <xf numFmtId="0" fontId="6" fillId="3" borderId="2" xfId="8" applyFont="1" applyBorder="1" applyAlignment="1" applyProtection="1"/>
    <xf numFmtId="0" fontId="17" fillId="3" borderId="3" xfId="8" applyFont="1" applyBorder="1" applyAlignment="1" applyProtection="1"/>
    <xf numFmtId="0" fontId="0" fillId="3" borderId="3" xfId="0" applyFill="1" applyBorder="1"/>
    <xf numFmtId="0" fontId="0" fillId="3" borderId="4" xfId="0" applyFill="1" applyBorder="1"/>
    <xf numFmtId="0" fontId="16" fillId="0" borderId="6" xfId="0" applyFont="1" applyBorder="1" applyAlignment="1">
      <alignment horizontal="right"/>
    </xf>
    <xf numFmtId="0" fontId="18" fillId="3" borderId="1" xfId="8" applyFont="1" applyBorder="1" applyAlignment="1" applyProtection="1">
      <alignment horizontal="left"/>
    </xf>
    <xf numFmtId="0" fontId="16" fillId="3" borderId="15" xfId="0" applyFont="1" applyFill="1" applyBorder="1" applyAlignment="1">
      <alignment horizontal="right"/>
    </xf>
    <xf numFmtId="172" fontId="16" fillId="0" borderId="0" xfId="2" applyNumberFormat="1" applyFont="1" applyBorder="1" applyAlignment="1" applyProtection="1"/>
    <xf numFmtId="0" fontId="16" fillId="3" borderId="10" xfId="0" applyFont="1" applyFill="1" applyBorder="1" applyAlignment="1">
      <alignment horizontal="right"/>
    </xf>
    <xf numFmtId="166" fontId="0" fillId="0" borderId="0" xfId="0" applyNumberFormat="1"/>
    <xf numFmtId="166" fontId="0" fillId="4" borderId="26" xfId="0" applyNumberFormat="1" applyFill="1" applyBorder="1"/>
    <xf numFmtId="166" fontId="0" fillId="4" borderId="27" xfId="0" applyNumberFormat="1" applyFill="1" applyBorder="1"/>
    <xf numFmtId="0" fontId="7" fillId="3" borderId="28" xfId="8" applyBorder="1" applyAlignment="1" applyProtection="1"/>
    <xf numFmtId="0" fontId="7" fillId="3" borderId="29" xfId="8" applyBorder="1" applyAlignment="1" applyProtection="1"/>
    <xf numFmtId="0" fontId="7" fillId="3" borderId="19" xfId="8" applyBorder="1" applyAlignment="1" applyProtection="1"/>
    <xf numFmtId="0" fontId="7" fillId="3" borderId="25" xfId="8" applyBorder="1" applyAlignment="1" applyProtection="1"/>
    <xf numFmtId="169" fontId="0" fillId="3" borderId="10" xfId="0" applyNumberFormat="1" applyFill="1" applyBorder="1"/>
    <xf numFmtId="0" fontId="7" fillId="3" borderId="30" xfId="8" applyBorder="1" applyAlignment="1" applyProtection="1"/>
    <xf numFmtId="0" fontId="7" fillId="3" borderId="31" xfId="8" applyBorder="1" applyAlignment="1" applyProtection="1"/>
    <xf numFmtId="0" fontId="7" fillId="3" borderId="14" xfId="8" applyBorder="1" applyAlignment="1" applyProtection="1"/>
    <xf numFmtId="0" fontId="0" fillId="3" borderId="2" xfId="0" applyFill="1" applyBorder="1"/>
    <xf numFmtId="166" fontId="0" fillId="3" borderId="4" xfId="0" applyNumberFormat="1" applyFill="1" applyBorder="1"/>
    <xf numFmtId="166" fontId="0" fillId="3" borderId="4" xfId="0" applyNumberFormat="1" applyFill="1" applyBorder="1" applyAlignment="1">
      <alignment horizontal="right"/>
    </xf>
    <xf numFmtId="0" fontId="11" fillId="3" borderId="5" xfId="0" applyFont="1" applyFill="1" applyBorder="1"/>
    <xf numFmtId="175" fontId="0" fillId="3" borderId="6" xfId="0" applyNumberFormat="1" applyFill="1" applyBorder="1"/>
    <xf numFmtId="175" fontId="0" fillId="3" borderId="6" xfId="0" applyNumberFormat="1" applyFill="1" applyBorder="1" applyAlignment="1">
      <alignment horizontal="right"/>
    </xf>
    <xf numFmtId="1" fontId="0" fillId="4" borderId="9" xfId="0" applyNumberFormat="1" applyFill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/>
    <xf numFmtId="0" fontId="0" fillId="3" borderId="6" xfId="0" applyFill="1" applyBorder="1" applyAlignment="1">
      <alignment horizontal="right"/>
    </xf>
    <xf numFmtId="169" fontId="0" fillId="3" borderId="26" xfId="0" applyNumberFormat="1" applyFill="1" applyBorder="1"/>
    <xf numFmtId="169" fontId="0" fillId="3" borderId="27" xfId="0" applyNumberFormat="1" applyFill="1" applyBorder="1"/>
    <xf numFmtId="0" fontId="20" fillId="0" borderId="0" xfId="0" applyFont="1"/>
    <xf numFmtId="169" fontId="26" fillId="0" borderId="0" xfId="1" applyNumberFormat="1" applyBorder="1" applyAlignment="1" applyProtection="1"/>
    <xf numFmtId="0" fontId="11" fillId="3" borderId="7" xfId="0" applyFont="1" applyFill="1" applyBorder="1"/>
    <xf numFmtId="176" fontId="0" fillId="3" borderId="8" xfId="0" applyNumberFormat="1" applyFill="1" applyBorder="1"/>
    <xf numFmtId="176" fontId="0" fillId="3" borderId="8" xfId="0" applyNumberFormat="1" applyFill="1" applyBorder="1" applyAlignment="1">
      <alignment horizontal="right"/>
    </xf>
    <xf numFmtId="169" fontId="26" fillId="3" borderId="28" xfId="1" applyNumberFormat="1" applyFill="1" applyBorder="1" applyAlignment="1" applyProtection="1"/>
    <xf numFmtId="169" fontId="26" fillId="3" borderId="32" xfId="1" applyNumberFormat="1" applyFill="1" applyBorder="1" applyAlignment="1" applyProtection="1"/>
    <xf numFmtId="169" fontId="26" fillId="3" borderId="33" xfId="1" applyNumberFormat="1" applyFill="1" applyBorder="1" applyAlignment="1" applyProtection="1"/>
    <xf numFmtId="169" fontId="26" fillId="3" borderId="34" xfId="1" applyNumberFormat="1" applyFill="1" applyBorder="1" applyAlignment="1" applyProtection="1"/>
    <xf numFmtId="169" fontId="26" fillId="3" borderId="35" xfId="1" applyNumberFormat="1" applyFill="1" applyBorder="1" applyAlignment="1" applyProtection="1"/>
    <xf numFmtId="169" fontId="26" fillId="3" borderId="36" xfId="1" applyNumberFormat="1" applyFill="1" applyBorder="1" applyAlignment="1" applyProtection="1"/>
    <xf numFmtId="166" fontId="10" fillId="0" borderId="0" xfId="0" applyNumberFormat="1" applyFont="1" applyAlignment="1">
      <alignment horizontal="center"/>
    </xf>
    <xf numFmtId="0" fontId="7" fillId="3" borderId="37" xfId="8" applyBorder="1" applyAlignment="1" applyProtection="1"/>
    <xf numFmtId="0" fontId="7" fillId="3" borderId="38" xfId="8" applyBorder="1" applyAlignment="1" applyProtection="1"/>
    <xf numFmtId="0" fontId="7" fillId="3" borderId="39" xfId="8" applyBorder="1" applyAlignment="1" applyProtection="1"/>
    <xf numFmtId="170" fontId="0" fillId="3" borderId="40" xfId="0" applyNumberFormat="1" applyFill="1" applyBorder="1"/>
    <xf numFmtId="170" fontId="0" fillId="3" borderId="6" xfId="0" applyNumberFormat="1" applyFill="1" applyBorder="1"/>
    <xf numFmtId="170" fontId="0" fillId="3" borderId="4" xfId="0" applyNumberFormat="1" applyFill="1" applyBorder="1"/>
    <xf numFmtId="170" fontId="0" fillId="3" borderId="30" xfId="0" applyNumberFormat="1" applyFill="1" applyBorder="1"/>
    <xf numFmtId="170" fontId="0" fillId="3" borderId="37" xfId="0" applyNumberFormat="1" applyFill="1" applyBorder="1"/>
    <xf numFmtId="170" fontId="0" fillId="3" borderId="8" xfId="0" applyNumberFormat="1" applyFill="1" applyBorder="1"/>
    <xf numFmtId="0" fontId="0" fillId="3" borderId="40" xfId="0" applyFill="1" applyBorder="1"/>
    <xf numFmtId="0" fontId="0" fillId="3" borderId="30" xfId="0" applyFill="1" applyBorder="1"/>
    <xf numFmtId="0" fontId="0" fillId="3" borderId="0" xfId="0" applyFill="1"/>
    <xf numFmtId="1" fontId="0" fillId="3" borderId="0" xfId="0" applyNumberFormat="1" applyFill="1"/>
    <xf numFmtId="169" fontId="0" fillId="3" borderId="30" xfId="0" applyNumberFormat="1" applyFill="1" applyBorder="1" applyAlignment="1">
      <alignment horizontal="center"/>
    </xf>
    <xf numFmtId="1" fontId="5" fillId="3" borderId="30" xfId="0" applyNumberFormat="1" applyFont="1" applyFill="1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3" borderId="41" xfId="0" applyFill="1" applyBorder="1" applyAlignment="1">
      <alignment horizontal="center"/>
    </xf>
    <xf numFmtId="165" fontId="0" fillId="3" borderId="42" xfId="0" applyNumberFormat="1" applyFill="1" applyBorder="1"/>
    <xf numFmtId="1" fontId="0" fillId="3" borderId="43" xfId="0" applyNumberFormat="1" applyFill="1" applyBorder="1" applyAlignment="1">
      <alignment horizontal="center"/>
    </xf>
    <xf numFmtId="0" fontId="0" fillId="0" borderId="24" xfId="0" applyBorder="1"/>
    <xf numFmtId="0" fontId="0" fillId="0" borderId="18" xfId="0" applyBorder="1" applyAlignment="1">
      <alignment horizontal="center"/>
    </xf>
    <xf numFmtId="0" fontId="0" fillId="0" borderId="25" xfId="0" applyBorder="1" applyAlignment="1">
      <alignment horizontal="center"/>
    </xf>
    <xf numFmtId="165" fontId="0" fillId="0" borderId="6" xfId="0" applyNumberFormat="1" applyBorder="1"/>
    <xf numFmtId="0" fontId="0" fillId="0" borderId="44" xfId="0" applyBorder="1"/>
    <xf numFmtId="0" fontId="0" fillId="0" borderId="12" xfId="0" applyBorder="1"/>
    <xf numFmtId="177" fontId="0" fillId="0" borderId="12" xfId="0" applyNumberFormat="1" applyBorder="1"/>
    <xf numFmtId="165" fontId="0" fillId="0" borderId="12" xfId="0" applyNumberFormat="1" applyBorder="1"/>
    <xf numFmtId="170" fontId="0" fillId="0" borderId="45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0" borderId="8" xfId="0" applyNumberFormat="1" applyBorder="1"/>
    <xf numFmtId="10" fontId="0" fillId="0" borderId="0" xfId="0" applyNumberFormat="1"/>
    <xf numFmtId="10" fontId="26" fillId="4" borderId="9" xfId="2" applyNumberFormat="1" applyFill="1" applyBorder="1" applyAlignment="1" applyProtection="1"/>
    <xf numFmtId="0" fontId="0" fillId="0" borderId="46" xfId="0" applyBorder="1" applyAlignment="1">
      <alignment horizontal="center"/>
    </xf>
    <xf numFmtId="0" fontId="0" fillId="0" borderId="47" xfId="0" applyBorder="1"/>
    <xf numFmtId="2" fontId="0" fillId="0" borderId="48" xfId="0" applyNumberFormat="1" applyBorder="1"/>
    <xf numFmtId="165" fontId="0" fillId="0" borderId="48" xfId="0" applyNumberFormat="1" applyBorder="1"/>
    <xf numFmtId="165" fontId="5" fillId="0" borderId="48" xfId="0" applyNumberFormat="1" applyFont="1" applyBorder="1"/>
    <xf numFmtId="1" fontId="0" fillId="0" borderId="49" xfId="0" applyNumberFormat="1" applyBorder="1" applyAlignment="1">
      <alignment horizontal="center"/>
    </xf>
    <xf numFmtId="172" fontId="5" fillId="0" borderId="6" xfId="0" applyNumberFormat="1" applyFont="1" applyBorder="1"/>
    <xf numFmtId="165" fontId="10" fillId="0" borderId="0" xfId="0" applyNumberFormat="1" applyFont="1"/>
    <xf numFmtId="1" fontId="0" fillId="0" borderId="6" xfId="0" applyNumberFormat="1" applyBorder="1" applyAlignment="1">
      <alignment horizontal="center"/>
    </xf>
    <xf numFmtId="172" fontId="10" fillId="0" borderId="6" xfId="0" applyNumberFormat="1" applyFont="1" applyBorder="1"/>
    <xf numFmtId="165" fontId="22" fillId="0" borderId="0" xfId="0" applyNumberFormat="1" applyFont="1"/>
    <xf numFmtId="172" fontId="22" fillId="0" borderId="6" xfId="0" applyNumberFormat="1" applyFont="1" applyBorder="1"/>
    <xf numFmtId="165" fontId="23" fillId="0" borderId="0" xfId="0" applyNumberFormat="1" applyFont="1"/>
    <xf numFmtId="172" fontId="23" fillId="0" borderId="50" xfId="0" applyNumberFormat="1" applyFont="1" applyBorder="1"/>
    <xf numFmtId="0" fontId="0" fillId="0" borderId="51" xfId="0" applyBorder="1"/>
    <xf numFmtId="0" fontId="0" fillId="0" borderId="52" xfId="0" applyBorder="1"/>
    <xf numFmtId="165" fontId="0" fillId="0" borderId="52" xfId="0" applyNumberFormat="1" applyBorder="1"/>
    <xf numFmtId="1" fontId="0" fillId="0" borderId="53" xfId="0" applyNumberFormat="1" applyBorder="1" applyAlignment="1">
      <alignment horizontal="center"/>
    </xf>
    <xf numFmtId="178" fontId="26" fillId="0" borderId="8" xfId="2" applyNumberFormat="1" applyBorder="1" applyAlignment="1" applyProtection="1"/>
    <xf numFmtId="0" fontId="0" fillId="0" borderId="18" xfId="0" applyBorder="1"/>
    <xf numFmtId="0" fontId="0" fillId="0" borderId="25" xfId="0" applyBorder="1"/>
    <xf numFmtId="0" fontId="0" fillId="0" borderId="48" xfId="0" applyBorder="1"/>
    <xf numFmtId="165" fontId="0" fillId="0" borderId="49" xfId="0" applyNumberFormat="1" applyBorder="1"/>
    <xf numFmtId="2" fontId="0" fillId="0" borderId="6" xfId="0" applyNumberFormat="1" applyBorder="1"/>
    <xf numFmtId="167" fontId="0" fillId="3" borderId="9" xfId="0" applyNumberFormat="1" applyFill="1" applyBorder="1"/>
    <xf numFmtId="0" fontId="7" fillId="3" borderId="20" xfId="8" applyBorder="1" applyAlignment="1" applyProtection="1"/>
    <xf numFmtId="165" fontId="7" fillId="3" borderId="21" xfId="8" applyNumberFormat="1" applyBorder="1" applyAlignment="1" applyProtection="1"/>
    <xf numFmtId="171" fontId="7" fillId="3" borderId="21" xfId="8" applyNumberFormat="1" applyBorder="1" applyAlignment="1" applyProtection="1">
      <alignment horizontal="center"/>
    </xf>
    <xf numFmtId="165" fontId="7" fillId="3" borderId="21" xfId="8" applyNumberFormat="1" applyBorder="1" applyAlignment="1" applyProtection="1">
      <alignment horizontal="center"/>
    </xf>
    <xf numFmtId="1" fontId="7" fillId="3" borderId="11" xfId="8" applyNumberFormat="1" applyBorder="1" applyAlignment="1" applyProtection="1">
      <alignment horizontal="center"/>
    </xf>
    <xf numFmtId="10" fontId="7" fillId="3" borderId="20" xfId="8" applyNumberFormat="1" applyBorder="1" applyAlignment="1" applyProtection="1"/>
    <xf numFmtId="0" fontId="7" fillId="3" borderId="11" xfId="8" applyBorder="1" applyAlignment="1" applyProtection="1"/>
    <xf numFmtId="2" fontId="7" fillId="3" borderId="11" xfId="8" applyNumberFormat="1" applyBorder="1" applyAlignment="1" applyProtection="1"/>
    <xf numFmtId="0" fontId="9" fillId="4" borderId="20" xfId="9" applyBorder="1" applyAlignment="1" applyProtection="1">
      <alignment horizontal="center"/>
    </xf>
    <xf numFmtId="9" fontId="9" fillId="4" borderId="11" xfId="9" applyNumberFormat="1" applyBorder="1" applyAlignment="1" applyProtection="1"/>
    <xf numFmtId="0" fontId="9" fillId="4" borderId="20" xfId="9" applyBorder="1" applyAlignment="1" applyProtection="1">
      <alignment horizontal="right" vertical="center"/>
    </xf>
    <xf numFmtId="0" fontId="9" fillId="4" borderId="11" xfId="9" applyBorder="1" applyAlignment="1" applyProtection="1">
      <alignment horizontal="left" vertical="center"/>
    </xf>
    <xf numFmtId="0" fontId="9" fillId="4" borderId="11" xfId="9" applyBorder="1" applyAlignment="1" applyProtection="1"/>
    <xf numFmtId="169" fontId="7" fillId="0" borderId="0" xfId="8" applyNumberFormat="1" applyFill="1" applyBorder="1" applyAlignment="1" applyProtection="1">
      <alignment horizontal="center"/>
    </xf>
    <xf numFmtId="179" fontId="26" fillId="0" borderId="0" xfId="1" applyNumberFormat="1" applyBorder="1" applyAlignment="1" applyProtection="1"/>
    <xf numFmtId="0" fontId="19" fillId="7" borderId="30" xfId="12" applyBorder="1" applyAlignment="1" applyProtection="1">
      <alignment horizontal="left"/>
    </xf>
    <xf numFmtId="0" fontId="19" fillId="7" borderId="60" xfId="12" applyBorder="1" applyAlignment="1" applyProtection="1">
      <alignment horizontal="left"/>
    </xf>
    <xf numFmtId="0" fontId="19" fillId="7" borderId="37" xfId="12" applyBorder="1" applyAlignment="1" applyProtection="1">
      <alignment horizontal="left"/>
    </xf>
    <xf numFmtId="0" fontId="19" fillId="7" borderId="63" xfId="12" applyBorder="1" applyAlignment="1" applyProtection="1">
      <alignment horizontal="left"/>
    </xf>
    <xf numFmtId="0" fontId="17" fillId="0" borderId="0" xfId="0" applyFont="1"/>
    <xf numFmtId="0" fontId="7" fillId="0" borderId="60" xfId="8" applyFill="1" applyBorder="1" applyAlignment="1" applyProtection="1">
      <alignment horizontal="center"/>
    </xf>
    <xf numFmtId="0" fontId="7" fillId="0" borderId="31" xfId="8" applyFill="1" applyBorder="1" applyAlignment="1" applyProtection="1">
      <alignment horizontal="center"/>
    </xf>
    <xf numFmtId="0" fontId="7" fillId="10" borderId="24" xfId="8" applyFill="1" applyBorder="1" applyAlignment="1" applyProtection="1">
      <alignment horizontal="center"/>
    </xf>
    <xf numFmtId="0" fontId="7" fillId="10" borderId="18" xfId="8" applyFill="1" applyBorder="1" applyAlignment="1" applyProtection="1">
      <alignment horizontal="center"/>
    </xf>
    <xf numFmtId="0" fontId="7" fillId="10" borderId="25" xfId="8" applyFill="1" applyBorder="1" applyAlignment="1" applyProtection="1">
      <alignment horizontal="center"/>
    </xf>
    <xf numFmtId="0" fontId="7" fillId="10" borderId="5" xfId="8" applyFill="1" applyBorder="1" applyAlignment="1" applyProtection="1">
      <alignment horizontal="center"/>
    </xf>
    <xf numFmtId="0" fontId="7" fillId="10" borderId="31" xfId="8" applyFill="1" applyBorder="1" applyAlignment="1" applyProtection="1">
      <alignment horizontal="center"/>
    </xf>
    <xf numFmtId="0" fontId="7" fillId="10" borderId="0" xfId="8" applyFill="1" applyBorder="1" applyAlignment="1" applyProtection="1">
      <alignment horizontal="center"/>
    </xf>
    <xf numFmtId="0" fontId="7" fillId="10" borderId="6" xfId="8" applyFill="1" applyBorder="1" applyAlignment="1" applyProtection="1">
      <alignment horizontal="center"/>
    </xf>
    <xf numFmtId="0" fontId="7" fillId="10" borderId="44" xfId="8" applyFill="1" applyBorder="1" applyAlignment="1" applyProtection="1">
      <alignment horizontal="center"/>
    </xf>
    <xf numFmtId="0" fontId="7" fillId="10" borderId="54" xfId="8" applyFill="1" applyBorder="1" applyAlignment="1" applyProtection="1">
      <alignment horizontal="center"/>
    </xf>
    <xf numFmtId="0" fontId="7" fillId="10" borderId="12" xfId="8" applyFill="1" applyBorder="1" applyAlignment="1" applyProtection="1">
      <alignment horizontal="center"/>
    </xf>
    <xf numFmtId="0" fontId="7" fillId="10" borderId="45" xfId="8" applyFill="1" applyBorder="1" applyAlignment="1" applyProtection="1">
      <alignment horizontal="center"/>
    </xf>
    <xf numFmtId="167" fontId="7" fillId="10" borderId="31" xfId="8" applyNumberFormat="1" applyFill="1" applyBorder="1" applyAlignment="1" applyProtection="1">
      <alignment horizontal="center"/>
    </xf>
    <xf numFmtId="167" fontId="7" fillId="10" borderId="59" xfId="8" applyNumberFormat="1" applyFill="1" applyBorder="1" applyAlignment="1" applyProtection="1">
      <alignment horizontal="center"/>
    </xf>
    <xf numFmtId="167" fontId="7" fillId="10" borderId="55" xfId="8" applyNumberFormat="1" applyFill="1" applyBorder="1" applyAlignment="1" applyProtection="1">
      <alignment horizontal="center"/>
    </xf>
    <xf numFmtId="0" fontId="7" fillId="10" borderId="57" xfId="8" applyFill="1" applyBorder="1" applyAlignment="1" applyProtection="1">
      <alignment horizontal="center"/>
    </xf>
    <xf numFmtId="10" fontId="1" fillId="0" borderId="0" xfId="8" applyNumberFormat="1" applyFont="1" applyFill="1" applyBorder="1" applyAlignment="1" applyProtection="1">
      <alignment horizontal="center"/>
    </xf>
    <xf numFmtId="0" fontId="1" fillId="0" borderId="0" xfId="8" applyFont="1" applyFill="1" applyBorder="1" applyAlignment="1" applyProtection="1">
      <alignment horizontal="center"/>
    </xf>
    <xf numFmtId="0" fontId="26" fillId="0" borderId="0" xfId="0" applyFont="1"/>
    <xf numFmtId="0" fontId="1" fillId="0" borderId="0" xfId="12" applyFont="1" applyFill="1" applyBorder="1" applyAlignment="1" applyProtection="1"/>
    <xf numFmtId="10" fontId="1" fillId="0" borderId="0" xfId="12" applyNumberFormat="1" applyFont="1" applyFill="1" applyBorder="1" applyAlignment="1" applyProtection="1">
      <alignment horizontal="center"/>
    </xf>
    <xf numFmtId="0" fontId="1" fillId="0" borderId="0" xfId="12" applyFont="1" applyFill="1" applyBorder="1" applyAlignment="1" applyProtection="1">
      <alignment horizontal="center"/>
    </xf>
    <xf numFmtId="0" fontId="26" fillId="0" borderId="0" xfId="0" applyFont="1" applyAlignment="1">
      <alignment horizontal="center"/>
    </xf>
    <xf numFmtId="0" fontId="7" fillId="10" borderId="60" xfId="8" applyFill="1" applyBorder="1" applyAlignment="1" applyProtection="1">
      <alignment horizontal="center"/>
    </xf>
    <xf numFmtId="0" fontId="7" fillId="10" borderId="47" xfId="8" applyFill="1" applyBorder="1" applyAlignment="1" applyProtection="1">
      <alignment horizontal="center"/>
    </xf>
    <xf numFmtId="2" fontId="7" fillId="10" borderId="48" xfId="8" applyNumberFormat="1" applyFill="1" applyBorder="1" applyAlignment="1" applyProtection="1">
      <alignment horizontal="center"/>
    </xf>
    <xf numFmtId="10" fontId="7" fillId="10" borderId="48" xfId="8" applyNumberFormat="1" applyFill="1" applyBorder="1" applyAlignment="1" applyProtection="1">
      <alignment horizontal="center"/>
    </xf>
    <xf numFmtId="167" fontId="27" fillId="0" borderId="31" xfId="9" applyNumberFormat="1" applyFont="1" applyFill="1" applyBorder="1" applyAlignment="1" applyProtection="1">
      <alignment horizontal="center"/>
    </xf>
    <xf numFmtId="0" fontId="27" fillId="0" borderId="60" xfId="9" applyFont="1" applyFill="1" applyBorder="1" applyAlignment="1" applyProtection="1">
      <alignment horizontal="center"/>
    </xf>
    <xf numFmtId="167" fontId="27" fillId="0" borderId="31" xfId="11" applyNumberFormat="1" applyFont="1" applyFill="1" applyBorder="1" applyAlignment="1" applyProtection="1">
      <alignment horizontal="center"/>
    </xf>
    <xf numFmtId="0" fontId="27" fillId="0" borderId="60" xfId="11" applyFont="1" applyFill="1" applyBorder="1" applyAlignment="1" applyProtection="1">
      <alignment horizontal="center"/>
    </xf>
    <xf numFmtId="167" fontId="27" fillId="0" borderId="31" xfId="8" applyNumberFormat="1" applyFont="1" applyFill="1" applyBorder="1" applyAlignment="1" applyProtection="1">
      <alignment horizontal="center"/>
    </xf>
    <xf numFmtId="0" fontId="27" fillId="0" borderId="60" xfId="8" applyFont="1" applyFill="1" applyBorder="1" applyAlignment="1" applyProtection="1">
      <alignment horizontal="center"/>
    </xf>
    <xf numFmtId="0" fontId="27" fillId="0" borderId="31" xfId="8" applyFont="1" applyFill="1" applyBorder="1" applyAlignment="1" applyProtection="1">
      <alignment horizontal="center"/>
    </xf>
    <xf numFmtId="0" fontId="7" fillId="0" borderId="30" xfId="8" applyFill="1" applyBorder="1" applyAlignment="1" applyProtection="1">
      <alignment horizontal="center"/>
    </xf>
    <xf numFmtId="0" fontId="27" fillId="0" borderId="30" xfId="9" applyFont="1" applyFill="1" applyBorder="1" applyAlignment="1" applyProtection="1">
      <alignment horizontal="center"/>
    </xf>
    <xf numFmtId="2" fontId="27" fillId="0" borderId="31" xfId="9" applyNumberFormat="1" applyFont="1" applyFill="1" applyBorder="1" applyAlignment="1" applyProtection="1">
      <alignment horizontal="center"/>
    </xf>
    <xf numFmtId="10" fontId="27" fillId="0" borderId="31" xfId="9" applyNumberFormat="1" applyFont="1" applyFill="1" applyBorder="1" applyAlignment="1" applyProtection="1">
      <alignment horizontal="center"/>
    </xf>
    <xf numFmtId="0" fontId="27" fillId="0" borderId="30" xfId="11" applyFont="1" applyFill="1" applyBorder="1" applyAlignment="1" applyProtection="1">
      <alignment horizontal="center"/>
    </xf>
    <xf numFmtId="2" fontId="27" fillId="0" borderId="31" xfId="11" applyNumberFormat="1" applyFont="1" applyFill="1" applyBorder="1" applyAlignment="1" applyProtection="1">
      <alignment horizontal="center"/>
    </xf>
    <xf numFmtId="10" fontId="27" fillId="0" borderId="31" xfId="11" applyNumberFormat="1" applyFont="1" applyFill="1" applyBorder="1" applyAlignment="1" applyProtection="1">
      <alignment horizontal="center"/>
    </xf>
    <xf numFmtId="0" fontId="27" fillId="0" borderId="30" xfId="8" applyFont="1" applyFill="1" applyBorder="1" applyAlignment="1" applyProtection="1">
      <alignment horizontal="center"/>
    </xf>
    <xf numFmtId="2" fontId="27" fillId="0" borderId="31" xfId="8" applyNumberFormat="1" applyFont="1" applyFill="1" applyBorder="1" applyAlignment="1" applyProtection="1">
      <alignment horizontal="center"/>
    </xf>
    <xf numFmtId="10" fontId="27" fillId="0" borderId="31" xfId="8" applyNumberFormat="1" applyFont="1" applyFill="1" applyBorder="1" applyAlignment="1" applyProtection="1">
      <alignment horizontal="center"/>
    </xf>
    <xf numFmtId="0" fontId="27" fillId="0" borderId="30" xfId="8" applyFont="1" applyFill="1" applyBorder="1" applyAlignment="1" applyProtection="1"/>
    <xf numFmtId="0" fontId="27" fillId="0" borderId="37" xfId="8" applyFont="1" applyFill="1" applyBorder="1" applyAlignment="1" applyProtection="1"/>
    <xf numFmtId="0" fontId="27" fillId="0" borderId="38" xfId="8" applyFont="1" applyFill="1" applyBorder="1" applyAlignment="1" applyProtection="1">
      <alignment horizontal="center"/>
    </xf>
    <xf numFmtId="10" fontId="27" fillId="0" borderId="38" xfId="8" applyNumberFormat="1" applyFont="1" applyFill="1" applyBorder="1" applyAlignment="1" applyProtection="1">
      <alignment horizontal="center"/>
    </xf>
    <xf numFmtId="0" fontId="27" fillId="0" borderId="63" xfId="8" applyFont="1" applyFill="1" applyBorder="1" applyAlignment="1" applyProtection="1">
      <alignment horizontal="center"/>
    </xf>
    <xf numFmtId="0" fontId="7" fillId="11" borderId="58" xfId="8" applyFill="1" applyBorder="1" applyAlignment="1" applyProtection="1">
      <alignment horizontal="center"/>
    </xf>
    <xf numFmtId="170" fontId="7" fillId="11" borderId="55" xfId="8" applyNumberFormat="1" applyFill="1" applyBorder="1" applyAlignment="1" applyProtection="1">
      <alignment horizontal="center"/>
    </xf>
    <xf numFmtId="0" fontId="7" fillId="11" borderId="55" xfId="8" applyFill="1" applyBorder="1" applyAlignment="1" applyProtection="1">
      <alignment horizontal="center"/>
    </xf>
    <xf numFmtId="169" fontId="7" fillId="11" borderId="57" xfId="8" applyNumberFormat="1" applyFill="1" applyBorder="1" applyAlignment="1" applyProtection="1">
      <alignment horizontal="center"/>
    </xf>
    <xf numFmtId="0" fontId="7" fillId="10" borderId="29" xfId="8" applyFill="1" applyBorder="1" applyAlignment="1" applyProtection="1">
      <alignment horizontal="center"/>
    </xf>
    <xf numFmtId="0" fontId="7" fillId="10" borderId="30" xfId="8" applyFill="1" applyBorder="1" applyAlignment="1" applyProtection="1">
      <alignment horizontal="center"/>
    </xf>
    <xf numFmtId="0" fontId="7" fillId="10" borderId="14" xfId="8" applyFill="1" applyBorder="1" applyAlignment="1" applyProtection="1">
      <alignment horizontal="center"/>
    </xf>
    <xf numFmtId="169" fontId="7" fillId="10" borderId="31" xfId="8" applyNumberFormat="1" applyFill="1" applyBorder="1" applyAlignment="1" applyProtection="1">
      <alignment horizontal="center"/>
    </xf>
    <xf numFmtId="169" fontId="7" fillId="10" borderId="0" xfId="8" applyNumberFormat="1" applyFill="1" applyBorder="1" applyAlignment="1" applyProtection="1">
      <alignment horizontal="center"/>
    </xf>
    <xf numFmtId="169" fontId="7" fillId="10" borderId="6" xfId="8" applyNumberFormat="1" applyFill="1" applyBorder="1" applyAlignment="1" applyProtection="1">
      <alignment horizontal="center"/>
    </xf>
    <xf numFmtId="0" fontId="7" fillId="10" borderId="37" xfId="8" applyFill="1" applyBorder="1" applyAlignment="1" applyProtection="1"/>
    <xf numFmtId="0" fontId="7" fillId="10" borderId="39" xfId="8" applyFill="1" applyBorder="1" applyAlignment="1" applyProtection="1"/>
    <xf numFmtId="0" fontId="7" fillId="10" borderId="38" xfId="8" applyFill="1" applyBorder="1" applyAlignment="1" applyProtection="1"/>
    <xf numFmtId="0" fontId="7" fillId="10" borderId="1" xfId="8" applyFill="1" applyBorder="1" applyAlignment="1" applyProtection="1"/>
    <xf numFmtId="0" fontId="7" fillId="10" borderId="8" xfId="8" applyFill="1" applyBorder="1" applyAlignment="1" applyProtection="1"/>
    <xf numFmtId="0" fontId="7" fillId="10" borderId="28" xfId="8" applyFill="1" applyBorder="1" applyAlignment="1" applyProtection="1">
      <alignment horizontal="center"/>
    </xf>
    <xf numFmtId="0" fontId="7" fillId="10" borderId="65" xfId="8" applyFill="1" applyBorder="1" applyAlignment="1" applyProtection="1">
      <alignment horizontal="center"/>
    </xf>
    <xf numFmtId="0" fontId="7" fillId="10" borderId="66" xfId="8" applyFill="1" applyBorder="1" applyAlignment="1" applyProtection="1">
      <alignment horizontal="center"/>
    </xf>
    <xf numFmtId="0" fontId="7" fillId="10" borderId="19" xfId="8" applyFill="1" applyBorder="1" applyAlignment="1" applyProtection="1">
      <alignment horizontal="center"/>
    </xf>
    <xf numFmtId="0" fontId="7" fillId="10" borderId="55" xfId="8" applyFill="1" applyBorder="1" applyAlignment="1" applyProtection="1">
      <alignment horizontal="center"/>
    </xf>
    <xf numFmtId="165" fontId="7" fillId="10" borderId="56" xfId="8" applyNumberFormat="1" applyFill="1" applyBorder="1" applyAlignment="1" applyProtection="1">
      <alignment horizontal="center"/>
    </xf>
    <xf numFmtId="165" fontId="7" fillId="10" borderId="14" xfId="8" applyNumberFormat="1" applyFill="1" applyBorder="1" applyAlignment="1" applyProtection="1">
      <alignment horizontal="center"/>
    </xf>
    <xf numFmtId="10" fontId="7" fillId="10" borderId="31" xfId="8" applyNumberFormat="1" applyFill="1" applyBorder="1" applyAlignment="1" applyProtection="1"/>
    <xf numFmtId="170" fontId="7" fillId="10" borderId="31" xfId="8" applyNumberFormat="1" applyFill="1" applyBorder="1" applyAlignment="1" applyProtection="1">
      <alignment horizontal="center"/>
    </xf>
    <xf numFmtId="170" fontId="7" fillId="10" borderId="6" xfId="8" applyNumberFormat="1" applyFill="1" applyBorder="1" applyAlignment="1" applyProtection="1">
      <alignment horizontal="center"/>
    </xf>
    <xf numFmtId="0" fontId="7" fillId="10" borderId="7" xfId="8" applyFill="1" applyBorder="1" applyAlignment="1" applyProtection="1">
      <alignment horizontal="center"/>
    </xf>
    <xf numFmtId="0" fontId="7" fillId="10" borderId="38" xfId="8" applyFill="1" applyBorder="1" applyAlignment="1" applyProtection="1">
      <alignment horizontal="center"/>
    </xf>
    <xf numFmtId="0" fontId="7" fillId="10" borderId="39" xfId="8" applyFill="1" applyBorder="1" applyAlignment="1" applyProtection="1">
      <alignment horizontal="center"/>
    </xf>
    <xf numFmtId="10" fontId="7" fillId="10" borderId="38" xfId="8" applyNumberFormat="1" applyFill="1" applyBorder="1" applyAlignment="1" applyProtection="1"/>
    <xf numFmtId="170" fontId="7" fillId="10" borderId="38" xfId="8" applyNumberFormat="1" applyFill="1" applyBorder="1" applyAlignment="1" applyProtection="1">
      <alignment horizontal="center"/>
    </xf>
    <xf numFmtId="170" fontId="7" fillId="10" borderId="8" xfId="8" applyNumberFormat="1" applyFill="1" applyBorder="1" applyAlignment="1" applyProtection="1">
      <alignment horizontal="center"/>
    </xf>
    <xf numFmtId="0" fontId="7" fillId="10" borderId="2" xfId="8" applyFill="1" applyBorder="1" applyAlignment="1" applyProtection="1"/>
    <xf numFmtId="0" fontId="7" fillId="10" borderId="3" xfId="8" applyFill="1" applyBorder="1" applyAlignment="1" applyProtection="1">
      <alignment horizontal="center"/>
    </xf>
    <xf numFmtId="0" fontId="7" fillId="10" borderId="4" xfId="8" applyFill="1" applyBorder="1" applyAlignment="1" applyProtection="1">
      <alignment horizontal="center"/>
    </xf>
    <xf numFmtId="0" fontId="7" fillId="10" borderId="5" xfId="8" applyFill="1" applyBorder="1" applyAlignment="1" applyProtection="1"/>
    <xf numFmtId="0" fontId="7" fillId="10" borderId="47" xfId="8" applyFill="1" applyBorder="1" applyAlignment="1" applyProtection="1"/>
    <xf numFmtId="165" fontId="24" fillId="10" borderId="55" xfId="8" applyNumberFormat="1" applyFont="1" applyFill="1" applyBorder="1" applyAlignment="1" applyProtection="1">
      <alignment horizontal="center"/>
    </xf>
    <xf numFmtId="165" fontId="24" fillId="10" borderId="56" xfId="8" applyNumberFormat="1" applyFont="1" applyFill="1" applyBorder="1" applyAlignment="1" applyProtection="1">
      <alignment horizontal="center"/>
    </xf>
    <xf numFmtId="10" fontId="24" fillId="10" borderId="57" xfId="8" applyNumberFormat="1" applyFont="1" applyFill="1" applyBorder="1" applyAlignment="1" applyProtection="1">
      <alignment horizontal="center"/>
    </xf>
    <xf numFmtId="165" fontId="7" fillId="10" borderId="31" xfId="8" applyNumberFormat="1" applyFill="1" applyBorder="1" applyAlignment="1" applyProtection="1">
      <alignment horizontal="center"/>
    </xf>
    <xf numFmtId="0" fontId="19" fillId="12" borderId="61" xfId="12" applyFill="1" applyBorder="1" applyAlignment="1" applyProtection="1"/>
    <xf numFmtId="165" fontId="19" fillId="12" borderId="22" xfId="12" applyNumberFormat="1" applyFill="1" applyBorder="1" applyAlignment="1" applyProtection="1">
      <alignment horizontal="center"/>
    </xf>
    <xf numFmtId="165" fontId="19" fillId="12" borderId="43" xfId="12" applyNumberFormat="1" applyFill="1" applyBorder="1" applyAlignment="1" applyProtection="1">
      <alignment horizontal="center"/>
    </xf>
    <xf numFmtId="0" fontId="19" fillId="12" borderId="34" xfId="12" applyFill="1" applyBorder="1" applyAlignment="1" applyProtection="1">
      <alignment horizontal="center"/>
    </xf>
    <xf numFmtId="165" fontId="24" fillId="10" borderId="31" xfId="8" applyNumberFormat="1" applyFont="1" applyFill="1" applyBorder="1" applyAlignment="1" applyProtection="1">
      <alignment horizontal="center"/>
    </xf>
    <xf numFmtId="165" fontId="24" fillId="10" borderId="14" xfId="8" applyNumberFormat="1" applyFont="1" applyFill="1" applyBorder="1" applyAlignment="1" applyProtection="1">
      <alignment horizontal="center"/>
    </xf>
    <xf numFmtId="10" fontId="24" fillId="10" borderId="60" xfId="8" applyNumberFormat="1" applyFont="1" applyFill="1" applyBorder="1" applyAlignment="1" applyProtection="1">
      <alignment horizontal="center"/>
    </xf>
    <xf numFmtId="0" fontId="7" fillId="10" borderId="7" xfId="8" applyFill="1" applyBorder="1" applyAlignment="1" applyProtection="1"/>
    <xf numFmtId="165" fontId="7" fillId="10" borderId="38" xfId="8" applyNumberFormat="1" applyFill="1" applyBorder="1" applyAlignment="1" applyProtection="1">
      <alignment horizontal="center"/>
    </xf>
    <xf numFmtId="165" fontId="7" fillId="10" borderId="39" xfId="8" applyNumberFormat="1" applyFill="1" applyBorder="1" applyAlignment="1" applyProtection="1">
      <alignment horizontal="center"/>
    </xf>
    <xf numFmtId="0" fontId="7" fillId="10" borderId="63" xfId="8" applyFill="1" applyBorder="1" applyAlignment="1" applyProtection="1">
      <alignment horizontal="center"/>
    </xf>
    <xf numFmtId="0" fontId="7" fillId="10" borderId="2" xfId="8" applyFill="1" applyBorder="1" applyAlignment="1" applyProtection="1">
      <alignment horizontal="left"/>
    </xf>
    <xf numFmtId="0" fontId="7" fillId="10" borderId="3" xfId="8" applyFill="1" applyBorder="1" applyAlignment="1" applyProtection="1">
      <alignment horizontal="left"/>
    </xf>
    <xf numFmtId="0" fontId="7" fillId="10" borderId="58" xfId="8" applyFill="1" applyBorder="1" applyAlignment="1" applyProtection="1">
      <alignment horizontal="center"/>
    </xf>
    <xf numFmtId="165" fontId="7" fillId="10" borderId="55" xfId="8" applyNumberFormat="1" applyFill="1" applyBorder="1" applyAlignment="1" applyProtection="1">
      <alignment horizontal="center"/>
    </xf>
    <xf numFmtId="165" fontId="7" fillId="10" borderId="0" xfId="8" applyNumberFormat="1" applyFill="1" applyBorder="1" applyAlignment="1" applyProtection="1">
      <alignment horizontal="center"/>
    </xf>
    <xf numFmtId="165" fontId="7" fillId="10" borderId="58" xfId="8" applyNumberFormat="1" applyFill="1" applyBorder="1" applyAlignment="1" applyProtection="1">
      <alignment horizontal="center"/>
    </xf>
    <xf numFmtId="165" fontId="7" fillId="10" borderId="30" xfId="8" applyNumberFormat="1" applyFill="1" applyBorder="1" applyAlignment="1" applyProtection="1">
      <alignment horizontal="center"/>
    </xf>
    <xf numFmtId="0" fontId="7" fillId="10" borderId="31" xfId="8" applyFill="1" applyBorder="1" applyAlignment="1" applyProtection="1"/>
    <xf numFmtId="165" fontId="7" fillId="10" borderId="37" xfId="8" applyNumberFormat="1" applyFill="1" applyBorder="1" applyAlignment="1" applyProtection="1">
      <alignment horizontal="center"/>
    </xf>
    <xf numFmtId="0" fontId="7" fillId="10" borderId="24" xfId="8" applyFill="1" applyBorder="1" applyAlignment="1" applyProtection="1"/>
    <xf numFmtId="169" fontId="7" fillId="10" borderId="18" xfId="8" applyNumberFormat="1" applyFill="1" applyBorder="1" applyAlignment="1" applyProtection="1">
      <alignment horizontal="center"/>
    </xf>
    <xf numFmtId="169" fontId="7" fillId="10" borderId="19" xfId="8" applyNumberFormat="1" applyFill="1" applyBorder="1" applyAlignment="1" applyProtection="1">
      <alignment horizontal="center"/>
    </xf>
    <xf numFmtId="0" fontId="7" fillId="10" borderId="44" xfId="8" applyFill="1" applyBorder="1" applyAlignment="1" applyProtection="1"/>
    <xf numFmtId="0" fontId="7" fillId="10" borderId="62" xfId="8" applyFill="1" applyBorder="1" applyAlignment="1" applyProtection="1">
      <alignment horizontal="center"/>
    </xf>
    <xf numFmtId="169" fontId="7" fillId="10" borderId="54" xfId="8" applyNumberFormat="1" applyFill="1" applyBorder="1" applyAlignment="1" applyProtection="1">
      <alignment horizontal="center"/>
    </xf>
    <xf numFmtId="169" fontId="7" fillId="10" borderId="34" xfId="8" applyNumberFormat="1" applyFill="1" applyBorder="1" applyAlignment="1" applyProtection="1">
      <alignment horizontal="center"/>
    </xf>
    <xf numFmtId="0" fontId="7" fillId="10" borderId="23" xfId="8" applyFill="1" applyBorder="1" applyAlignment="1" applyProtection="1">
      <alignment horizontal="center"/>
    </xf>
    <xf numFmtId="0" fontId="7" fillId="10" borderId="64" xfId="8" applyFill="1" applyBorder="1" applyAlignment="1" applyProtection="1">
      <alignment horizontal="center"/>
    </xf>
    <xf numFmtId="0" fontId="7" fillId="10" borderId="8" xfId="8" applyFill="1" applyBorder="1" applyAlignment="1" applyProtection="1">
      <alignment horizontal="center"/>
    </xf>
    <xf numFmtId="165" fontId="7" fillId="10" borderId="6" xfId="8" applyNumberFormat="1" applyFill="1" applyBorder="1" applyAlignment="1" applyProtection="1">
      <alignment horizontal="center"/>
    </xf>
    <xf numFmtId="0" fontId="7" fillId="11" borderId="2" xfId="8" applyFill="1" applyBorder="1" applyAlignment="1" applyProtection="1"/>
    <xf numFmtId="0" fontId="7" fillId="11" borderId="3" xfId="8" applyFill="1" applyBorder="1" applyAlignment="1" applyProtection="1"/>
    <xf numFmtId="0" fontId="7" fillId="11" borderId="4" xfId="8" applyFill="1" applyBorder="1" applyAlignment="1" applyProtection="1"/>
    <xf numFmtId="0" fontId="7" fillId="11" borderId="5" xfId="8" applyFill="1" applyBorder="1" applyAlignment="1" applyProtection="1"/>
    <xf numFmtId="0" fontId="7" fillId="11" borderId="0" xfId="8" applyFill="1" applyBorder="1" applyAlignment="1" applyProtection="1"/>
    <xf numFmtId="167" fontId="7" fillId="11" borderId="0" xfId="8" applyNumberFormat="1" applyFill="1" applyBorder="1" applyAlignment="1" applyProtection="1"/>
    <xf numFmtId="0" fontId="7" fillId="11" borderId="6" xfId="8" applyFill="1" applyBorder="1" applyAlignment="1" applyProtection="1"/>
    <xf numFmtId="2" fontId="7" fillId="11" borderId="0" xfId="8" applyNumberFormat="1" applyFill="1" applyBorder="1" applyAlignment="1" applyProtection="1"/>
    <xf numFmtId="2" fontId="7" fillId="11" borderId="6" xfId="8" applyNumberFormat="1" applyFill="1" applyBorder="1" applyAlignment="1" applyProtection="1"/>
    <xf numFmtId="168" fontId="7" fillId="11" borderId="0" xfId="8" applyNumberFormat="1" applyFill="1" applyBorder="1" applyAlignment="1" applyProtection="1"/>
    <xf numFmtId="0" fontId="7" fillId="11" borderId="7" xfId="8" applyFill="1" applyBorder="1" applyAlignment="1" applyProtection="1"/>
    <xf numFmtId="0" fontId="7" fillId="11" borderId="1" xfId="8" applyFill="1" applyBorder="1" applyAlignment="1" applyProtection="1"/>
    <xf numFmtId="0" fontId="7" fillId="11" borderId="8" xfId="8" applyFill="1" applyBorder="1" applyAlignment="1" applyProtection="1"/>
    <xf numFmtId="0" fontId="27" fillId="0" borderId="30" xfId="0" applyFont="1" applyBorder="1"/>
    <xf numFmtId="0" fontId="27" fillId="0" borderId="31" xfId="0" applyFont="1" applyBorder="1"/>
    <xf numFmtId="170" fontId="7" fillId="0" borderId="31" xfId="0" applyNumberFormat="1" applyFont="1" applyBorder="1" applyAlignment="1">
      <alignment horizontal="center"/>
    </xf>
    <xf numFmtId="169" fontId="7" fillId="0" borderId="60" xfId="8" applyNumberFormat="1" applyFill="1" applyBorder="1" applyAlignment="1" applyProtection="1">
      <alignment horizontal="center"/>
    </xf>
    <xf numFmtId="0" fontId="20" fillId="0" borderId="31" xfId="0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0" fillId="0" borderId="60" xfId="0" applyBorder="1"/>
    <xf numFmtId="0" fontId="0" fillId="0" borderId="37" xfId="0" applyBorder="1"/>
    <xf numFmtId="0" fontId="0" fillId="0" borderId="38" xfId="0" applyBorder="1"/>
    <xf numFmtId="0" fontId="0" fillId="0" borderId="63" xfId="0" applyBorder="1"/>
    <xf numFmtId="0" fontId="0" fillId="0" borderId="0" xfId="0" applyAlignment="1">
      <alignment horizontal="right"/>
    </xf>
    <xf numFmtId="0" fontId="11" fillId="0" borderId="18" xfId="0" applyFont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1" fontId="5" fillId="4" borderId="9" xfId="0" applyNumberFormat="1" applyFont="1" applyFill="1" applyBorder="1" applyAlignment="1">
      <alignment horizontal="center"/>
    </xf>
    <xf numFmtId="174" fontId="17" fillId="3" borderId="7" xfId="8" applyNumberFormat="1" applyFont="1" applyBorder="1" applyAlignment="1" applyProtection="1">
      <alignment horizontal="right"/>
    </xf>
    <xf numFmtId="0" fontId="7" fillId="10" borderId="24" xfId="8" applyFill="1" applyBorder="1" applyAlignment="1" applyProtection="1">
      <alignment horizontal="center"/>
    </xf>
    <xf numFmtId="0" fontId="7" fillId="10" borderId="18" xfId="8" applyFill="1" applyBorder="1" applyAlignment="1" applyProtection="1">
      <alignment horizontal="center"/>
    </xf>
    <xf numFmtId="0" fontId="7" fillId="10" borderId="25" xfId="8" applyFill="1" applyBorder="1" applyAlignment="1" applyProtection="1">
      <alignment horizontal="center"/>
    </xf>
    <xf numFmtId="0" fontId="19" fillId="7" borderId="46" xfId="12" applyBorder="1" applyAlignment="1" applyProtection="1">
      <alignment horizontal="center"/>
    </xf>
  </cellXfs>
  <cellStyles count="13">
    <cellStyle name="Comma" xfId="1" builtinId="3"/>
    <cellStyle name="Excel_BuiltIn_20% - Accent1" xfId="12" xr:uid="{00000000-0005-0000-0000-00000F000000}"/>
    <cellStyle name="Excel_BuiltIn_Accent6" xfId="10" xr:uid="{00000000-0005-0000-0000-00000D000000}"/>
    <cellStyle name="Excel_BuiltIn_Bad" xfId="11" xr:uid="{00000000-0005-0000-0000-00000E000000}"/>
    <cellStyle name="Excel_BuiltIn_Good" xfId="8" xr:uid="{00000000-0005-0000-0000-00000B000000}"/>
    <cellStyle name="Excel_BuiltIn_Neutral" xfId="9" xr:uid="{00000000-0005-0000-0000-00000C000000}"/>
    <cellStyle name="Normal" xfId="0" builtinId="0"/>
    <cellStyle name="Percent" xfId="2" builtinId="5"/>
    <cellStyle name="XLConnect.Boolean" xfId="3" xr:uid="{00000000-0005-0000-0000-000006000000}"/>
    <cellStyle name="XLConnect.DateTime" xfId="4" xr:uid="{00000000-0005-0000-0000-000007000000}"/>
    <cellStyle name="XLConnect.Header" xfId="5" xr:uid="{00000000-0005-0000-0000-000008000000}"/>
    <cellStyle name="XLConnect.Numeric" xfId="6" xr:uid="{00000000-0005-0000-0000-000009000000}"/>
    <cellStyle name="XLConnect.String" xfId="7" xr:uid="{00000000-0005-0000-0000-00000A000000}"/>
  </cellStyles>
  <dxfs count="4">
    <dxf>
      <font>
        <sz val="9"/>
        <color rgb="FF800080"/>
        <name val="Univers"/>
        <charset val="1"/>
      </font>
      <fill>
        <patternFill>
          <bgColor rgb="FFFF99CC"/>
        </patternFill>
      </fill>
    </dxf>
    <dxf>
      <font>
        <color rgb="FF008000"/>
      </font>
      <fill>
        <patternFill>
          <bgColor rgb="FFC6EFCF"/>
        </patternFill>
      </fill>
      <border>
        <left style="thin">
          <color auto="1"/>
        </left>
        <right style="thin">
          <color auto="1"/>
        </right>
        <vertical/>
        <horizontal/>
      </border>
    </dxf>
    <dxf>
      <border>
        <left/>
        <right/>
        <top/>
        <bottom/>
        <vertical/>
        <horizontal/>
      </border>
    </dxf>
    <dxf>
      <font>
        <sz val="9"/>
        <color rgb="FFFF6600"/>
        <name val="Univers"/>
        <charset val="1"/>
      </font>
    </dxf>
  </dxfs>
  <tableStyles count="0" defaultTableStyle="TableStyleMedium2" defaultPivotStyle="PivotStyleLight16"/>
  <colors>
    <mruColors>
      <color rgb="FFC6EFCF"/>
      <color rgb="FF008000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1045895544094"/>
          <c:y val="0.10381865494392672"/>
          <c:w val="0.76365445212370364"/>
          <c:h val="0.62401947951232117"/>
        </c:manualLayout>
      </c:layout>
      <c:scatterChart>
        <c:scatterStyle val="lineMarker"/>
        <c:varyColors val="0"/>
        <c:ser>
          <c:idx val="0"/>
          <c:order val="0"/>
          <c:tx>
            <c:strRef>
              <c:f>'Ratio Data'!$K$22:$L$22</c:f>
              <c:strCache>
                <c:ptCount val="1"/>
                <c:pt idx="0">
                  <c:v>5 ppm NO in N2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257337946052413"/>
                  <c:y val="-3.4837725789602335E-2"/>
                </c:manualLayout>
              </c:layout>
              <c:numFmt formatCode="#,##0.0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5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'Standards Data'!$D$2:$D$200</c:f>
              <c:numCache>
                <c:formatCode>General</c:formatCode>
                <c:ptCount val="199"/>
              </c:numCache>
            </c:numRef>
          </c:xVal>
          <c:yVal>
            <c:numRef>
              <c:f>'Standards Data'!$C$2:$C$200</c:f>
              <c:numCache>
                <c:formatCode>0.0000</c:formatCode>
                <c:ptCount val="1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E3-E84A-AC36-C30636B47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272831"/>
        <c:axId val="133272383"/>
      </c:scatterChart>
      <c:valAx>
        <c:axId val="133272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72383"/>
        <c:crosses val="autoZero"/>
        <c:crossBetween val="midCat"/>
      </c:valAx>
      <c:valAx>
        <c:axId val="13327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728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107950</xdr:colOff>
      <xdr:row>39</xdr:row>
      <xdr:rowOff>114300</xdr:rowOff>
    </xdr:from>
    <xdr:to>
      <xdr:col>17</xdr:col>
      <xdr:colOff>215900</xdr:colOff>
      <xdr:row>77</xdr:row>
      <xdr:rowOff>125743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319EE7-E58B-A43A-F23B-4FB733F440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W1412"/>
  <sheetViews>
    <sheetView tabSelected="1" zoomScaleNormal="100" workbookViewId="0">
      <selection activeCell="K21" sqref="K21:L21"/>
    </sheetView>
  </sheetViews>
  <sheetFormatPr baseColWidth="10" defaultColWidth="9.19921875" defaultRowHeight="12" x14ac:dyDescent="0.15"/>
  <cols>
    <col min="1" max="2" width="11.796875" style="3" customWidth="1"/>
    <col min="3" max="3" width="10.796875" style="4" customWidth="1"/>
    <col min="4" max="4" width="10.796875" style="3" customWidth="1"/>
    <col min="5" max="5" width="11" style="3" customWidth="1"/>
    <col min="6" max="7" width="9.19921875" style="3"/>
    <col min="8" max="8" width="12.19921875" style="5" customWidth="1"/>
    <col min="9" max="9" width="8.796875" style="6" customWidth="1"/>
    <col min="10" max="10" width="13.3984375" style="7" customWidth="1"/>
    <col min="11" max="11" width="11.796875" style="7" customWidth="1"/>
    <col min="12" max="12" width="10" style="7" customWidth="1"/>
    <col min="13" max="257" width="9.19921875" style="7"/>
  </cols>
  <sheetData>
    <row r="1" spans="1:257" x14ac:dyDescent="0.15">
      <c r="A1" s="8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10" t="s">
        <v>7</v>
      </c>
      <c r="I1" s="10" t="s">
        <v>8</v>
      </c>
      <c r="J1" s="11" t="s">
        <v>9</v>
      </c>
      <c r="K1" s="11"/>
      <c r="L1" s="11"/>
      <c r="M1" s="11"/>
      <c r="N1" s="11"/>
      <c r="O1" s="11"/>
      <c r="P1" s="11"/>
      <c r="Q1" s="11"/>
      <c r="R1" s="11"/>
      <c r="S1" s="12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  <c r="FB1" s="13"/>
      <c r="FC1" s="13"/>
      <c r="FD1" s="13"/>
      <c r="FE1" s="13"/>
      <c r="FF1" s="13"/>
      <c r="FG1" s="13"/>
      <c r="FH1" s="13"/>
      <c r="FI1" s="13"/>
      <c r="FJ1" s="13"/>
      <c r="FK1" s="13"/>
      <c r="FL1" s="13"/>
      <c r="FM1" s="13"/>
      <c r="FN1" s="13"/>
      <c r="FO1" s="13"/>
      <c r="FP1" s="13"/>
      <c r="FQ1" s="13"/>
      <c r="FR1" s="13"/>
      <c r="FS1" s="13"/>
      <c r="FT1" s="13"/>
      <c r="FU1" s="13"/>
      <c r="FV1" s="13"/>
      <c r="FW1" s="13"/>
      <c r="FX1" s="13"/>
      <c r="FY1" s="13"/>
      <c r="FZ1" s="13"/>
      <c r="GA1" s="13"/>
      <c r="GB1" s="13"/>
      <c r="GC1" s="13"/>
      <c r="GD1" s="13"/>
      <c r="GE1" s="13"/>
      <c r="GF1" s="13"/>
      <c r="GG1" s="13"/>
      <c r="GH1" s="13"/>
      <c r="GI1" s="13"/>
      <c r="GJ1" s="13"/>
      <c r="GK1" s="13"/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  <c r="IB1" s="13"/>
      <c r="IC1" s="13"/>
      <c r="ID1" s="13"/>
      <c r="IE1" s="13"/>
      <c r="IF1" s="13"/>
      <c r="IG1" s="13"/>
      <c r="IH1" s="13"/>
      <c r="II1" s="13"/>
      <c r="IJ1" s="13"/>
      <c r="IK1" s="13"/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</row>
    <row r="2" spans="1:257" ht="13" x14ac:dyDescent="0.15">
      <c r="A2" s="14"/>
      <c r="B2" s="14"/>
      <c r="C2" s="15"/>
      <c r="D2" s="14"/>
      <c r="E2" s="14"/>
      <c r="F2" s="14"/>
      <c r="G2" s="14"/>
      <c r="H2" s="16" t="str">
        <f>IF(ISBLANK(C2),"",C2*$L$13)</f>
        <v/>
      </c>
      <c r="I2" s="3" t="str">
        <f>IF(ISNUMBER(H2),IF(ABS(H2-$L$14)&gt;$M$16,"OUT",""),"")</f>
        <v/>
      </c>
      <c r="J2" s="7" t="s">
        <v>10</v>
      </c>
    </row>
    <row r="3" spans="1:257" ht="13" x14ac:dyDescent="0.15">
      <c r="A3" s="17"/>
      <c r="B3" s="17"/>
      <c r="C3" s="18"/>
      <c r="D3" s="17"/>
      <c r="E3" s="17"/>
      <c r="F3" s="17"/>
      <c r="G3" s="17"/>
      <c r="H3" s="16" t="str">
        <f t="shared" ref="H3:H65" si="0">IF(ISBLANK(C3),"",C3*$L$13)</f>
        <v/>
      </c>
      <c r="I3" s="3" t="str">
        <f t="shared" ref="I3:I65" si="1">IF(ISNUMBER(H3),IF(ABS(H3-$L$14)&gt;$M$16,"OUT",""),"")</f>
        <v/>
      </c>
      <c r="J3" s="7" t="s">
        <v>11</v>
      </c>
    </row>
    <row r="4" spans="1:257" ht="13" x14ac:dyDescent="0.15">
      <c r="A4" s="17"/>
      <c r="B4" s="17"/>
      <c r="C4" s="18"/>
      <c r="D4" s="17"/>
      <c r="E4" s="17"/>
      <c r="F4" s="17"/>
      <c r="G4" s="17"/>
      <c r="H4" s="16" t="str">
        <f t="shared" si="0"/>
        <v/>
      </c>
      <c r="I4" s="3" t="str">
        <f t="shared" si="1"/>
        <v/>
      </c>
      <c r="J4" s="7" t="s">
        <v>12</v>
      </c>
    </row>
    <row r="5" spans="1:257" ht="13" x14ac:dyDescent="0.15">
      <c r="A5" s="17"/>
      <c r="B5" s="17"/>
      <c r="C5" s="18"/>
      <c r="D5" s="17"/>
      <c r="E5" s="17"/>
      <c r="F5" s="17"/>
      <c r="G5" s="17"/>
      <c r="H5" s="16" t="str">
        <f t="shared" si="0"/>
        <v/>
      </c>
      <c r="I5" s="3" t="str">
        <f t="shared" si="1"/>
        <v/>
      </c>
      <c r="J5" s="7" t="s">
        <v>13</v>
      </c>
    </row>
    <row r="6" spans="1:257" ht="13" x14ac:dyDescent="0.15">
      <c r="A6" s="17"/>
      <c r="B6" s="17"/>
      <c r="C6" s="18"/>
      <c r="D6" s="17"/>
      <c r="E6" s="17"/>
      <c r="F6" s="17"/>
      <c r="G6" s="17"/>
      <c r="H6" s="16" t="str">
        <f t="shared" si="0"/>
        <v/>
      </c>
      <c r="I6" s="3" t="str">
        <f t="shared" si="1"/>
        <v/>
      </c>
      <c r="J6" s="7" t="s">
        <v>14</v>
      </c>
    </row>
    <row r="7" spans="1:257" ht="13" x14ac:dyDescent="0.15">
      <c r="A7" s="17"/>
      <c r="B7" s="17"/>
      <c r="C7" s="18"/>
      <c r="D7" s="17"/>
      <c r="E7" s="17"/>
      <c r="F7" s="17"/>
      <c r="G7" s="17"/>
      <c r="H7" s="16" t="str">
        <f t="shared" si="0"/>
        <v/>
      </c>
      <c r="I7" s="3" t="str">
        <f t="shared" si="1"/>
        <v/>
      </c>
      <c r="J7" s="7" t="s">
        <v>15</v>
      </c>
    </row>
    <row r="8" spans="1:257" ht="13" x14ac:dyDescent="0.15">
      <c r="A8" s="17"/>
      <c r="B8" s="17"/>
      <c r="C8" s="18"/>
      <c r="D8" s="17"/>
      <c r="E8" s="17"/>
      <c r="F8" s="17"/>
      <c r="G8" s="17"/>
      <c r="H8" s="16" t="str">
        <f t="shared" si="0"/>
        <v/>
      </c>
      <c r="I8" s="3" t="str">
        <f t="shared" si="1"/>
        <v/>
      </c>
      <c r="J8" s="7" t="s">
        <v>16</v>
      </c>
    </row>
    <row r="9" spans="1:257" ht="13" x14ac:dyDescent="0.15">
      <c r="A9" s="17"/>
      <c r="B9" s="17"/>
      <c r="C9" s="18"/>
      <c r="D9" s="17"/>
      <c r="E9" s="17"/>
      <c r="F9" s="17"/>
      <c r="G9" s="17"/>
      <c r="H9" s="16" t="str">
        <f t="shared" si="0"/>
        <v/>
      </c>
      <c r="I9" s="3" t="str">
        <f t="shared" si="1"/>
        <v/>
      </c>
    </row>
    <row r="10" spans="1:257" ht="13" x14ac:dyDescent="0.15">
      <c r="A10" s="17"/>
      <c r="B10" s="17"/>
      <c r="C10" s="18"/>
      <c r="D10" s="17"/>
      <c r="E10" s="17"/>
      <c r="F10" s="17"/>
      <c r="G10" s="17"/>
      <c r="H10" s="16" t="str">
        <f t="shared" si="0"/>
        <v/>
      </c>
      <c r="I10" s="3" t="str">
        <f t="shared" si="1"/>
        <v/>
      </c>
      <c r="J10" s="7" t="s">
        <v>17</v>
      </c>
    </row>
    <row r="11" spans="1:257" ht="13" x14ac:dyDescent="0.15">
      <c r="A11" s="17"/>
      <c r="B11" s="17"/>
      <c r="C11" s="18"/>
      <c r="D11" s="17"/>
      <c r="E11" s="17"/>
      <c r="F11" s="17"/>
      <c r="G11" s="17"/>
      <c r="H11" s="16" t="str">
        <f t="shared" si="0"/>
        <v/>
      </c>
      <c r="I11" s="3" t="str">
        <f t="shared" si="1"/>
        <v/>
      </c>
    </row>
    <row r="12" spans="1:257" ht="13" x14ac:dyDescent="0.15">
      <c r="A12" s="17"/>
      <c r="B12" s="17"/>
      <c r="C12" s="18"/>
      <c r="D12" s="17"/>
      <c r="E12" s="17"/>
      <c r="F12" s="17"/>
      <c r="G12" s="17"/>
      <c r="H12" s="16" t="str">
        <f t="shared" si="0"/>
        <v/>
      </c>
      <c r="I12" s="3" t="str">
        <f t="shared" si="1"/>
        <v/>
      </c>
      <c r="J12" s="465"/>
      <c r="K12" s="466"/>
      <c r="L12" s="466" t="s">
        <v>18</v>
      </c>
      <c r="M12" s="466" t="s">
        <v>19</v>
      </c>
      <c r="N12" s="467" t="s">
        <v>20</v>
      </c>
    </row>
    <row r="13" spans="1:257" ht="13" x14ac:dyDescent="0.15">
      <c r="A13" s="17"/>
      <c r="B13" s="17"/>
      <c r="C13" s="18"/>
      <c r="D13" s="17"/>
      <c r="E13" s="17"/>
      <c r="F13" s="17"/>
      <c r="G13" s="17"/>
      <c r="H13" s="16" t="str">
        <f t="shared" si="0"/>
        <v/>
      </c>
      <c r="I13" s="3" t="str">
        <f t="shared" si="1"/>
        <v/>
      </c>
      <c r="J13" s="468" t="s">
        <v>21</v>
      </c>
      <c r="K13" s="469"/>
      <c r="L13" s="470">
        <f>'Std Analysis'!L5</f>
        <v>0</v>
      </c>
      <c r="M13" s="469"/>
      <c r="N13" s="471"/>
    </row>
    <row r="14" spans="1:257" ht="13" x14ac:dyDescent="0.15">
      <c r="A14" s="17"/>
      <c r="B14" s="17"/>
      <c r="C14" s="18"/>
      <c r="D14" s="17"/>
      <c r="E14" s="17"/>
      <c r="F14" s="17"/>
      <c r="G14" s="17"/>
      <c r="H14" s="16" t="str">
        <f t="shared" si="0"/>
        <v/>
      </c>
      <c r="I14" s="3" t="str">
        <f t="shared" si="1"/>
        <v/>
      </c>
      <c r="J14" s="468" t="str">
        <f>IF('Certified Value'!C43&lt;&gt;0,'Certified Value'!B43,'Certified Value'!B42)</f>
        <v>KE Memo Value:</v>
      </c>
      <c r="K14" s="469"/>
      <c r="L14" s="470" t="e">
        <f>IF('Certified Value'!C43&lt;&gt;0,'Certified Value'!C43,'Certified Value'!C42)</f>
        <v>#NUM!</v>
      </c>
      <c r="M14" s="472" t="e">
        <f>L14-M16</f>
        <v>#NUM!</v>
      </c>
      <c r="N14" s="473" t="e">
        <f>L14+M16</f>
        <v>#NUM!</v>
      </c>
    </row>
    <row r="15" spans="1:257" ht="13" x14ac:dyDescent="0.15">
      <c r="A15" s="17"/>
      <c r="B15" s="17"/>
      <c r="C15" s="18"/>
      <c r="D15" s="17"/>
      <c r="E15" s="17"/>
      <c r="F15" s="17"/>
      <c r="G15" s="17"/>
      <c r="H15" s="16" t="str">
        <f t="shared" si="0"/>
        <v/>
      </c>
      <c r="I15" s="3" t="str">
        <f t="shared" si="1"/>
        <v/>
      </c>
      <c r="J15" s="468" t="s">
        <v>22</v>
      </c>
      <c r="K15" s="469"/>
      <c r="L15" s="470" t="e">
        <f>IF('Certified Value'!E43&lt;&gt;0,'Certified Value'!E43,'Certified Value'!E42)</f>
        <v>#NUM!</v>
      </c>
      <c r="M15" s="469"/>
      <c r="N15" s="471"/>
    </row>
    <row r="16" spans="1:257" ht="13" x14ac:dyDescent="0.15">
      <c r="A16" s="17"/>
      <c r="B16" s="17"/>
      <c r="C16" s="18"/>
      <c r="D16" s="17"/>
      <c r="E16" s="17"/>
      <c r="F16" s="17"/>
      <c r="G16" s="17"/>
      <c r="H16" s="16" t="str">
        <f t="shared" si="0"/>
        <v/>
      </c>
      <c r="I16" s="3" t="str">
        <f t="shared" si="1"/>
        <v/>
      </c>
      <c r="J16" s="468" t="s">
        <v>23</v>
      </c>
      <c r="K16" s="469"/>
      <c r="L16" s="474">
        <f>80%</f>
        <v>0.8</v>
      </c>
      <c r="M16" s="470" t="e">
        <f>L15*L16</f>
        <v>#NUM!</v>
      </c>
      <c r="N16" s="471"/>
    </row>
    <row r="17" spans="1:17" ht="13" x14ac:dyDescent="0.15">
      <c r="A17" s="17"/>
      <c r="B17" s="17"/>
      <c r="C17" s="18"/>
      <c r="D17" s="17"/>
      <c r="E17" s="17"/>
      <c r="F17" s="17"/>
      <c r="G17" s="17"/>
      <c r="H17" s="16" t="str">
        <f t="shared" si="0"/>
        <v/>
      </c>
      <c r="I17" s="3" t="str">
        <f t="shared" si="1"/>
        <v/>
      </c>
      <c r="J17" s="475" t="s">
        <v>24</v>
      </c>
      <c r="K17" s="476"/>
      <c r="L17" s="476">
        <f>COUNT(C2:C912)</f>
        <v>0</v>
      </c>
      <c r="M17" s="476"/>
      <c r="N17" s="477"/>
    </row>
    <row r="18" spans="1:17" ht="13" x14ac:dyDescent="0.15">
      <c r="A18" s="17"/>
      <c r="B18" s="17"/>
      <c r="C18" s="18"/>
      <c r="D18" s="17"/>
      <c r="E18" s="17"/>
      <c r="F18" s="17"/>
      <c r="G18" s="17"/>
      <c r="H18" s="16" t="str">
        <f t="shared" si="0"/>
        <v/>
      </c>
      <c r="I18" s="3" t="str">
        <f t="shared" si="1"/>
        <v/>
      </c>
      <c r="J18"/>
      <c r="K18"/>
      <c r="M18"/>
      <c r="N18"/>
    </row>
    <row r="19" spans="1:17" ht="13" x14ac:dyDescent="0.15">
      <c r="A19" s="17"/>
      <c r="B19" s="17"/>
      <c r="C19" s="18"/>
      <c r="D19" s="17"/>
      <c r="E19" s="17"/>
      <c r="F19" s="17"/>
      <c r="G19" s="17"/>
      <c r="H19" s="16" t="str">
        <f t="shared" si="0"/>
        <v/>
      </c>
      <c r="I19" s="3" t="str">
        <f t="shared" si="1"/>
        <v/>
      </c>
      <c r="J19" s="13"/>
      <c r="K19" s="6"/>
      <c r="L19" s="6"/>
      <c r="M19" s="6"/>
    </row>
    <row r="20" spans="1:17" ht="13" x14ac:dyDescent="0.15">
      <c r="A20" s="17"/>
      <c r="B20" s="17"/>
      <c r="C20" s="18"/>
      <c r="D20" s="17"/>
      <c r="E20" s="17"/>
      <c r="F20" s="17"/>
      <c r="G20" s="17"/>
      <c r="H20" s="16" t="str">
        <f t="shared" si="0"/>
        <v/>
      </c>
      <c r="I20" s="3" t="str">
        <f t="shared" si="1"/>
        <v/>
      </c>
      <c r="K20" s="23" t="s">
        <v>25</v>
      </c>
      <c r="L20" s="6"/>
      <c r="M20" s="6"/>
    </row>
    <row r="21" spans="1:17" ht="13" x14ac:dyDescent="0.15">
      <c r="A21" s="17"/>
      <c r="B21" s="17"/>
      <c r="C21" s="18"/>
      <c r="D21" s="17"/>
      <c r="E21" s="17"/>
      <c r="F21" s="17"/>
      <c r="G21" s="17"/>
      <c r="H21" s="16" t="str">
        <f t="shared" si="0"/>
        <v/>
      </c>
      <c r="I21" s="3" t="str">
        <f t="shared" si="1"/>
        <v/>
      </c>
      <c r="J21" s="24" t="s">
        <v>26</v>
      </c>
      <c r="K21" s="492" t="s">
        <v>27</v>
      </c>
      <c r="L21" s="492"/>
      <c r="M21" s="6"/>
      <c r="Q21" s="7" t="s">
        <v>28</v>
      </c>
    </row>
    <row r="22" spans="1:17" ht="13" x14ac:dyDescent="0.15">
      <c r="A22" s="17"/>
      <c r="B22" s="17"/>
      <c r="C22" s="18"/>
      <c r="D22" s="17"/>
      <c r="E22" s="17"/>
      <c r="F22" s="17"/>
      <c r="G22" s="17"/>
      <c r="H22" s="16" t="str">
        <f t="shared" si="0"/>
        <v/>
      </c>
      <c r="I22" s="3" t="str">
        <f t="shared" si="1"/>
        <v/>
      </c>
      <c r="J22" s="25" t="s">
        <v>29</v>
      </c>
      <c r="K22" s="492" t="s">
        <v>30</v>
      </c>
      <c r="L22" s="492"/>
      <c r="Q22" s="7" t="s">
        <v>31</v>
      </c>
    </row>
    <row r="23" spans="1:17" ht="13" x14ac:dyDescent="0.15">
      <c r="A23" s="17"/>
      <c r="B23" s="17"/>
      <c r="C23" s="18"/>
      <c r="D23" s="17"/>
      <c r="E23" s="17"/>
      <c r="F23" s="17"/>
      <c r="G23" s="17"/>
      <c r="H23" s="16" t="str">
        <f t="shared" si="0"/>
        <v/>
      </c>
      <c r="I23" s="3" t="str">
        <f t="shared" si="1"/>
        <v/>
      </c>
      <c r="J23" s="26" t="s">
        <v>32</v>
      </c>
      <c r="K23" s="493" t="s">
        <v>33</v>
      </c>
      <c r="L23" s="493"/>
      <c r="M23" s="27"/>
    </row>
    <row r="24" spans="1:17" ht="13" x14ac:dyDescent="0.15">
      <c r="A24" s="17"/>
      <c r="B24" s="17"/>
      <c r="C24" s="18"/>
      <c r="D24" s="17"/>
      <c r="E24" s="17"/>
      <c r="F24" s="17"/>
      <c r="G24" s="17"/>
      <c r="H24" s="16" t="str">
        <f t="shared" si="0"/>
        <v/>
      </c>
      <c r="I24" s="3" t="str">
        <f t="shared" si="1"/>
        <v/>
      </c>
      <c r="J24" s="6"/>
      <c r="K24" s="28"/>
      <c r="L24" s="29"/>
      <c r="M24" s="27"/>
    </row>
    <row r="25" spans="1:17" ht="13" x14ac:dyDescent="0.15">
      <c r="A25" s="17"/>
      <c r="B25" s="17"/>
      <c r="C25" s="18"/>
      <c r="D25" s="17"/>
      <c r="E25" s="17"/>
      <c r="F25" s="17"/>
      <c r="G25" s="17"/>
      <c r="H25" s="16" t="str">
        <f t="shared" si="0"/>
        <v/>
      </c>
      <c r="I25" s="3" t="str">
        <f t="shared" si="1"/>
        <v/>
      </c>
      <c r="J25" s="30" t="s">
        <v>34</v>
      </c>
      <c r="K25" s="31">
        <v>1</v>
      </c>
      <c r="L25" s="29"/>
      <c r="M25" s="27"/>
    </row>
    <row r="26" spans="1:17" ht="13" x14ac:dyDescent="0.15">
      <c r="A26" s="17"/>
      <c r="B26" s="17"/>
      <c r="C26" s="18"/>
      <c r="D26" s="17"/>
      <c r="E26" s="17"/>
      <c r="F26" s="17"/>
      <c r="G26" s="17"/>
      <c r="H26" s="16" t="str">
        <f t="shared" si="0"/>
        <v/>
      </c>
      <c r="I26" s="3" t="str">
        <f t="shared" si="1"/>
        <v/>
      </c>
      <c r="J26" s="30" t="s">
        <v>35</v>
      </c>
      <c r="K26" s="32">
        <v>5000</v>
      </c>
    </row>
    <row r="27" spans="1:17" ht="13" x14ac:dyDescent="0.15">
      <c r="A27" s="17"/>
      <c r="B27" s="17"/>
      <c r="C27" s="18"/>
      <c r="D27" s="17"/>
      <c r="E27" s="17"/>
      <c r="F27" s="17"/>
      <c r="G27" s="17"/>
      <c r="H27" s="16" t="str">
        <f t="shared" si="0"/>
        <v/>
      </c>
      <c r="I27" s="3" t="str">
        <f t="shared" si="1"/>
        <v/>
      </c>
      <c r="J27" s="33" t="s">
        <v>36</v>
      </c>
      <c r="K27" s="34">
        <v>4</v>
      </c>
    </row>
    <row r="28" spans="1:17" ht="13" x14ac:dyDescent="0.15">
      <c r="A28" s="17"/>
      <c r="B28" s="17"/>
      <c r="C28" s="18"/>
      <c r="D28" s="17"/>
      <c r="E28" s="17"/>
      <c r="F28" s="17"/>
      <c r="G28" s="17"/>
      <c r="H28" s="16" t="str">
        <f t="shared" si="0"/>
        <v/>
      </c>
      <c r="I28" s="3" t="str">
        <f t="shared" si="1"/>
        <v/>
      </c>
    </row>
    <row r="29" spans="1:17" ht="13" x14ac:dyDescent="0.15">
      <c r="A29" s="17"/>
      <c r="B29" s="17"/>
      <c r="C29" s="18"/>
      <c r="D29" s="17"/>
      <c r="E29" s="17"/>
      <c r="F29" s="17"/>
      <c r="G29" s="17"/>
      <c r="H29" s="16" t="str">
        <f t="shared" si="0"/>
        <v/>
      </c>
      <c r="I29" s="3" t="str">
        <f t="shared" si="1"/>
        <v/>
      </c>
    </row>
    <row r="30" spans="1:17" ht="13" x14ac:dyDescent="0.15">
      <c r="A30" s="17"/>
      <c r="B30" s="17"/>
      <c r="C30" s="18"/>
      <c r="D30" s="17"/>
      <c r="E30" s="17"/>
      <c r="F30" s="17"/>
      <c r="G30" s="17"/>
      <c r="H30" s="16" t="str">
        <f t="shared" si="0"/>
        <v/>
      </c>
      <c r="I30" s="3" t="str">
        <f t="shared" si="1"/>
        <v/>
      </c>
      <c r="J30" s="35" t="s">
        <v>37</v>
      </c>
      <c r="K30" s="36"/>
      <c r="L30" s="36"/>
      <c r="M30" s="36"/>
      <c r="N30" s="36"/>
      <c r="O30" s="37"/>
    </row>
    <row r="31" spans="1:17" ht="13" x14ac:dyDescent="0.15">
      <c r="A31" s="17"/>
      <c r="B31" s="17"/>
      <c r="C31" s="18"/>
      <c r="D31" s="17"/>
      <c r="E31" s="17"/>
      <c r="F31" s="17"/>
      <c r="G31" s="17"/>
      <c r="H31" s="16" t="str">
        <f t="shared" si="0"/>
        <v/>
      </c>
      <c r="I31" s="3" t="str">
        <f t="shared" si="1"/>
        <v/>
      </c>
      <c r="J31" s="38" t="s">
        <v>38</v>
      </c>
      <c r="K31" s="39"/>
      <c r="L31" s="39"/>
      <c r="M31" s="39"/>
      <c r="N31" s="40"/>
      <c r="O31" s="41"/>
    </row>
    <row r="32" spans="1:17" ht="13" x14ac:dyDescent="0.15">
      <c r="A32" s="17"/>
      <c r="B32" s="17"/>
      <c r="C32" s="18"/>
      <c r="D32" s="17"/>
      <c r="E32" s="17"/>
      <c r="F32" s="17"/>
      <c r="G32" s="17"/>
      <c r="H32" s="16" t="str">
        <f t="shared" si="0"/>
        <v/>
      </c>
      <c r="I32" s="3" t="str">
        <f t="shared" si="1"/>
        <v/>
      </c>
      <c r="J32" s="42"/>
      <c r="K32" s="43"/>
      <c r="L32" s="43"/>
      <c r="M32" s="39"/>
      <c r="N32" s="40"/>
      <c r="O32" s="41"/>
    </row>
    <row r="33" spans="1:16" ht="13" x14ac:dyDescent="0.15">
      <c r="A33" s="17"/>
      <c r="B33" s="17"/>
      <c r="C33" s="18"/>
      <c r="D33" s="17"/>
      <c r="E33" s="17"/>
      <c r="F33" s="17"/>
      <c r="G33" s="17"/>
      <c r="H33" s="16" t="str">
        <f t="shared" si="0"/>
        <v/>
      </c>
      <c r="I33" s="3" t="str">
        <f t="shared" si="1"/>
        <v/>
      </c>
      <c r="J33" s="44" t="s">
        <v>39</v>
      </c>
      <c r="K33" s="45" t="s">
        <v>40</v>
      </c>
      <c r="L33" s="46"/>
      <c r="M33" s="47"/>
      <c r="N33" s="40"/>
      <c r="O33" s="41"/>
    </row>
    <row r="34" spans="1:16" ht="13" x14ac:dyDescent="0.15">
      <c r="A34" s="17"/>
      <c r="B34" s="17"/>
      <c r="C34" s="18"/>
      <c r="D34" s="17"/>
      <c r="E34" s="17"/>
      <c r="F34" s="17"/>
      <c r="G34" s="17"/>
      <c r="H34" s="16" t="str">
        <f t="shared" si="0"/>
        <v/>
      </c>
      <c r="I34" s="3" t="str">
        <f t="shared" si="1"/>
        <v/>
      </c>
      <c r="J34" s="48" t="s">
        <v>41</v>
      </c>
      <c r="K34" s="49" t="s">
        <v>42</v>
      </c>
      <c r="L34" s="50"/>
      <c r="M34" s="51"/>
      <c r="N34" s="52"/>
      <c r="O34" s="53"/>
    </row>
    <row r="35" spans="1:16" ht="13" x14ac:dyDescent="0.15">
      <c r="A35" s="17"/>
      <c r="B35" s="17"/>
      <c r="C35" s="18"/>
      <c r="D35" s="17"/>
      <c r="E35" s="17"/>
      <c r="F35" s="17"/>
      <c r="G35" s="17"/>
      <c r="H35" s="16" t="str">
        <f t="shared" si="0"/>
        <v/>
      </c>
      <c r="I35" s="3" t="str">
        <f t="shared" si="1"/>
        <v/>
      </c>
    </row>
    <row r="36" spans="1:16" ht="13" x14ac:dyDescent="0.15">
      <c r="A36" s="17"/>
      <c r="B36" s="17"/>
      <c r="C36" s="18"/>
      <c r="D36" s="17"/>
      <c r="E36" s="17"/>
      <c r="F36" s="17"/>
      <c r="G36" s="17"/>
      <c r="H36" s="16" t="str">
        <f t="shared" si="0"/>
        <v/>
      </c>
      <c r="I36" s="3" t="str">
        <f t="shared" si="1"/>
        <v/>
      </c>
      <c r="J36" s="17"/>
      <c r="K36" s="17"/>
      <c r="L36" s="18"/>
      <c r="M36" s="17"/>
      <c r="N36" s="17"/>
      <c r="O36" s="17"/>
      <c r="P36" s="17"/>
    </row>
    <row r="37" spans="1:16" ht="13" x14ac:dyDescent="0.15">
      <c r="A37" s="17"/>
      <c r="B37" s="17"/>
      <c r="C37" s="18"/>
      <c r="D37" s="17"/>
      <c r="E37" s="17"/>
      <c r="F37" s="17"/>
      <c r="G37" s="17"/>
      <c r="H37" s="16" t="str">
        <f t="shared" si="0"/>
        <v/>
      </c>
      <c r="I37" s="3" t="str">
        <f t="shared" si="1"/>
        <v/>
      </c>
      <c r="J37" s="17"/>
      <c r="K37" s="17"/>
      <c r="L37" s="18"/>
      <c r="M37" s="17"/>
      <c r="N37" s="17"/>
      <c r="O37" s="17"/>
      <c r="P37" s="17"/>
    </row>
    <row r="38" spans="1:16" ht="13" x14ac:dyDescent="0.15">
      <c r="A38" s="17"/>
      <c r="B38" s="17"/>
      <c r="C38" s="18"/>
      <c r="D38" s="17"/>
      <c r="E38" s="17"/>
      <c r="F38" s="17"/>
      <c r="G38" s="17"/>
      <c r="H38" s="16" t="str">
        <f t="shared" si="0"/>
        <v/>
      </c>
      <c r="I38" s="3" t="str">
        <f t="shared" si="1"/>
        <v/>
      </c>
      <c r="J38" s="17"/>
      <c r="K38" s="17"/>
      <c r="L38" s="18"/>
      <c r="M38" s="17"/>
      <c r="N38" s="17"/>
      <c r="O38" s="17"/>
      <c r="P38" s="17"/>
    </row>
    <row r="39" spans="1:16" ht="13" x14ac:dyDescent="0.15">
      <c r="A39" s="17"/>
      <c r="B39" s="17"/>
      <c r="C39" s="18"/>
      <c r="D39" s="17"/>
      <c r="E39" s="17"/>
      <c r="F39" s="17"/>
      <c r="G39" s="17"/>
      <c r="H39" s="16" t="str">
        <f t="shared" si="0"/>
        <v/>
      </c>
      <c r="I39" s="3" t="str">
        <f t="shared" si="1"/>
        <v/>
      </c>
      <c r="J39" s="17"/>
      <c r="K39" s="17"/>
      <c r="L39" s="18"/>
      <c r="M39" s="17"/>
      <c r="N39" s="17"/>
      <c r="O39" s="17"/>
      <c r="P39" s="17"/>
    </row>
    <row r="40" spans="1:16" ht="13" x14ac:dyDescent="0.15">
      <c r="A40" s="17"/>
      <c r="B40" s="17"/>
      <c r="C40" s="18"/>
      <c r="D40" s="17"/>
      <c r="E40" s="17"/>
      <c r="F40" s="17"/>
      <c r="G40" s="17"/>
      <c r="H40" s="16" t="str">
        <f t="shared" si="0"/>
        <v/>
      </c>
      <c r="I40" s="3" t="str">
        <f t="shared" si="1"/>
        <v/>
      </c>
      <c r="J40" s="17"/>
      <c r="K40" s="17"/>
      <c r="L40" s="18"/>
      <c r="M40" s="17"/>
      <c r="N40" s="17"/>
      <c r="O40" s="17"/>
      <c r="P40" s="17"/>
    </row>
    <row r="41" spans="1:16" ht="13" x14ac:dyDescent="0.15">
      <c r="A41" s="17"/>
      <c r="B41" s="17"/>
      <c r="C41" s="18"/>
      <c r="D41" s="17"/>
      <c r="E41" s="17"/>
      <c r="F41" s="17"/>
      <c r="G41" s="17"/>
      <c r="H41" s="16" t="str">
        <f t="shared" si="0"/>
        <v/>
      </c>
      <c r="I41" s="3" t="str">
        <f t="shared" si="1"/>
        <v/>
      </c>
      <c r="J41" s="17"/>
      <c r="K41" s="17"/>
      <c r="L41" s="18"/>
      <c r="M41" s="17"/>
      <c r="N41" s="17"/>
      <c r="O41" s="17"/>
      <c r="P41" s="17"/>
    </row>
    <row r="42" spans="1:16" ht="13" x14ac:dyDescent="0.15">
      <c r="A42" s="17"/>
      <c r="B42" s="17"/>
      <c r="C42" s="18"/>
      <c r="D42" s="17"/>
      <c r="E42" s="17"/>
      <c r="F42" s="17"/>
      <c r="G42" s="17"/>
      <c r="H42" s="16" t="str">
        <f t="shared" si="0"/>
        <v/>
      </c>
      <c r="I42" s="3" t="str">
        <f t="shared" si="1"/>
        <v/>
      </c>
      <c r="J42" s="17"/>
      <c r="K42" s="17"/>
      <c r="L42" s="18"/>
      <c r="M42" s="17"/>
      <c r="N42" s="17"/>
      <c r="O42" s="17"/>
      <c r="P42" s="17"/>
    </row>
    <row r="43" spans="1:16" ht="13" x14ac:dyDescent="0.15">
      <c r="A43" s="17"/>
      <c r="B43" s="17"/>
      <c r="C43" s="18"/>
      <c r="D43" s="17"/>
      <c r="E43" s="17"/>
      <c r="F43" s="17"/>
      <c r="G43" s="17"/>
      <c r="H43" s="16" t="str">
        <f t="shared" si="0"/>
        <v/>
      </c>
      <c r="I43" s="3" t="str">
        <f t="shared" si="1"/>
        <v/>
      </c>
      <c r="J43" s="17"/>
      <c r="K43" s="17"/>
      <c r="L43" s="18"/>
      <c r="M43" s="17"/>
      <c r="N43" s="17"/>
      <c r="O43" s="17"/>
      <c r="P43" s="17"/>
    </row>
    <row r="44" spans="1:16" ht="13" x14ac:dyDescent="0.15">
      <c r="A44" s="17"/>
      <c r="B44" s="17"/>
      <c r="C44" s="18"/>
      <c r="D44" s="17"/>
      <c r="E44" s="17"/>
      <c r="F44" s="17"/>
      <c r="G44" s="17"/>
      <c r="H44" s="16" t="str">
        <f t="shared" si="0"/>
        <v/>
      </c>
      <c r="I44" s="3" t="str">
        <f t="shared" si="1"/>
        <v/>
      </c>
    </row>
    <row r="45" spans="1:16" ht="13" x14ac:dyDescent="0.15">
      <c r="A45" s="17"/>
      <c r="B45" s="17"/>
      <c r="C45" s="18"/>
      <c r="D45" s="17"/>
      <c r="E45" s="17"/>
      <c r="F45" s="17"/>
      <c r="G45" s="17"/>
      <c r="H45" s="16" t="str">
        <f t="shared" si="0"/>
        <v/>
      </c>
      <c r="I45" s="3" t="str">
        <f t="shared" si="1"/>
        <v/>
      </c>
      <c r="J45" s="54"/>
      <c r="K45" s="28"/>
      <c r="L45" s="28"/>
      <c r="M45" s="6"/>
    </row>
    <row r="46" spans="1:16" ht="13" x14ac:dyDescent="0.15">
      <c r="A46" s="17"/>
      <c r="B46" s="17"/>
      <c r="C46" s="18"/>
      <c r="D46" s="17"/>
      <c r="E46" s="17"/>
      <c r="F46" s="17"/>
      <c r="G46" s="17"/>
      <c r="H46" s="16" t="str">
        <f t="shared" si="0"/>
        <v/>
      </c>
      <c r="I46" s="3" t="str">
        <f t="shared" si="1"/>
        <v/>
      </c>
      <c r="J46" s="17"/>
      <c r="K46" s="17"/>
      <c r="L46" s="64"/>
      <c r="M46" s="17"/>
      <c r="N46" s="17"/>
      <c r="O46" s="17"/>
      <c r="P46" s="17"/>
    </row>
    <row r="47" spans="1:16" ht="13" x14ac:dyDescent="0.15">
      <c r="A47" s="17"/>
      <c r="B47" s="17"/>
      <c r="C47" s="18"/>
      <c r="D47" s="17"/>
      <c r="E47" s="17"/>
      <c r="F47" s="17"/>
      <c r="G47" s="17"/>
      <c r="H47" s="16" t="str">
        <f t="shared" si="0"/>
        <v/>
      </c>
      <c r="I47" s="3" t="str">
        <f t="shared" si="1"/>
        <v/>
      </c>
      <c r="J47" s="17"/>
      <c r="K47" s="17"/>
      <c r="L47" s="64"/>
      <c r="M47" s="17"/>
      <c r="N47" s="17"/>
      <c r="O47" s="17"/>
      <c r="P47" s="17"/>
    </row>
    <row r="48" spans="1:16" ht="13" x14ac:dyDescent="0.15">
      <c r="A48" s="17"/>
      <c r="B48" s="17"/>
      <c r="C48" s="18"/>
      <c r="D48" s="17"/>
      <c r="E48" s="17"/>
      <c r="F48" s="17"/>
      <c r="G48" s="17"/>
      <c r="H48" s="16" t="str">
        <f t="shared" si="0"/>
        <v/>
      </c>
      <c r="I48" s="3" t="str">
        <f t="shared" si="1"/>
        <v/>
      </c>
      <c r="J48" s="17"/>
      <c r="K48" s="17"/>
      <c r="L48" s="64"/>
      <c r="M48" s="17"/>
      <c r="N48" s="17"/>
      <c r="O48" s="17"/>
      <c r="P48" s="17"/>
    </row>
    <row r="49" spans="1:16" ht="13" x14ac:dyDescent="0.15">
      <c r="A49" s="17"/>
      <c r="B49" s="17"/>
      <c r="C49" s="18"/>
      <c r="D49" s="17"/>
      <c r="E49" s="17"/>
      <c r="F49" s="17"/>
      <c r="G49" s="17"/>
      <c r="H49" s="16" t="str">
        <f t="shared" si="0"/>
        <v/>
      </c>
      <c r="I49" s="3" t="str">
        <f t="shared" si="1"/>
        <v/>
      </c>
      <c r="J49" s="17"/>
      <c r="K49" s="17"/>
      <c r="L49" s="64"/>
      <c r="M49" s="17"/>
      <c r="N49" s="17"/>
      <c r="O49" s="17"/>
      <c r="P49" s="17"/>
    </row>
    <row r="50" spans="1:16" ht="13" x14ac:dyDescent="0.15">
      <c r="A50" s="17"/>
      <c r="B50" s="17"/>
      <c r="C50" s="18"/>
      <c r="D50" s="17"/>
      <c r="E50" s="17"/>
      <c r="F50" s="17"/>
      <c r="G50" s="17"/>
      <c r="H50" s="16" t="str">
        <f t="shared" si="0"/>
        <v/>
      </c>
      <c r="I50" s="3" t="str">
        <f t="shared" si="1"/>
        <v/>
      </c>
    </row>
    <row r="51" spans="1:16" ht="13" x14ac:dyDescent="0.15">
      <c r="A51" s="17"/>
      <c r="B51" s="17"/>
      <c r="C51" s="18"/>
      <c r="D51" s="17"/>
      <c r="E51" s="17"/>
      <c r="F51" s="17"/>
      <c r="G51" s="17"/>
      <c r="H51" s="16" t="str">
        <f t="shared" si="0"/>
        <v/>
      </c>
      <c r="I51" s="3" t="str">
        <f t="shared" si="1"/>
        <v/>
      </c>
    </row>
    <row r="52" spans="1:16" ht="13" x14ac:dyDescent="0.15">
      <c r="A52" s="17"/>
      <c r="B52" s="17"/>
      <c r="C52" s="18"/>
      <c r="D52" s="17"/>
      <c r="E52" s="17"/>
      <c r="F52" s="17"/>
      <c r="G52" s="17"/>
      <c r="H52" s="16" t="str">
        <f t="shared" si="0"/>
        <v/>
      </c>
      <c r="I52" s="3" t="str">
        <f t="shared" si="1"/>
        <v/>
      </c>
      <c r="J52" s="54"/>
      <c r="K52" s="28"/>
      <c r="L52" s="28"/>
      <c r="M52" s="6"/>
    </row>
    <row r="53" spans="1:16" ht="13" x14ac:dyDescent="0.15">
      <c r="A53" s="17"/>
      <c r="B53" s="17"/>
      <c r="C53" s="18"/>
      <c r="D53" s="17"/>
      <c r="E53" s="17"/>
      <c r="F53" s="17"/>
      <c r="G53" s="17"/>
      <c r="H53" s="16" t="str">
        <f t="shared" si="0"/>
        <v/>
      </c>
      <c r="I53" s="3" t="str">
        <f t="shared" si="1"/>
        <v/>
      </c>
    </row>
    <row r="54" spans="1:16" ht="13" x14ac:dyDescent="0.15">
      <c r="A54" s="17"/>
      <c r="B54" s="17"/>
      <c r="C54" s="18"/>
      <c r="D54" s="17"/>
      <c r="E54" s="17"/>
      <c r="F54" s="17"/>
      <c r="G54" s="17"/>
      <c r="H54" s="16" t="str">
        <f t="shared" si="0"/>
        <v/>
      </c>
      <c r="I54" s="3" t="str">
        <f t="shared" si="1"/>
        <v/>
      </c>
    </row>
    <row r="55" spans="1:16" ht="13" x14ac:dyDescent="0.15">
      <c r="A55" s="17"/>
      <c r="B55" s="17"/>
      <c r="C55" s="18"/>
      <c r="D55" s="17"/>
      <c r="E55" s="17"/>
      <c r="F55" s="17"/>
      <c r="G55" s="17"/>
      <c r="H55" s="16" t="str">
        <f t="shared" si="0"/>
        <v/>
      </c>
      <c r="I55" s="3" t="str">
        <f t="shared" si="1"/>
        <v/>
      </c>
    </row>
    <row r="56" spans="1:16" ht="13" x14ac:dyDescent="0.15">
      <c r="A56" s="17"/>
      <c r="B56" s="17"/>
      <c r="C56" s="18"/>
      <c r="D56" s="17"/>
      <c r="E56" s="17"/>
      <c r="F56" s="17"/>
      <c r="G56" s="17"/>
      <c r="H56" s="16" t="str">
        <f t="shared" si="0"/>
        <v/>
      </c>
      <c r="I56" s="3" t="str">
        <f t="shared" si="1"/>
        <v/>
      </c>
    </row>
    <row r="57" spans="1:16" ht="13" x14ac:dyDescent="0.15">
      <c r="A57" s="17"/>
      <c r="B57" s="17"/>
      <c r="C57" s="18"/>
      <c r="D57" s="17"/>
      <c r="E57" s="17"/>
      <c r="F57" s="17"/>
      <c r="G57" s="17"/>
      <c r="H57" s="16" t="str">
        <f t="shared" si="0"/>
        <v/>
      </c>
      <c r="I57" s="3" t="str">
        <f t="shared" si="1"/>
        <v/>
      </c>
    </row>
    <row r="58" spans="1:16" ht="13" x14ac:dyDescent="0.15">
      <c r="A58" s="17"/>
      <c r="B58" s="17"/>
      <c r="C58" s="18"/>
      <c r="D58" s="17"/>
      <c r="E58" s="17"/>
      <c r="F58" s="17"/>
      <c r="G58" s="17"/>
      <c r="H58" s="16" t="str">
        <f t="shared" si="0"/>
        <v/>
      </c>
      <c r="I58" s="3" t="str">
        <f t="shared" si="1"/>
        <v/>
      </c>
    </row>
    <row r="59" spans="1:16" ht="13" x14ac:dyDescent="0.15">
      <c r="A59" s="17"/>
      <c r="B59" s="17"/>
      <c r="C59" s="18"/>
      <c r="D59" s="17"/>
      <c r="E59" s="17"/>
      <c r="F59" s="17"/>
      <c r="G59" s="17"/>
      <c r="H59" s="16" t="str">
        <f t="shared" si="0"/>
        <v/>
      </c>
      <c r="I59" s="3" t="str">
        <f t="shared" si="1"/>
        <v/>
      </c>
    </row>
    <row r="60" spans="1:16" ht="13" x14ac:dyDescent="0.15">
      <c r="A60" s="17"/>
      <c r="B60" s="17"/>
      <c r="C60" s="18"/>
      <c r="D60" s="17"/>
      <c r="E60" s="17"/>
      <c r="F60" s="17"/>
      <c r="G60" s="17"/>
      <c r="H60" s="16" t="str">
        <f t="shared" si="0"/>
        <v/>
      </c>
      <c r="I60" s="3" t="str">
        <f t="shared" si="1"/>
        <v/>
      </c>
    </row>
    <row r="61" spans="1:16" ht="13" x14ac:dyDescent="0.15">
      <c r="A61" s="17"/>
      <c r="B61" s="17"/>
      <c r="C61" s="18"/>
      <c r="D61" s="17"/>
      <c r="E61" s="17"/>
      <c r="F61" s="17"/>
      <c r="G61" s="17"/>
      <c r="H61" s="16" t="str">
        <f t="shared" si="0"/>
        <v/>
      </c>
      <c r="I61" s="3" t="str">
        <f t="shared" si="1"/>
        <v/>
      </c>
    </row>
    <row r="62" spans="1:16" ht="13" x14ac:dyDescent="0.15">
      <c r="A62" s="17"/>
      <c r="B62" s="17"/>
      <c r="C62" s="18"/>
      <c r="D62" s="17"/>
      <c r="E62" s="17"/>
      <c r="F62" s="17"/>
      <c r="G62" s="17"/>
      <c r="H62" s="16" t="str">
        <f t="shared" si="0"/>
        <v/>
      </c>
      <c r="I62" s="3" t="str">
        <f t="shared" si="1"/>
        <v/>
      </c>
    </row>
    <row r="63" spans="1:16" ht="13" x14ac:dyDescent="0.15">
      <c r="A63" s="17"/>
      <c r="B63" s="17"/>
      <c r="C63" s="18"/>
      <c r="D63" s="17"/>
      <c r="E63" s="17"/>
      <c r="F63" s="17"/>
      <c r="G63" s="17"/>
      <c r="H63" s="16" t="str">
        <f t="shared" si="0"/>
        <v/>
      </c>
      <c r="I63" s="3" t="str">
        <f t="shared" si="1"/>
        <v/>
      </c>
    </row>
    <row r="64" spans="1:16" ht="13" x14ac:dyDescent="0.15">
      <c r="A64" s="17"/>
      <c r="B64" s="17"/>
      <c r="C64" s="18"/>
      <c r="D64" s="17"/>
      <c r="E64" s="17"/>
      <c r="F64" s="17"/>
      <c r="G64" s="17"/>
      <c r="H64" s="16" t="str">
        <f t="shared" si="0"/>
        <v/>
      </c>
      <c r="I64" s="3" t="str">
        <f t="shared" si="1"/>
        <v/>
      </c>
    </row>
    <row r="65" spans="1:9" ht="13" x14ac:dyDescent="0.15">
      <c r="A65" s="17"/>
      <c r="B65" s="17"/>
      <c r="C65" s="18"/>
      <c r="D65" s="17"/>
      <c r="E65" s="17"/>
      <c r="F65" s="17"/>
      <c r="G65" s="17"/>
      <c r="H65" s="16" t="str">
        <f t="shared" si="0"/>
        <v/>
      </c>
      <c r="I65" s="3" t="str">
        <f t="shared" si="1"/>
        <v/>
      </c>
    </row>
    <row r="66" spans="1:9" ht="13" x14ac:dyDescent="0.15">
      <c r="A66" s="17"/>
      <c r="B66" s="17"/>
      <c r="C66" s="18"/>
      <c r="D66" s="17"/>
      <c r="E66" s="17"/>
      <c r="F66" s="17"/>
      <c r="G66" s="17"/>
      <c r="H66" s="16" t="str">
        <f t="shared" ref="H66:H129" si="2">IF(ISBLANK(C66),"",C66*$L$13)</f>
        <v/>
      </c>
      <c r="I66" s="3" t="str">
        <f t="shared" ref="I66:I129" si="3">IF(ISNUMBER(H66),IF(ABS(H66-$L$14)&gt;$M$16,"OUT",""),"")</f>
        <v/>
      </c>
    </row>
    <row r="67" spans="1:9" ht="13" x14ac:dyDescent="0.15">
      <c r="A67" s="17"/>
      <c r="B67" s="17"/>
      <c r="C67" s="18"/>
      <c r="D67" s="17"/>
      <c r="E67" s="17"/>
      <c r="F67" s="17"/>
      <c r="G67" s="17"/>
      <c r="H67" s="16" t="str">
        <f t="shared" si="2"/>
        <v/>
      </c>
      <c r="I67" s="3" t="str">
        <f t="shared" si="3"/>
        <v/>
      </c>
    </row>
    <row r="68" spans="1:9" ht="13" x14ac:dyDescent="0.15">
      <c r="A68" s="17"/>
      <c r="B68" s="17"/>
      <c r="C68" s="18"/>
      <c r="D68" s="17"/>
      <c r="E68" s="17"/>
      <c r="F68" s="17"/>
      <c r="G68" s="17"/>
      <c r="H68" s="16" t="str">
        <f t="shared" si="2"/>
        <v/>
      </c>
      <c r="I68" s="3" t="str">
        <f t="shared" si="3"/>
        <v/>
      </c>
    </row>
    <row r="69" spans="1:9" ht="13" x14ac:dyDescent="0.15">
      <c r="A69" s="17"/>
      <c r="B69" s="17"/>
      <c r="C69" s="18"/>
      <c r="D69" s="17"/>
      <c r="E69" s="17"/>
      <c r="F69" s="17"/>
      <c r="G69" s="17"/>
      <c r="H69" s="16" t="str">
        <f t="shared" si="2"/>
        <v/>
      </c>
      <c r="I69" s="3" t="str">
        <f t="shared" si="3"/>
        <v/>
      </c>
    </row>
    <row r="70" spans="1:9" ht="13" x14ac:dyDescent="0.15">
      <c r="A70" s="17"/>
      <c r="B70" s="17"/>
      <c r="C70" s="18"/>
      <c r="D70" s="17"/>
      <c r="E70" s="17"/>
      <c r="F70" s="17"/>
      <c r="G70" s="17"/>
      <c r="H70" s="16" t="str">
        <f t="shared" si="2"/>
        <v/>
      </c>
      <c r="I70" s="3" t="str">
        <f t="shared" si="3"/>
        <v/>
      </c>
    </row>
    <row r="71" spans="1:9" ht="13" x14ac:dyDescent="0.15">
      <c r="A71" s="17"/>
      <c r="B71" s="17"/>
      <c r="C71" s="18"/>
      <c r="D71" s="17"/>
      <c r="E71" s="17"/>
      <c r="F71" s="17"/>
      <c r="G71" s="17"/>
      <c r="H71" s="16" t="str">
        <f t="shared" si="2"/>
        <v/>
      </c>
      <c r="I71" s="3" t="str">
        <f t="shared" si="3"/>
        <v/>
      </c>
    </row>
    <row r="72" spans="1:9" ht="13" x14ac:dyDescent="0.15">
      <c r="A72" s="17"/>
      <c r="B72" s="17"/>
      <c r="C72" s="18"/>
      <c r="D72" s="17"/>
      <c r="E72" s="17"/>
      <c r="F72" s="17"/>
      <c r="G72" s="17"/>
      <c r="H72" s="16" t="str">
        <f t="shared" si="2"/>
        <v/>
      </c>
      <c r="I72" s="3" t="str">
        <f t="shared" si="3"/>
        <v/>
      </c>
    </row>
    <row r="73" spans="1:9" ht="13" x14ac:dyDescent="0.15">
      <c r="A73" s="17"/>
      <c r="B73" s="17"/>
      <c r="C73" s="18"/>
      <c r="D73" s="17"/>
      <c r="E73" s="17"/>
      <c r="F73" s="17"/>
      <c r="G73" s="17"/>
      <c r="H73" s="16" t="str">
        <f t="shared" si="2"/>
        <v/>
      </c>
      <c r="I73" s="3" t="str">
        <f t="shared" si="3"/>
        <v/>
      </c>
    </row>
    <row r="74" spans="1:9" ht="13" x14ac:dyDescent="0.15">
      <c r="A74" s="17"/>
      <c r="B74" s="17"/>
      <c r="C74" s="18"/>
      <c r="D74" s="17"/>
      <c r="E74" s="17"/>
      <c r="F74" s="17"/>
      <c r="G74" s="17"/>
      <c r="H74" s="16" t="str">
        <f t="shared" si="2"/>
        <v/>
      </c>
      <c r="I74" s="3" t="str">
        <f t="shared" si="3"/>
        <v/>
      </c>
    </row>
    <row r="75" spans="1:9" ht="13" x14ac:dyDescent="0.15">
      <c r="A75" s="17"/>
      <c r="B75" s="17"/>
      <c r="C75" s="18"/>
      <c r="D75" s="17"/>
      <c r="E75" s="17"/>
      <c r="F75" s="17"/>
      <c r="G75" s="17"/>
      <c r="H75" s="16" t="str">
        <f t="shared" si="2"/>
        <v/>
      </c>
      <c r="I75" s="3" t="str">
        <f t="shared" si="3"/>
        <v/>
      </c>
    </row>
    <row r="76" spans="1:9" ht="13" x14ac:dyDescent="0.15">
      <c r="A76" s="17"/>
      <c r="B76" s="17"/>
      <c r="C76" s="18"/>
      <c r="D76" s="17"/>
      <c r="E76" s="17"/>
      <c r="F76" s="17"/>
      <c r="G76" s="17"/>
      <c r="H76" s="16" t="str">
        <f t="shared" si="2"/>
        <v/>
      </c>
      <c r="I76" s="3" t="str">
        <f t="shared" si="3"/>
        <v/>
      </c>
    </row>
    <row r="77" spans="1:9" ht="13" x14ac:dyDescent="0.15">
      <c r="A77" s="17"/>
      <c r="B77" s="17"/>
      <c r="C77" s="18"/>
      <c r="D77" s="17"/>
      <c r="E77" s="17"/>
      <c r="F77" s="17"/>
      <c r="G77" s="17"/>
      <c r="H77" s="16" t="str">
        <f t="shared" si="2"/>
        <v/>
      </c>
      <c r="I77" s="3" t="str">
        <f t="shared" si="3"/>
        <v/>
      </c>
    </row>
    <row r="78" spans="1:9" ht="13" x14ac:dyDescent="0.15">
      <c r="A78" s="17"/>
      <c r="B78" s="17"/>
      <c r="C78" s="18"/>
      <c r="D78" s="17"/>
      <c r="E78" s="17"/>
      <c r="F78" s="17"/>
      <c r="G78" s="17"/>
      <c r="H78" s="16" t="str">
        <f t="shared" si="2"/>
        <v/>
      </c>
      <c r="I78" s="3" t="str">
        <f t="shared" si="3"/>
        <v/>
      </c>
    </row>
    <row r="79" spans="1:9" ht="13" x14ac:dyDescent="0.15">
      <c r="A79" s="17"/>
      <c r="B79" s="17"/>
      <c r="C79" s="18"/>
      <c r="D79" s="17"/>
      <c r="E79" s="17"/>
      <c r="F79" s="17"/>
      <c r="G79" s="17"/>
      <c r="H79" s="16" t="str">
        <f t="shared" si="2"/>
        <v/>
      </c>
      <c r="I79" s="3" t="str">
        <f t="shared" si="3"/>
        <v/>
      </c>
    </row>
    <row r="80" spans="1:9" ht="13" x14ac:dyDescent="0.15">
      <c r="A80" s="17"/>
      <c r="B80" s="17"/>
      <c r="C80" s="18"/>
      <c r="D80" s="17"/>
      <c r="E80" s="17"/>
      <c r="F80" s="17"/>
      <c r="G80" s="17"/>
      <c r="H80" s="16" t="str">
        <f t="shared" si="2"/>
        <v/>
      </c>
      <c r="I80" s="3" t="str">
        <f t="shared" si="3"/>
        <v/>
      </c>
    </row>
    <row r="81" spans="1:9" ht="13" x14ac:dyDescent="0.15">
      <c r="A81" s="17"/>
      <c r="B81" s="17"/>
      <c r="C81" s="18"/>
      <c r="D81" s="17"/>
      <c r="E81" s="17"/>
      <c r="F81" s="17"/>
      <c r="G81" s="17"/>
      <c r="H81" s="16" t="str">
        <f t="shared" si="2"/>
        <v/>
      </c>
      <c r="I81" s="3" t="str">
        <f t="shared" si="3"/>
        <v/>
      </c>
    </row>
    <row r="82" spans="1:9" ht="13" x14ac:dyDescent="0.15">
      <c r="A82" s="17"/>
      <c r="B82" s="17"/>
      <c r="C82" s="18"/>
      <c r="D82" s="17"/>
      <c r="E82" s="17"/>
      <c r="F82" s="17"/>
      <c r="G82" s="17"/>
      <c r="H82" s="16" t="str">
        <f t="shared" si="2"/>
        <v/>
      </c>
      <c r="I82" s="3" t="str">
        <f t="shared" si="3"/>
        <v/>
      </c>
    </row>
    <row r="83" spans="1:9" ht="13" x14ac:dyDescent="0.15">
      <c r="A83" s="17"/>
      <c r="B83" s="17"/>
      <c r="C83" s="18"/>
      <c r="D83" s="17"/>
      <c r="E83" s="17"/>
      <c r="F83" s="17"/>
      <c r="G83" s="17"/>
      <c r="H83" s="16" t="str">
        <f t="shared" si="2"/>
        <v/>
      </c>
      <c r="I83" s="3" t="str">
        <f t="shared" si="3"/>
        <v/>
      </c>
    </row>
    <row r="84" spans="1:9" ht="13" x14ac:dyDescent="0.15">
      <c r="A84" s="17"/>
      <c r="B84" s="17"/>
      <c r="C84" s="18"/>
      <c r="D84" s="17"/>
      <c r="E84" s="17"/>
      <c r="F84" s="17"/>
      <c r="G84" s="17"/>
      <c r="H84" s="16" t="str">
        <f t="shared" si="2"/>
        <v/>
      </c>
      <c r="I84" s="3" t="str">
        <f t="shared" si="3"/>
        <v/>
      </c>
    </row>
    <row r="85" spans="1:9" ht="13" x14ac:dyDescent="0.15">
      <c r="A85" s="17"/>
      <c r="B85" s="17"/>
      <c r="C85" s="18"/>
      <c r="D85" s="17"/>
      <c r="E85" s="17"/>
      <c r="F85" s="17"/>
      <c r="G85" s="17"/>
      <c r="H85" s="16" t="str">
        <f t="shared" si="2"/>
        <v/>
      </c>
      <c r="I85" s="3" t="str">
        <f t="shared" si="3"/>
        <v/>
      </c>
    </row>
    <row r="86" spans="1:9" ht="13" x14ac:dyDescent="0.15">
      <c r="A86" s="17"/>
      <c r="B86" s="17"/>
      <c r="C86" s="18"/>
      <c r="D86" s="17"/>
      <c r="E86" s="17"/>
      <c r="F86" s="17"/>
      <c r="G86" s="17"/>
      <c r="H86" s="16" t="str">
        <f t="shared" si="2"/>
        <v/>
      </c>
      <c r="I86" s="3" t="str">
        <f t="shared" si="3"/>
        <v/>
      </c>
    </row>
    <row r="87" spans="1:9" ht="13" x14ac:dyDescent="0.15">
      <c r="A87" s="17"/>
      <c r="B87" s="17"/>
      <c r="C87" s="18"/>
      <c r="D87" s="17"/>
      <c r="E87" s="17"/>
      <c r="F87" s="17"/>
      <c r="G87" s="17"/>
      <c r="H87" s="16" t="str">
        <f t="shared" si="2"/>
        <v/>
      </c>
      <c r="I87" s="3" t="str">
        <f t="shared" si="3"/>
        <v/>
      </c>
    </row>
    <row r="88" spans="1:9" ht="13" x14ac:dyDescent="0.15">
      <c r="A88" s="17"/>
      <c r="B88" s="17"/>
      <c r="C88" s="18"/>
      <c r="D88" s="17"/>
      <c r="E88" s="17"/>
      <c r="F88" s="17"/>
      <c r="G88" s="17"/>
      <c r="H88" s="16" t="str">
        <f t="shared" si="2"/>
        <v/>
      </c>
      <c r="I88" s="3" t="str">
        <f t="shared" si="3"/>
        <v/>
      </c>
    </row>
    <row r="89" spans="1:9" ht="13" x14ac:dyDescent="0.15">
      <c r="A89" s="17"/>
      <c r="B89" s="17"/>
      <c r="C89" s="18"/>
      <c r="D89" s="17"/>
      <c r="E89" s="17"/>
      <c r="F89" s="17"/>
      <c r="G89" s="17"/>
      <c r="H89" s="16" t="str">
        <f t="shared" si="2"/>
        <v/>
      </c>
      <c r="I89" s="3" t="str">
        <f t="shared" si="3"/>
        <v/>
      </c>
    </row>
    <row r="90" spans="1:9" ht="13" x14ac:dyDescent="0.15">
      <c r="A90" s="17"/>
      <c r="B90" s="17"/>
      <c r="C90" s="18"/>
      <c r="D90" s="17"/>
      <c r="E90" s="17"/>
      <c r="F90" s="17"/>
      <c r="G90" s="17"/>
      <c r="H90" s="16" t="str">
        <f t="shared" si="2"/>
        <v/>
      </c>
      <c r="I90" s="3" t="str">
        <f t="shared" si="3"/>
        <v/>
      </c>
    </row>
    <row r="91" spans="1:9" ht="13" x14ac:dyDescent="0.15">
      <c r="A91" s="17"/>
      <c r="B91" s="17"/>
      <c r="C91" s="18"/>
      <c r="D91" s="17"/>
      <c r="E91" s="17"/>
      <c r="F91" s="17"/>
      <c r="G91" s="17"/>
      <c r="H91" s="16" t="str">
        <f t="shared" si="2"/>
        <v/>
      </c>
      <c r="I91" s="3" t="str">
        <f t="shared" si="3"/>
        <v/>
      </c>
    </row>
    <row r="92" spans="1:9" ht="13" x14ac:dyDescent="0.15">
      <c r="A92" s="17"/>
      <c r="B92" s="17"/>
      <c r="C92" s="18"/>
      <c r="D92" s="17"/>
      <c r="E92" s="17"/>
      <c r="F92" s="17"/>
      <c r="G92" s="17"/>
      <c r="H92" s="16" t="str">
        <f t="shared" si="2"/>
        <v/>
      </c>
      <c r="I92" s="3" t="str">
        <f t="shared" si="3"/>
        <v/>
      </c>
    </row>
    <row r="93" spans="1:9" ht="13" x14ac:dyDescent="0.15">
      <c r="A93" s="17"/>
      <c r="B93" s="17"/>
      <c r="C93" s="18"/>
      <c r="D93" s="17"/>
      <c r="E93" s="17"/>
      <c r="F93" s="17"/>
      <c r="G93" s="17"/>
      <c r="H93" s="16" t="str">
        <f t="shared" si="2"/>
        <v/>
      </c>
      <c r="I93" s="3" t="str">
        <f t="shared" si="3"/>
        <v/>
      </c>
    </row>
    <row r="94" spans="1:9" ht="13" x14ac:dyDescent="0.15">
      <c r="A94" s="17"/>
      <c r="B94" s="17"/>
      <c r="C94" s="18"/>
      <c r="D94" s="17"/>
      <c r="E94" s="17"/>
      <c r="F94" s="17"/>
      <c r="G94" s="17"/>
      <c r="H94" s="16" t="str">
        <f t="shared" si="2"/>
        <v/>
      </c>
      <c r="I94" s="3" t="str">
        <f t="shared" si="3"/>
        <v/>
      </c>
    </row>
    <row r="95" spans="1:9" ht="13" x14ac:dyDescent="0.15">
      <c r="A95" s="17"/>
      <c r="B95" s="17"/>
      <c r="C95" s="18"/>
      <c r="D95" s="17"/>
      <c r="E95" s="17"/>
      <c r="F95" s="17"/>
      <c r="G95" s="17"/>
      <c r="H95" s="16" t="str">
        <f t="shared" si="2"/>
        <v/>
      </c>
      <c r="I95" s="3" t="str">
        <f t="shared" si="3"/>
        <v/>
      </c>
    </row>
    <row r="96" spans="1:9" ht="13" x14ac:dyDescent="0.15">
      <c r="A96" s="17"/>
      <c r="B96" s="17"/>
      <c r="C96" s="18"/>
      <c r="D96" s="17"/>
      <c r="E96" s="17"/>
      <c r="F96" s="17"/>
      <c r="G96" s="17"/>
      <c r="H96" s="16" t="str">
        <f t="shared" si="2"/>
        <v/>
      </c>
      <c r="I96" s="3" t="str">
        <f t="shared" si="3"/>
        <v/>
      </c>
    </row>
    <row r="97" spans="1:9" ht="13" x14ac:dyDescent="0.15">
      <c r="A97" s="17"/>
      <c r="B97" s="17"/>
      <c r="C97" s="18"/>
      <c r="D97" s="17"/>
      <c r="E97" s="17"/>
      <c r="F97" s="17"/>
      <c r="G97" s="17"/>
      <c r="H97" s="16" t="str">
        <f t="shared" si="2"/>
        <v/>
      </c>
      <c r="I97" s="3" t="str">
        <f t="shared" si="3"/>
        <v/>
      </c>
    </row>
    <row r="98" spans="1:9" ht="13" x14ac:dyDescent="0.15">
      <c r="A98" s="17"/>
      <c r="B98" s="17"/>
      <c r="C98" s="18"/>
      <c r="D98" s="17"/>
      <c r="E98" s="17"/>
      <c r="F98" s="17"/>
      <c r="G98" s="17"/>
      <c r="H98" s="16" t="str">
        <f t="shared" si="2"/>
        <v/>
      </c>
      <c r="I98" s="3" t="str">
        <f t="shared" si="3"/>
        <v/>
      </c>
    </row>
    <row r="99" spans="1:9" ht="13" x14ac:dyDescent="0.15">
      <c r="A99" s="17"/>
      <c r="B99" s="17"/>
      <c r="C99" s="18"/>
      <c r="D99" s="17"/>
      <c r="E99" s="17"/>
      <c r="F99" s="17"/>
      <c r="G99" s="17"/>
      <c r="H99" s="16" t="str">
        <f t="shared" si="2"/>
        <v/>
      </c>
      <c r="I99" s="3" t="str">
        <f t="shared" si="3"/>
        <v/>
      </c>
    </row>
    <row r="100" spans="1:9" ht="13" x14ac:dyDescent="0.15">
      <c r="A100" s="17"/>
      <c r="B100" s="17"/>
      <c r="C100" s="18"/>
      <c r="D100" s="17"/>
      <c r="E100" s="17"/>
      <c r="F100" s="17"/>
      <c r="G100" s="17"/>
      <c r="H100" s="16" t="str">
        <f t="shared" si="2"/>
        <v/>
      </c>
      <c r="I100" s="3" t="str">
        <f t="shared" si="3"/>
        <v/>
      </c>
    </row>
    <row r="101" spans="1:9" ht="13" x14ac:dyDescent="0.15">
      <c r="A101" s="17"/>
      <c r="B101" s="17"/>
      <c r="C101" s="18"/>
      <c r="D101" s="17"/>
      <c r="E101" s="17"/>
      <c r="F101" s="17"/>
      <c r="G101" s="17"/>
      <c r="H101" s="16" t="str">
        <f t="shared" si="2"/>
        <v/>
      </c>
      <c r="I101" s="3" t="str">
        <f t="shared" si="3"/>
        <v/>
      </c>
    </row>
    <row r="102" spans="1:9" ht="13" x14ac:dyDescent="0.15">
      <c r="A102" s="17"/>
      <c r="B102" s="17"/>
      <c r="C102" s="18"/>
      <c r="D102" s="17"/>
      <c r="E102" s="17"/>
      <c r="F102" s="17"/>
      <c r="G102" s="17"/>
      <c r="H102" s="16" t="str">
        <f t="shared" si="2"/>
        <v/>
      </c>
      <c r="I102" s="3" t="str">
        <f t="shared" si="3"/>
        <v/>
      </c>
    </row>
    <row r="103" spans="1:9" ht="13" x14ac:dyDescent="0.15">
      <c r="A103" s="17"/>
      <c r="B103" s="17"/>
      <c r="C103" s="18"/>
      <c r="D103" s="17"/>
      <c r="E103" s="17"/>
      <c r="F103" s="17"/>
      <c r="G103" s="17"/>
      <c r="H103" s="16" t="str">
        <f t="shared" si="2"/>
        <v/>
      </c>
      <c r="I103" s="3" t="str">
        <f t="shared" si="3"/>
        <v/>
      </c>
    </row>
    <row r="104" spans="1:9" ht="13" x14ac:dyDescent="0.15">
      <c r="A104" s="17"/>
      <c r="B104" s="17"/>
      <c r="C104" s="18"/>
      <c r="D104" s="17"/>
      <c r="E104" s="17"/>
      <c r="F104" s="17"/>
      <c r="G104" s="17"/>
      <c r="H104" s="16" t="str">
        <f t="shared" si="2"/>
        <v/>
      </c>
      <c r="I104" s="3" t="str">
        <f t="shared" si="3"/>
        <v/>
      </c>
    </row>
    <row r="105" spans="1:9" ht="13" x14ac:dyDescent="0.15">
      <c r="A105" s="17"/>
      <c r="B105" s="17"/>
      <c r="C105" s="18"/>
      <c r="D105" s="17"/>
      <c r="E105" s="17"/>
      <c r="F105" s="17"/>
      <c r="G105" s="17"/>
      <c r="H105" s="16" t="str">
        <f t="shared" si="2"/>
        <v/>
      </c>
      <c r="I105" s="3" t="str">
        <f t="shared" si="3"/>
        <v/>
      </c>
    </row>
    <row r="106" spans="1:9" ht="13" x14ac:dyDescent="0.15">
      <c r="A106" s="17"/>
      <c r="B106" s="17"/>
      <c r="C106" s="18"/>
      <c r="D106" s="17"/>
      <c r="E106" s="17"/>
      <c r="F106" s="17"/>
      <c r="G106" s="17"/>
      <c r="H106" s="16" t="str">
        <f t="shared" si="2"/>
        <v/>
      </c>
      <c r="I106" s="3" t="str">
        <f t="shared" si="3"/>
        <v/>
      </c>
    </row>
    <row r="107" spans="1:9" ht="13" x14ac:dyDescent="0.15">
      <c r="A107" s="17"/>
      <c r="B107" s="17"/>
      <c r="C107" s="18"/>
      <c r="D107" s="17"/>
      <c r="E107" s="17"/>
      <c r="F107" s="17"/>
      <c r="G107" s="17"/>
      <c r="H107" s="16" t="str">
        <f t="shared" si="2"/>
        <v/>
      </c>
      <c r="I107" s="3" t="str">
        <f t="shared" si="3"/>
        <v/>
      </c>
    </row>
    <row r="108" spans="1:9" ht="13" x14ac:dyDescent="0.15">
      <c r="A108" s="17"/>
      <c r="B108" s="17"/>
      <c r="C108" s="18"/>
      <c r="D108" s="17"/>
      <c r="E108" s="17"/>
      <c r="F108" s="17"/>
      <c r="G108" s="17"/>
      <c r="H108" s="16" t="str">
        <f t="shared" si="2"/>
        <v/>
      </c>
      <c r="I108" s="3" t="str">
        <f t="shared" si="3"/>
        <v/>
      </c>
    </row>
    <row r="109" spans="1:9" ht="13" x14ac:dyDescent="0.15">
      <c r="A109" s="17"/>
      <c r="B109" s="17"/>
      <c r="C109" s="18"/>
      <c r="D109" s="17"/>
      <c r="E109" s="17"/>
      <c r="F109" s="17"/>
      <c r="G109" s="17"/>
      <c r="H109" s="16" t="str">
        <f t="shared" si="2"/>
        <v/>
      </c>
      <c r="I109" s="3" t="str">
        <f t="shared" si="3"/>
        <v/>
      </c>
    </row>
    <row r="110" spans="1:9" ht="13" x14ac:dyDescent="0.15">
      <c r="A110" s="17"/>
      <c r="B110" s="17"/>
      <c r="C110" s="18"/>
      <c r="D110" s="17"/>
      <c r="E110" s="17"/>
      <c r="F110" s="17"/>
      <c r="G110" s="17"/>
      <c r="H110" s="16" t="str">
        <f t="shared" si="2"/>
        <v/>
      </c>
      <c r="I110" s="3" t="str">
        <f t="shared" si="3"/>
        <v/>
      </c>
    </row>
    <row r="111" spans="1:9" ht="13" x14ac:dyDescent="0.15">
      <c r="A111" s="17"/>
      <c r="B111" s="17"/>
      <c r="C111" s="18"/>
      <c r="D111" s="17"/>
      <c r="E111" s="17"/>
      <c r="F111" s="17"/>
      <c r="G111" s="17"/>
      <c r="H111" s="16" t="str">
        <f t="shared" si="2"/>
        <v/>
      </c>
      <c r="I111" s="3" t="str">
        <f t="shared" si="3"/>
        <v/>
      </c>
    </row>
    <row r="112" spans="1:9" ht="13" x14ac:dyDescent="0.15">
      <c r="A112" s="17"/>
      <c r="B112" s="17"/>
      <c r="C112" s="18"/>
      <c r="D112" s="17"/>
      <c r="E112" s="17"/>
      <c r="F112" s="17"/>
      <c r="G112" s="17"/>
      <c r="H112" s="16" t="str">
        <f t="shared" si="2"/>
        <v/>
      </c>
      <c r="I112" s="3" t="str">
        <f t="shared" si="3"/>
        <v/>
      </c>
    </row>
    <row r="113" spans="1:9" ht="13" x14ac:dyDescent="0.15">
      <c r="A113" s="17"/>
      <c r="B113" s="17"/>
      <c r="C113" s="18"/>
      <c r="D113" s="17"/>
      <c r="E113" s="17"/>
      <c r="F113" s="17"/>
      <c r="G113" s="17"/>
      <c r="H113" s="16" t="str">
        <f t="shared" si="2"/>
        <v/>
      </c>
      <c r="I113" s="3" t="str">
        <f t="shared" si="3"/>
        <v/>
      </c>
    </row>
    <row r="114" spans="1:9" ht="13" x14ac:dyDescent="0.15">
      <c r="A114" s="17"/>
      <c r="B114" s="17"/>
      <c r="C114" s="18"/>
      <c r="D114" s="17"/>
      <c r="E114" s="17"/>
      <c r="F114" s="17"/>
      <c r="G114" s="17"/>
      <c r="H114" s="16" t="str">
        <f t="shared" si="2"/>
        <v/>
      </c>
      <c r="I114" s="3" t="str">
        <f t="shared" si="3"/>
        <v/>
      </c>
    </row>
    <row r="115" spans="1:9" ht="13" x14ac:dyDescent="0.15">
      <c r="A115" s="17"/>
      <c r="B115" s="17"/>
      <c r="C115" s="18"/>
      <c r="D115" s="17"/>
      <c r="E115" s="17"/>
      <c r="F115" s="17"/>
      <c r="G115" s="17"/>
      <c r="H115" s="16" t="str">
        <f t="shared" si="2"/>
        <v/>
      </c>
      <c r="I115" s="3" t="str">
        <f t="shared" si="3"/>
        <v/>
      </c>
    </row>
    <row r="116" spans="1:9" ht="13" x14ac:dyDescent="0.15">
      <c r="A116" s="17"/>
      <c r="B116" s="17"/>
      <c r="C116" s="18"/>
      <c r="D116" s="17"/>
      <c r="E116" s="17"/>
      <c r="F116" s="17"/>
      <c r="G116" s="17"/>
      <c r="H116" s="16" t="str">
        <f t="shared" si="2"/>
        <v/>
      </c>
      <c r="I116" s="3" t="str">
        <f t="shared" si="3"/>
        <v/>
      </c>
    </row>
    <row r="117" spans="1:9" ht="13" x14ac:dyDescent="0.15">
      <c r="A117" s="17"/>
      <c r="B117" s="17"/>
      <c r="C117" s="18"/>
      <c r="D117" s="17"/>
      <c r="E117" s="17"/>
      <c r="F117" s="17"/>
      <c r="G117" s="17"/>
      <c r="H117" s="16" t="str">
        <f t="shared" si="2"/>
        <v/>
      </c>
      <c r="I117" s="3" t="str">
        <f t="shared" si="3"/>
        <v/>
      </c>
    </row>
    <row r="118" spans="1:9" ht="13" x14ac:dyDescent="0.15">
      <c r="A118" s="17"/>
      <c r="B118" s="17"/>
      <c r="C118" s="18"/>
      <c r="D118" s="17"/>
      <c r="E118" s="17"/>
      <c r="F118" s="17"/>
      <c r="G118" s="17"/>
      <c r="H118" s="16" t="str">
        <f t="shared" si="2"/>
        <v/>
      </c>
      <c r="I118" s="3" t="str">
        <f t="shared" si="3"/>
        <v/>
      </c>
    </row>
    <row r="119" spans="1:9" ht="13" x14ac:dyDescent="0.15">
      <c r="A119" s="17"/>
      <c r="B119" s="17"/>
      <c r="C119" s="18"/>
      <c r="D119" s="17"/>
      <c r="E119" s="17"/>
      <c r="F119" s="17"/>
      <c r="G119" s="17"/>
      <c r="H119" s="16" t="str">
        <f t="shared" si="2"/>
        <v/>
      </c>
      <c r="I119" s="3" t="str">
        <f t="shared" si="3"/>
        <v/>
      </c>
    </row>
    <row r="120" spans="1:9" ht="13" x14ac:dyDescent="0.15">
      <c r="A120" s="17"/>
      <c r="B120" s="17"/>
      <c r="C120" s="18"/>
      <c r="D120" s="17"/>
      <c r="E120" s="17"/>
      <c r="F120" s="17"/>
      <c r="G120" s="17"/>
      <c r="H120" s="16" t="str">
        <f t="shared" si="2"/>
        <v/>
      </c>
      <c r="I120" s="3" t="str">
        <f t="shared" si="3"/>
        <v/>
      </c>
    </row>
    <row r="121" spans="1:9" ht="13" x14ac:dyDescent="0.15">
      <c r="A121" s="17"/>
      <c r="B121" s="17"/>
      <c r="C121" s="18"/>
      <c r="D121" s="17"/>
      <c r="E121" s="17"/>
      <c r="F121" s="17"/>
      <c r="G121" s="17"/>
      <c r="H121" s="16" t="str">
        <f t="shared" si="2"/>
        <v/>
      </c>
      <c r="I121" s="3" t="str">
        <f t="shared" si="3"/>
        <v/>
      </c>
    </row>
    <row r="122" spans="1:9" ht="13" x14ac:dyDescent="0.15">
      <c r="A122" s="17"/>
      <c r="B122" s="17"/>
      <c r="C122" s="18"/>
      <c r="D122" s="17"/>
      <c r="E122" s="17"/>
      <c r="F122" s="17"/>
      <c r="G122" s="17"/>
      <c r="H122" s="16" t="str">
        <f t="shared" si="2"/>
        <v/>
      </c>
      <c r="I122" s="3" t="str">
        <f t="shared" si="3"/>
        <v/>
      </c>
    </row>
    <row r="123" spans="1:9" ht="13" x14ac:dyDescent="0.15">
      <c r="A123" s="17"/>
      <c r="B123" s="17"/>
      <c r="C123" s="18"/>
      <c r="D123" s="17"/>
      <c r="E123" s="17"/>
      <c r="F123" s="17"/>
      <c r="G123" s="17"/>
      <c r="H123" s="16" t="str">
        <f t="shared" si="2"/>
        <v/>
      </c>
      <c r="I123" s="3" t="str">
        <f t="shared" si="3"/>
        <v/>
      </c>
    </row>
    <row r="124" spans="1:9" ht="13" x14ac:dyDescent="0.15">
      <c r="A124" s="17"/>
      <c r="B124" s="17"/>
      <c r="C124" s="18"/>
      <c r="D124" s="17"/>
      <c r="E124" s="17"/>
      <c r="F124" s="17"/>
      <c r="G124" s="17"/>
      <c r="H124" s="16" t="str">
        <f t="shared" si="2"/>
        <v/>
      </c>
      <c r="I124" s="3" t="str">
        <f t="shared" si="3"/>
        <v/>
      </c>
    </row>
    <row r="125" spans="1:9" ht="13" x14ac:dyDescent="0.15">
      <c r="A125" s="17"/>
      <c r="B125" s="17"/>
      <c r="C125" s="18"/>
      <c r="D125" s="17"/>
      <c r="E125" s="17"/>
      <c r="F125" s="17"/>
      <c r="G125" s="17"/>
      <c r="H125" s="16" t="str">
        <f t="shared" si="2"/>
        <v/>
      </c>
      <c r="I125" s="3" t="str">
        <f t="shared" si="3"/>
        <v/>
      </c>
    </row>
    <row r="126" spans="1:9" ht="13" x14ac:dyDescent="0.15">
      <c r="A126" s="17"/>
      <c r="B126" s="17"/>
      <c r="C126" s="18"/>
      <c r="D126" s="17"/>
      <c r="E126" s="17"/>
      <c r="F126" s="17"/>
      <c r="G126" s="17"/>
      <c r="H126" s="16" t="str">
        <f t="shared" si="2"/>
        <v/>
      </c>
      <c r="I126" s="3" t="str">
        <f t="shared" si="3"/>
        <v/>
      </c>
    </row>
    <row r="127" spans="1:9" ht="13" x14ac:dyDescent="0.15">
      <c r="A127" s="17"/>
      <c r="B127" s="17"/>
      <c r="C127" s="18"/>
      <c r="D127" s="17"/>
      <c r="E127" s="17"/>
      <c r="F127" s="17"/>
      <c r="G127" s="17"/>
      <c r="H127" s="16" t="str">
        <f t="shared" si="2"/>
        <v/>
      </c>
      <c r="I127" s="3" t="str">
        <f t="shared" si="3"/>
        <v/>
      </c>
    </row>
    <row r="128" spans="1:9" ht="13" x14ac:dyDescent="0.15">
      <c r="A128" s="17"/>
      <c r="B128" s="17"/>
      <c r="C128" s="18"/>
      <c r="D128" s="17"/>
      <c r="E128" s="17"/>
      <c r="F128" s="17"/>
      <c r="G128" s="17"/>
      <c r="H128" s="16" t="str">
        <f t="shared" si="2"/>
        <v/>
      </c>
      <c r="I128" s="3" t="str">
        <f t="shared" si="3"/>
        <v/>
      </c>
    </row>
    <row r="129" spans="1:9" ht="13" x14ac:dyDescent="0.15">
      <c r="A129" s="17"/>
      <c r="B129" s="17"/>
      <c r="C129" s="18"/>
      <c r="D129" s="17"/>
      <c r="E129" s="17"/>
      <c r="F129" s="17"/>
      <c r="G129" s="17"/>
      <c r="H129" s="16" t="str">
        <f t="shared" si="2"/>
        <v/>
      </c>
      <c r="I129" s="3" t="str">
        <f t="shared" si="3"/>
        <v/>
      </c>
    </row>
    <row r="130" spans="1:9" ht="13" x14ac:dyDescent="0.15">
      <c r="A130" s="17"/>
      <c r="B130" s="17"/>
      <c r="C130" s="18"/>
      <c r="D130" s="17"/>
      <c r="E130" s="17"/>
      <c r="F130" s="17"/>
      <c r="G130" s="17"/>
      <c r="H130" s="16" t="str">
        <f t="shared" ref="H130:H193" si="4">IF(ISBLANK(C130),"",C130*$L$13)</f>
        <v/>
      </c>
      <c r="I130" s="3" t="str">
        <f t="shared" ref="I130:I193" si="5">IF(ISNUMBER(H130),IF(ABS(H130-$L$14)&gt;$M$16,"OUT",""),"")</f>
        <v/>
      </c>
    </row>
    <row r="131" spans="1:9" ht="13" x14ac:dyDescent="0.15">
      <c r="A131" s="17"/>
      <c r="B131" s="17"/>
      <c r="C131" s="18"/>
      <c r="D131" s="17"/>
      <c r="E131" s="17"/>
      <c r="F131" s="17"/>
      <c r="G131" s="17"/>
      <c r="H131" s="16" t="str">
        <f t="shared" si="4"/>
        <v/>
      </c>
      <c r="I131" s="3" t="str">
        <f t="shared" si="5"/>
        <v/>
      </c>
    </row>
    <row r="132" spans="1:9" ht="13" x14ac:dyDescent="0.15">
      <c r="A132" s="17"/>
      <c r="B132" s="17"/>
      <c r="C132" s="18"/>
      <c r="D132" s="17"/>
      <c r="E132" s="17"/>
      <c r="F132" s="17"/>
      <c r="G132" s="17"/>
      <c r="H132" s="16" t="str">
        <f t="shared" si="4"/>
        <v/>
      </c>
      <c r="I132" s="3" t="str">
        <f t="shared" si="5"/>
        <v/>
      </c>
    </row>
    <row r="133" spans="1:9" ht="13" x14ac:dyDescent="0.15">
      <c r="A133" s="17"/>
      <c r="B133" s="17"/>
      <c r="C133" s="18"/>
      <c r="D133" s="17"/>
      <c r="E133" s="17"/>
      <c r="F133" s="17"/>
      <c r="G133" s="17"/>
      <c r="H133" s="16" t="str">
        <f t="shared" si="4"/>
        <v/>
      </c>
      <c r="I133" s="3" t="str">
        <f t="shared" si="5"/>
        <v/>
      </c>
    </row>
    <row r="134" spans="1:9" ht="13" x14ac:dyDescent="0.15">
      <c r="A134" s="17"/>
      <c r="B134" s="17"/>
      <c r="C134" s="18"/>
      <c r="D134" s="17"/>
      <c r="E134" s="17"/>
      <c r="F134" s="17"/>
      <c r="G134" s="17"/>
      <c r="H134" s="16" t="str">
        <f t="shared" si="4"/>
        <v/>
      </c>
      <c r="I134" s="3" t="str">
        <f t="shared" si="5"/>
        <v/>
      </c>
    </row>
    <row r="135" spans="1:9" ht="13" x14ac:dyDescent="0.15">
      <c r="A135" s="17"/>
      <c r="B135" s="17"/>
      <c r="C135" s="18"/>
      <c r="D135" s="17"/>
      <c r="E135" s="17"/>
      <c r="F135" s="17"/>
      <c r="G135" s="17"/>
      <c r="H135" s="16" t="str">
        <f t="shared" si="4"/>
        <v/>
      </c>
      <c r="I135" s="3" t="str">
        <f t="shared" si="5"/>
        <v/>
      </c>
    </row>
    <row r="136" spans="1:9" ht="13" x14ac:dyDescent="0.15">
      <c r="A136" s="17"/>
      <c r="B136" s="17"/>
      <c r="C136" s="18"/>
      <c r="D136" s="17"/>
      <c r="E136" s="17"/>
      <c r="F136" s="17"/>
      <c r="G136" s="17"/>
      <c r="H136" s="16" t="str">
        <f t="shared" si="4"/>
        <v/>
      </c>
      <c r="I136" s="3" t="str">
        <f t="shared" si="5"/>
        <v/>
      </c>
    </row>
    <row r="137" spans="1:9" ht="13" x14ac:dyDescent="0.15">
      <c r="A137" s="17"/>
      <c r="B137" s="17"/>
      <c r="C137" s="18"/>
      <c r="D137" s="17"/>
      <c r="E137" s="17"/>
      <c r="F137" s="17"/>
      <c r="G137" s="17"/>
      <c r="H137" s="16" t="str">
        <f t="shared" si="4"/>
        <v/>
      </c>
      <c r="I137" s="3" t="str">
        <f t="shared" si="5"/>
        <v/>
      </c>
    </row>
    <row r="138" spans="1:9" ht="13" x14ac:dyDescent="0.15">
      <c r="A138" s="17"/>
      <c r="B138" s="17"/>
      <c r="C138" s="18"/>
      <c r="D138" s="17"/>
      <c r="E138" s="17"/>
      <c r="F138" s="17"/>
      <c r="G138" s="17"/>
      <c r="H138" s="16" t="str">
        <f t="shared" si="4"/>
        <v/>
      </c>
      <c r="I138" s="3" t="str">
        <f t="shared" si="5"/>
        <v/>
      </c>
    </row>
    <row r="139" spans="1:9" ht="13" x14ac:dyDescent="0.15">
      <c r="A139" s="17"/>
      <c r="B139" s="17"/>
      <c r="C139" s="18"/>
      <c r="D139" s="17"/>
      <c r="E139" s="17"/>
      <c r="F139" s="17"/>
      <c r="G139" s="17"/>
      <c r="H139" s="16" t="str">
        <f t="shared" si="4"/>
        <v/>
      </c>
      <c r="I139" s="3" t="str">
        <f t="shared" si="5"/>
        <v/>
      </c>
    </row>
    <row r="140" spans="1:9" ht="13" x14ac:dyDescent="0.15">
      <c r="A140" s="17"/>
      <c r="B140" s="17"/>
      <c r="C140" s="18"/>
      <c r="D140" s="17"/>
      <c r="E140" s="17"/>
      <c r="F140" s="17"/>
      <c r="G140" s="17"/>
      <c r="H140" s="16" t="str">
        <f t="shared" si="4"/>
        <v/>
      </c>
      <c r="I140" s="3" t="str">
        <f t="shared" si="5"/>
        <v/>
      </c>
    </row>
    <row r="141" spans="1:9" ht="13" x14ac:dyDescent="0.15">
      <c r="A141" s="17"/>
      <c r="B141" s="17"/>
      <c r="C141" s="18"/>
      <c r="D141" s="17"/>
      <c r="E141" s="17"/>
      <c r="F141" s="17"/>
      <c r="G141" s="17"/>
      <c r="H141" s="16" t="str">
        <f t="shared" si="4"/>
        <v/>
      </c>
      <c r="I141" s="3" t="str">
        <f t="shared" si="5"/>
        <v/>
      </c>
    </row>
    <row r="142" spans="1:9" ht="13" x14ac:dyDescent="0.15">
      <c r="A142" s="17"/>
      <c r="B142" s="17"/>
      <c r="C142" s="18"/>
      <c r="D142" s="17"/>
      <c r="E142" s="17"/>
      <c r="F142" s="17"/>
      <c r="G142" s="17"/>
      <c r="H142" s="16" t="str">
        <f t="shared" si="4"/>
        <v/>
      </c>
      <c r="I142" s="3" t="str">
        <f t="shared" si="5"/>
        <v/>
      </c>
    </row>
    <row r="143" spans="1:9" ht="13" x14ac:dyDescent="0.15">
      <c r="A143" s="17"/>
      <c r="B143" s="17"/>
      <c r="C143" s="18"/>
      <c r="D143" s="17"/>
      <c r="E143" s="17"/>
      <c r="F143" s="17"/>
      <c r="G143" s="17"/>
      <c r="H143" s="16" t="str">
        <f t="shared" si="4"/>
        <v/>
      </c>
      <c r="I143" s="3" t="str">
        <f t="shared" si="5"/>
        <v/>
      </c>
    </row>
    <row r="144" spans="1:9" ht="13" x14ac:dyDescent="0.15">
      <c r="A144" s="17"/>
      <c r="B144" s="17"/>
      <c r="C144" s="18"/>
      <c r="D144" s="17"/>
      <c r="E144" s="17"/>
      <c r="F144" s="17"/>
      <c r="G144" s="17"/>
      <c r="H144" s="16" t="str">
        <f t="shared" si="4"/>
        <v/>
      </c>
      <c r="I144" s="3" t="str">
        <f t="shared" si="5"/>
        <v/>
      </c>
    </row>
    <row r="145" spans="1:9" ht="13" x14ac:dyDescent="0.15">
      <c r="A145" s="17"/>
      <c r="B145" s="17"/>
      <c r="C145" s="18"/>
      <c r="D145" s="17"/>
      <c r="E145" s="17"/>
      <c r="F145" s="17"/>
      <c r="G145" s="17"/>
      <c r="H145" s="16" t="str">
        <f t="shared" si="4"/>
        <v/>
      </c>
      <c r="I145" s="3" t="str">
        <f t="shared" si="5"/>
        <v/>
      </c>
    </row>
    <row r="146" spans="1:9" ht="13" x14ac:dyDescent="0.15">
      <c r="A146" s="17"/>
      <c r="B146" s="17"/>
      <c r="C146" s="18"/>
      <c r="D146" s="17"/>
      <c r="E146" s="17"/>
      <c r="F146" s="17"/>
      <c r="G146" s="17"/>
      <c r="H146" s="16" t="str">
        <f t="shared" si="4"/>
        <v/>
      </c>
      <c r="I146" s="3" t="str">
        <f t="shared" si="5"/>
        <v/>
      </c>
    </row>
    <row r="147" spans="1:9" ht="13" x14ac:dyDescent="0.15">
      <c r="A147" s="17"/>
      <c r="B147" s="17"/>
      <c r="C147" s="18"/>
      <c r="D147" s="17"/>
      <c r="E147" s="17"/>
      <c r="F147" s="17"/>
      <c r="G147" s="17"/>
      <c r="H147" s="16" t="str">
        <f t="shared" si="4"/>
        <v/>
      </c>
      <c r="I147" s="3" t="str">
        <f t="shared" si="5"/>
        <v/>
      </c>
    </row>
    <row r="148" spans="1:9" ht="13" x14ac:dyDescent="0.15">
      <c r="A148" s="17"/>
      <c r="B148" s="17"/>
      <c r="C148" s="18"/>
      <c r="D148" s="17"/>
      <c r="E148" s="17"/>
      <c r="F148" s="17"/>
      <c r="G148" s="17"/>
      <c r="H148" s="16" t="str">
        <f t="shared" si="4"/>
        <v/>
      </c>
      <c r="I148" s="3" t="str">
        <f t="shared" si="5"/>
        <v/>
      </c>
    </row>
    <row r="149" spans="1:9" ht="13" x14ac:dyDescent="0.15">
      <c r="A149" s="17"/>
      <c r="B149" s="17"/>
      <c r="C149" s="18"/>
      <c r="D149" s="17"/>
      <c r="E149" s="17"/>
      <c r="F149" s="17"/>
      <c r="G149" s="17"/>
      <c r="H149" s="16" t="str">
        <f t="shared" si="4"/>
        <v/>
      </c>
      <c r="I149" s="3" t="str">
        <f t="shared" si="5"/>
        <v/>
      </c>
    </row>
    <row r="150" spans="1:9" ht="13" x14ac:dyDescent="0.15">
      <c r="A150" s="17"/>
      <c r="B150" s="17"/>
      <c r="C150" s="18"/>
      <c r="D150" s="17"/>
      <c r="E150" s="17"/>
      <c r="F150" s="17"/>
      <c r="G150" s="17"/>
      <c r="H150" s="16" t="str">
        <f t="shared" si="4"/>
        <v/>
      </c>
      <c r="I150" s="3" t="str">
        <f t="shared" si="5"/>
        <v/>
      </c>
    </row>
    <row r="151" spans="1:9" ht="13" x14ac:dyDescent="0.15">
      <c r="A151" s="17"/>
      <c r="B151" s="17"/>
      <c r="C151" s="18"/>
      <c r="D151" s="17"/>
      <c r="E151" s="17"/>
      <c r="F151" s="17"/>
      <c r="G151" s="17"/>
      <c r="H151" s="16" t="str">
        <f t="shared" si="4"/>
        <v/>
      </c>
      <c r="I151" s="3" t="str">
        <f t="shared" si="5"/>
        <v/>
      </c>
    </row>
    <row r="152" spans="1:9" ht="13" x14ac:dyDescent="0.15">
      <c r="A152" s="17"/>
      <c r="B152" s="17"/>
      <c r="C152" s="18"/>
      <c r="D152" s="17"/>
      <c r="E152" s="17"/>
      <c r="F152" s="17"/>
      <c r="G152" s="17"/>
      <c r="H152" s="16" t="str">
        <f t="shared" si="4"/>
        <v/>
      </c>
      <c r="I152" s="3" t="str">
        <f t="shared" si="5"/>
        <v/>
      </c>
    </row>
    <row r="153" spans="1:9" ht="13" x14ac:dyDescent="0.15">
      <c r="A153" s="17"/>
      <c r="B153" s="17"/>
      <c r="C153" s="18"/>
      <c r="D153" s="17"/>
      <c r="E153" s="17"/>
      <c r="F153" s="17"/>
      <c r="G153" s="17"/>
      <c r="H153" s="16" t="str">
        <f t="shared" si="4"/>
        <v/>
      </c>
      <c r="I153" s="3" t="str">
        <f t="shared" si="5"/>
        <v/>
      </c>
    </row>
    <row r="154" spans="1:9" ht="13" x14ac:dyDescent="0.15">
      <c r="A154" s="17"/>
      <c r="B154" s="17"/>
      <c r="C154" s="18"/>
      <c r="D154" s="17"/>
      <c r="E154" s="17"/>
      <c r="F154" s="17"/>
      <c r="G154" s="17"/>
      <c r="H154" s="16" t="str">
        <f t="shared" si="4"/>
        <v/>
      </c>
      <c r="I154" s="3" t="str">
        <f t="shared" si="5"/>
        <v/>
      </c>
    </row>
    <row r="155" spans="1:9" ht="13" x14ac:dyDescent="0.15">
      <c r="A155" s="17"/>
      <c r="B155" s="17"/>
      <c r="C155" s="18"/>
      <c r="D155" s="17"/>
      <c r="E155" s="17"/>
      <c r="F155" s="17"/>
      <c r="G155" s="17"/>
      <c r="H155" s="16" t="str">
        <f t="shared" si="4"/>
        <v/>
      </c>
      <c r="I155" s="3" t="str">
        <f t="shared" si="5"/>
        <v/>
      </c>
    </row>
    <row r="156" spans="1:9" ht="13" x14ac:dyDescent="0.15">
      <c r="A156" s="17"/>
      <c r="B156" s="17"/>
      <c r="C156" s="18"/>
      <c r="D156" s="17"/>
      <c r="E156" s="17"/>
      <c r="F156" s="17"/>
      <c r="G156" s="17"/>
      <c r="H156" s="16" t="str">
        <f t="shared" si="4"/>
        <v/>
      </c>
      <c r="I156" s="3" t="str">
        <f t="shared" si="5"/>
        <v/>
      </c>
    </row>
    <row r="157" spans="1:9" ht="13" x14ac:dyDescent="0.15">
      <c r="A157" s="17"/>
      <c r="B157" s="17"/>
      <c r="C157" s="18"/>
      <c r="D157" s="17"/>
      <c r="E157" s="17"/>
      <c r="F157" s="17"/>
      <c r="G157" s="17"/>
      <c r="H157" s="16" t="str">
        <f t="shared" si="4"/>
        <v/>
      </c>
      <c r="I157" s="3" t="str">
        <f t="shared" si="5"/>
        <v/>
      </c>
    </row>
    <row r="158" spans="1:9" ht="13" x14ac:dyDescent="0.15">
      <c r="A158" s="17"/>
      <c r="B158" s="17"/>
      <c r="C158" s="18"/>
      <c r="D158" s="17"/>
      <c r="E158" s="17"/>
      <c r="F158" s="17"/>
      <c r="G158" s="17"/>
      <c r="H158" s="16" t="str">
        <f t="shared" si="4"/>
        <v/>
      </c>
      <c r="I158" s="3" t="str">
        <f t="shared" si="5"/>
        <v/>
      </c>
    </row>
    <row r="159" spans="1:9" ht="13" x14ac:dyDescent="0.15">
      <c r="A159" s="17"/>
      <c r="B159" s="17"/>
      <c r="C159" s="18"/>
      <c r="D159" s="17"/>
      <c r="E159" s="17"/>
      <c r="F159" s="17"/>
      <c r="G159" s="17"/>
      <c r="H159" s="16" t="str">
        <f t="shared" si="4"/>
        <v/>
      </c>
      <c r="I159" s="3" t="str">
        <f t="shared" si="5"/>
        <v/>
      </c>
    </row>
    <row r="160" spans="1:9" ht="13" x14ac:dyDescent="0.15">
      <c r="A160" s="17"/>
      <c r="B160" s="17"/>
      <c r="C160" s="18"/>
      <c r="D160" s="17"/>
      <c r="E160" s="17"/>
      <c r="F160" s="17"/>
      <c r="G160" s="17"/>
      <c r="H160" s="16" t="str">
        <f t="shared" si="4"/>
        <v/>
      </c>
      <c r="I160" s="3" t="str">
        <f t="shared" si="5"/>
        <v/>
      </c>
    </row>
    <row r="161" spans="1:9" ht="13" x14ac:dyDescent="0.15">
      <c r="A161" s="17"/>
      <c r="B161" s="17"/>
      <c r="C161" s="18"/>
      <c r="D161" s="17"/>
      <c r="E161" s="17"/>
      <c r="F161" s="17"/>
      <c r="G161" s="17"/>
      <c r="H161" s="16" t="str">
        <f t="shared" si="4"/>
        <v/>
      </c>
      <c r="I161" s="3" t="str">
        <f t="shared" si="5"/>
        <v/>
      </c>
    </row>
    <row r="162" spans="1:9" ht="13" x14ac:dyDescent="0.15">
      <c r="A162" s="17"/>
      <c r="B162" s="17"/>
      <c r="C162" s="18"/>
      <c r="D162" s="17"/>
      <c r="E162" s="17"/>
      <c r="F162" s="17"/>
      <c r="G162" s="17"/>
      <c r="H162" s="16" t="str">
        <f t="shared" si="4"/>
        <v/>
      </c>
      <c r="I162" s="3" t="str">
        <f t="shared" si="5"/>
        <v/>
      </c>
    </row>
    <row r="163" spans="1:9" ht="13" x14ac:dyDescent="0.15">
      <c r="A163" s="17"/>
      <c r="B163" s="17"/>
      <c r="C163" s="18"/>
      <c r="D163" s="17"/>
      <c r="E163" s="17"/>
      <c r="F163" s="17"/>
      <c r="G163" s="17"/>
      <c r="H163" s="16" t="str">
        <f t="shared" si="4"/>
        <v/>
      </c>
      <c r="I163" s="3" t="str">
        <f t="shared" si="5"/>
        <v/>
      </c>
    </row>
    <row r="164" spans="1:9" ht="13" x14ac:dyDescent="0.15">
      <c r="A164" s="17"/>
      <c r="B164" s="17"/>
      <c r="C164" s="18"/>
      <c r="D164" s="17"/>
      <c r="E164" s="17"/>
      <c r="F164" s="17"/>
      <c r="G164" s="17"/>
      <c r="H164" s="16" t="str">
        <f t="shared" si="4"/>
        <v/>
      </c>
      <c r="I164" s="3" t="str">
        <f t="shared" si="5"/>
        <v/>
      </c>
    </row>
    <row r="165" spans="1:9" ht="13" x14ac:dyDescent="0.15">
      <c r="A165" s="17"/>
      <c r="B165" s="17"/>
      <c r="C165" s="18"/>
      <c r="D165" s="17"/>
      <c r="E165" s="17"/>
      <c r="F165" s="17"/>
      <c r="G165" s="17"/>
      <c r="H165" s="16" t="str">
        <f t="shared" si="4"/>
        <v/>
      </c>
      <c r="I165" s="3" t="str">
        <f t="shared" si="5"/>
        <v/>
      </c>
    </row>
    <row r="166" spans="1:9" ht="13" x14ac:dyDescent="0.15">
      <c r="A166" s="17"/>
      <c r="B166" s="17"/>
      <c r="C166" s="18"/>
      <c r="D166" s="17"/>
      <c r="E166" s="17"/>
      <c r="F166" s="17"/>
      <c r="G166" s="17"/>
      <c r="H166" s="16" t="str">
        <f t="shared" si="4"/>
        <v/>
      </c>
      <c r="I166" s="3" t="str">
        <f t="shared" si="5"/>
        <v/>
      </c>
    </row>
    <row r="167" spans="1:9" ht="13" x14ac:dyDescent="0.15">
      <c r="A167" s="17"/>
      <c r="B167" s="17"/>
      <c r="C167" s="18"/>
      <c r="D167" s="17"/>
      <c r="E167" s="17"/>
      <c r="F167" s="17"/>
      <c r="G167" s="17"/>
      <c r="H167" s="16" t="str">
        <f t="shared" si="4"/>
        <v/>
      </c>
      <c r="I167" s="3" t="str">
        <f t="shared" si="5"/>
        <v/>
      </c>
    </row>
    <row r="168" spans="1:9" ht="13" x14ac:dyDescent="0.15">
      <c r="A168" s="17"/>
      <c r="B168" s="17"/>
      <c r="C168" s="18"/>
      <c r="D168" s="17"/>
      <c r="E168" s="17"/>
      <c r="F168" s="17"/>
      <c r="G168" s="17"/>
      <c r="H168" s="16" t="str">
        <f t="shared" si="4"/>
        <v/>
      </c>
      <c r="I168" s="3" t="str">
        <f t="shared" si="5"/>
        <v/>
      </c>
    </row>
    <row r="169" spans="1:9" ht="13" x14ac:dyDescent="0.15">
      <c r="A169" s="17"/>
      <c r="B169" s="17"/>
      <c r="C169" s="18"/>
      <c r="D169" s="17"/>
      <c r="E169" s="17"/>
      <c r="F169" s="17"/>
      <c r="G169" s="17"/>
      <c r="H169" s="16" t="str">
        <f t="shared" si="4"/>
        <v/>
      </c>
      <c r="I169" s="3" t="str">
        <f t="shared" si="5"/>
        <v/>
      </c>
    </row>
    <row r="170" spans="1:9" ht="13" x14ac:dyDescent="0.15">
      <c r="A170" s="17"/>
      <c r="B170" s="17"/>
      <c r="C170" s="18"/>
      <c r="D170" s="17"/>
      <c r="E170" s="17"/>
      <c r="F170" s="17"/>
      <c r="G170" s="17"/>
      <c r="H170" s="16" t="str">
        <f t="shared" si="4"/>
        <v/>
      </c>
      <c r="I170" s="3" t="str">
        <f t="shared" si="5"/>
        <v/>
      </c>
    </row>
    <row r="171" spans="1:9" ht="13" x14ac:dyDescent="0.15">
      <c r="A171" s="17"/>
      <c r="B171" s="17"/>
      <c r="C171" s="18"/>
      <c r="D171" s="17"/>
      <c r="E171" s="17"/>
      <c r="F171" s="17"/>
      <c r="G171" s="17"/>
      <c r="H171" s="16" t="str">
        <f t="shared" si="4"/>
        <v/>
      </c>
      <c r="I171" s="3" t="str">
        <f t="shared" si="5"/>
        <v/>
      </c>
    </row>
    <row r="172" spans="1:9" ht="13" x14ac:dyDescent="0.15">
      <c r="A172" s="17"/>
      <c r="B172" s="17"/>
      <c r="C172" s="18"/>
      <c r="D172" s="17"/>
      <c r="E172" s="17"/>
      <c r="F172" s="17"/>
      <c r="G172" s="17"/>
      <c r="H172" s="16" t="str">
        <f t="shared" si="4"/>
        <v/>
      </c>
      <c r="I172" s="3" t="str">
        <f t="shared" si="5"/>
        <v/>
      </c>
    </row>
    <row r="173" spans="1:9" ht="13" x14ac:dyDescent="0.15">
      <c r="A173" s="17"/>
      <c r="B173" s="17"/>
      <c r="C173" s="18"/>
      <c r="D173" s="17"/>
      <c r="E173" s="17"/>
      <c r="F173" s="17"/>
      <c r="G173" s="17"/>
      <c r="H173" s="16" t="str">
        <f t="shared" si="4"/>
        <v/>
      </c>
      <c r="I173" s="3" t="str">
        <f t="shared" si="5"/>
        <v/>
      </c>
    </row>
    <row r="174" spans="1:9" ht="13" x14ac:dyDescent="0.15">
      <c r="A174" s="17"/>
      <c r="B174" s="17"/>
      <c r="C174" s="18"/>
      <c r="D174" s="17"/>
      <c r="E174" s="17"/>
      <c r="F174" s="17"/>
      <c r="G174" s="17"/>
      <c r="H174" s="16" t="str">
        <f t="shared" si="4"/>
        <v/>
      </c>
      <c r="I174" s="3" t="str">
        <f t="shared" si="5"/>
        <v/>
      </c>
    </row>
    <row r="175" spans="1:9" ht="13" x14ac:dyDescent="0.15">
      <c r="A175" s="17"/>
      <c r="B175" s="17"/>
      <c r="C175" s="18"/>
      <c r="D175" s="17"/>
      <c r="E175" s="17"/>
      <c r="F175" s="17"/>
      <c r="G175" s="17"/>
      <c r="H175" s="16" t="str">
        <f t="shared" si="4"/>
        <v/>
      </c>
      <c r="I175" s="3" t="str">
        <f t="shared" si="5"/>
        <v/>
      </c>
    </row>
    <row r="176" spans="1:9" ht="13" x14ac:dyDescent="0.15">
      <c r="A176" s="17"/>
      <c r="B176" s="17"/>
      <c r="C176" s="18"/>
      <c r="D176" s="17"/>
      <c r="E176" s="17"/>
      <c r="F176" s="17"/>
      <c r="G176" s="17"/>
      <c r="H176" s="16" t="str">
        <f t="shared" si="4"/>
        <v/>
      </c>
      <c r="I176" s="3" t="str">
        <f t="shared" si="5"/>
        <v/>
      </c>
    </row>
    <row r="177" spans="1:9" ht="13" x14ac:dyDescent="0.15">
      <c r="A177" s="17"/>
      <c r="B177" s="17"/>
      <c r="C177" s="18"/>
      <c r="D177" s="17"/>
      <c r="E177" s="17"/>
      <c r="F177" s="17"/>
      <c r="G177" s="17"/>
      <c r="H177" s="16" t="str">
        <f t="shared" si="4"/>
        <v/>
      </c>
      <c r="I177" s="3" t="str">
        <f t="shared" si="5"/>
        <v/>
      </c>
    </row>
    <row r="178" spans="1:9" ht="13" x14ac:dyDescent="0.15">
      <c r="A178" s="17"/>
      <c r="B178" s="17"/>
      <c r="C178" s="18"/>
      <c r="D178" s="17"/>
      <c r="E178" s="17"/>
      <c r="F178" s="17"/>
      <c r="G178" s="17"/>
      <c r="H178" s="16" t="str">
        <f t="shared" si="4"/>
        <v/>
      </c>
      <c r="I178" s="3" t="str">
        <f t="shared" si="5"/>
        <v/>
      </c>
    </row>
    <row r="179" spans="1:9" ht="13" x14ac:dyDescent="0.15">
      <c r="A179" s="17"/>
      <c r="B179" s="17"/>
      <c r="C179" s="18"/>
      <c r="D179" s="17"/>
      <c r="E179" s="17"/>
      <c r="F179" s="17"/>
      <c r="G179" s="17"/>
      <c r="H179" s="16" t="str">
        <f t="shared" si="4"/>
        <v/>
      </c>
      <c r="I179" s="3" t="str">
        <f t="shared" si="5"/>
        <v/>
      </c>
    </row>
    <row r="180" spans="1:9" ht="13" x14ac:dyDescent="0.15">
      <c r="A180" s="17"/>
      <c r="B180" s="17"/>
      <c r="C180" s="18"/>
      <c r="D180" s="17"/>
      <c r="E180" s="17"/>
      <c r="F180" s="17"/>
      <c r="G180" s="17"/>
      <c r="H180" s="16" t="str">
        <f t="shared" si="4"/>
        <v/>
      </c>
      <c r="I180" s="3" t="str">
        <f t="shared" si="5"/>
        <v/>
      </c>
    </row>
    <row r="181" spans="1:9" ht="13" x14ac:dyDescent="0.15">
      <c r="A181" s="17"/>
      <c r="B181" s="17"/>
      <c r="C181" s="18"/>
      <c r="D181" s="17"/>
      <c r="E181" s="17"/>
      <c r="F181" s="17"/>
      <c r="G181" s="17"/>
      <c r="H181" s="16" t="str">
        <f t="shared" si="4"/>
        <v/>
      </c>
      <c r="I181" s="3" t="str">
        <f t="shared" si="5"/>
        <v/>
      </c>
    </row>
    <row r="182" spans="1:9" ht="13" x14ac:dyDescent="0.15">
      <c r="A182" s="17"/>
      <c r="B182" s="17"/>
      <c r="C182" s="18"/>
      <c r="D182" s="17"/>
      <c r="E182" s="17"/>
      <c r="F182" s="17"/>
      <c r="G182" s="17"/>
      <c r="H182" s="16" t="str">
        <f t="shared" si="4"/>
        <v/>
      </c>
      <c r="I182" s="3" t="str">
        <f t="shared" si="5"/>
        <v/>
      </c>
    </row>
    <row r="183" spans="1:9" ht="13" x14ac:dyDescent="0.15">
      <c r="A183" s="17"/>
      <c r="B183" s="17"/>
      <c r="C183" s="18"/>
      <c r="D183" s="17"/>
      <c r="E183" s="17"/>
      <c r="F183" s="17"/>
      <c r="G183" s="17"/>
      <c r="H183" s="16" t="str">
        <f t="shared" si="4"/>
        <v/>
      </c>
      <c r="I183" s="3" t="str">
        <f t="shared" si="5"/>
        <v/>
      </c>
    </row>
    <row r="184" spans="1:9" ht="13" x14ac:dyDescent="0.15">
      <c r="A184" s="17"/>
      <c r="B184" s="17"/>
      <c r="C184" s="18"/>
      <c r="D184" s="17"/>
      <c r="E184" s="17"/>
      <c r="F184" s="17"/>
      <c r="G184" s="17"/>
      <c r="H184" s="16" t="str">
        <f t="shared" si="4"/>
        <v/>
      </c>
      <c r="I184" s="3" t="str">
        <f t="shared" si="5"/>
        <v/>
      </c>
    </row>
    <row r="185" spans="1:9" ht="13" x14ac:dyDescent="0.15">
      <c r="A185" s="17"/>
      <c r="B185" s="17"/>
      <c r="C185" s="18"/>
      <c r="D185" s="17"/>
      <c r="E185" s="17"/>
      <c r="F185" s="17"/>
      <c r="G185" s="17"/>
      <c r="H185" s="16" t="str">
        <f t="shared" si="4"/>
        <v/>
      </c>
      <c r="I185" s="3" t="str">
        <f t="shared" si="5"/>
        <v/>
      </c>
    </row>
    <row r="186" spans="1:9" ht="13" x14ac:dyDescent="0.15">
      <c r="A186" s="17"/>
      <c r="B186" s="17"/>
      <c r="C186" s="18"/>
      <c r="D186" s="17"/>
      <c r="E186" s="17"/>
      <c r="F186" s="17"/>
      <c r="G186" s="17"/>
      <c r="H186" s="16" t="str">
        <f t="shared" si="4"/>
        <v/>
      </c>
      <c r="I186" s="3" t="str">
        <f t="shared" si="5"/>
        <v/>
      </c>
    </row>
    <row r="187" spans="1:9" ht="13" x14ac:dyDescent="0.15">
      <c r="A187" s="17"/>
      <c r="B187" s="17"/>
      <c r="C187" s="18"/>
      <c r="D187" s="17"/>
      <c r="E187" s="17"/>
      <c r="F187" s="17"/>
      <c r="G187" s="17"/>
      <c r="H187" s="16" t="str">
        <f t="shared" si="4"/>
        <v/>
      </c>
      <c r="I187" s="3" t="str">
        <f t="shared" si="5"/>
        <v/>
      </c>
    </row>
    <row r="188" spans="1:9" ht="13" x14ac:dyDescent="0.15">
      <c r="A188" s="17"/>
      <c r="B188" s="17"/>
      <c r="C188" s="18"/>
      <c r="D188" s="17"/>
      <c r="E188" s="17"/>
      <c r="F188" s="17"/>
      <c r="G188" s="17"/>
      <c r="H188" s="16" t="str">
        <f t="shared" si="4"/>
        <v/>
      </c>
      <c r="I188" s="3" t="str">
        <f t="shared" si="5"/>
        <v/>
      </c>
    </row>
    <row r="189" spans="1:9" ht="13" x14ac:dyDescent="0.15">
      <c r="A189" s="17"/>
      <c r="B189" s="17"/>
      <c r="C189" s="18"/>
      <c r="D189" s="17"/>
      <c r="E189" s="17"/>
      <c r="F189" s="17"/>
      <c r="G189" s="17"/>
      <c r="H189" s="16" t="str">
        <f t="shared" si="4"/>
        <v/>
      </c>
      <c r="I189" s="3" t="str">
        <f t="shared" si="5"/>
        <v/>
      </c>
    </row>
    <row r="190" spans="1:9" ht="13" x14ac:dyDescent="0.15">
      <c r="A190" s="17"/>
      <c r="B190" s="17"/>
      <c r="C190" s="18"/>
      <c r="D190" s="17"/>
      <c r="E190" s="17"/>
      <c r="F190" s="17"/>
      <c r="G190" s="17"/>
      <c r="H190" s="16" t="str">
        <f t="shared" si="4"/>
        <v/>
      </c>
      <c r="I190" s="3" t="str">
        <f t="shared" si="5"/>
        <v/>
      </c>
    </row>
    <row r="191" spans="1:9" ht="13" x14ac:dyDescent="0.15">
      <c r="A191" s="17"/>
      <c r="B191" s="17"/>
      <c r="C191" s="18"/>
      <c r="D191" s="17"/>
      <c r="E191" s="17"/>
      <c r="F191" s="17"/>
      <c r="G191" s="17"/>
      <c r="H191" s="16" t="str">
        <f t="shared" si="4"/>
        <v/>
      </c>
      <c r="I191" s="3" t="str">
        <f t="shared" si="5"/>
        <v/>
      </c>
    </row>
    <row r="192" spans="1:9" ht="13" x14ac:dyDescent="0.15">
      <c r="A192" s="17"/>
      <c r="B192" s="17"/>
      <c r="C192" s="18"/>
      <c r="D192" s="17"/>
      <c r="E192" s="17"/>
      <c r="F192" s="17"/>
      <c r="G192" s="17"/>
      <c r="H192" s="16" t="str">
        <f t="shared" si="4"/>
        <v/>
      </c>
      <c r="I192" s="3" t="str">
        <f t="shared" si="5"/>
        <v/>
      </c>
    </row>
    <row r="193" spans="1:9" ht="13" x14ac:dyDescent="0.15">
      <c r="A193" s="17"/>
      <c r="B193" s="17"/>
      <c r="C193" s="18"/>
      <c r="D193" s="17"/>
      <c r="E193" s="17"/>
      <c r="F193" s="17"/>
      <c r="G193" s="17"/>
      <c r="H193" s="16" t="str">
        <f t="shared" si="4"/>
        <v/>
      </c>
      <c r="I193" s="3" t="str">
        <f t="shared" si="5"/>
        <v/>
      </c>
    </row>
    <row r="194" spans="1:9" ht="13" x14ac:dyDescent="0.15">
      <c r="A194" s="17"/>
      <c r="B194" s="17"/>
      <c r="C194" s="18"/>
      <c r="D194" s="17"/>
      <c r="E194" s="17"/>
      <c r="F194" s="17"/>
      <c r="G194" s="17"/>
      <c r="H194" s="16" t="str">
        <f t="shared" ref="H194:H257" si="6">IF(ISBLANK(C194),"",C194*$L$13)</f>
        <v/>
      </c>
      <c r="I194" s="3" t="str">
        <f t="shared" ref="I194:I257" si="7">IF(ISNUMBER(H194),IF(ABS(H194-$L$14)&gt;$M$16,"OUT",""),"")</f>
        <v/>
      </c>
    </row>
    <row r="195" spans="1:9" ht="13" x14ac:dyDescent="0.15">
      <c r="A195" s="17"/>
      <c r="B195" s="17"/>
      <c r="C195" s="18"/>
      <c r="D195" s="17"/>
      <c r="E195" s="17"/>
      <c r="F195" s="17"/>
      <c r="G195" s="17"/>
      <c r="H195" s="16" t="str">
        <f t="shared" si="6"/>
        <v/>
      </c>
      <c r="I195" s="3" t="str">
        <f t="shared" si="7"/>
        <v/>
      </c>
    </row>
    <row r="196" spans="1:9" ht="13" x14ac:dyDescent="0.15">
      <c r="A196" s="17"/>
      <c r="B196" s="17"/>
      <c r="C196" s="18"/>
      <c r="D196" s="17"/>
      <c r="E196" s="17"/>
      <c r="F196" s="17"/>
      <c r="G196" s="17"/>
      <c r="H196" s="16" t="str">
        <f t="shared" si="6"/>
        <v/>
      </c>
      <c r="I196" s="3" t="str">
        <f t="shared" si="7"/>
        <v/>
      </c>
    </row>
    <row r="197" spans="1:9" ht="13" x14ac:dyDescent="0.15">
      <c r="A197" s="17"/>
      <c r="B197" s="17"/>
      <c r="C197" s="18"/>
      <c r="D197" s="17"/>
      <c r="E197" s="17"/>
      <c r="F197" s="17"/>
      <c r="G197" s="17"/>
      <c r="H197" s="16" t="str">
        <f t="shared" si="6"/>
        <v/>
      </c>
      <c r="I197" s="3" t="str">
        <f t="shared" si="7"/>
        <v/>
      </c>
    </row>
    <row r="198" spans="1:9" ht="13" x14ac:dyDescent="0.15">
      <c r="A198" s="17"/>
      <c r="B198" s="17"/>
      <c r="C198" s="18"/>
      <c r="D198" s="17"/>
      <c r="E198" s="17"/>
      <c r="F198" s="17"/>
      <c r="G198" s="17"/>
      <c r="H198" s="16" t="str">
        <f t="shared" si="6"/>
        <v/>
      </c>
      <c r="I198" s="3" t="str">
        <f t="shared" si="7"/>
        <v/>
      </c>
    </row>
    <row r="199" spans="1:9" ht="13" x14ac:dyDescent="0.15">
      <c r="A199" s="17"/>
      <c r="B199" s="17"/>
      <c r="C199" s="18"/>
      <c r="D199" s="17"/>
      <c r="E199" s="17"/>
      <c r="F199" s="17"/>
      <c r="G199" s="17"/>
      <c r="H199" s="16" t="str">
        <f t="shared" si="6"/>
        <v/>
      </c>
      <c r="I199" s="3" t="str">
        <f t="shared" si="7"/>
        <v/>
      </c>
    </row>
    <row r="200" spans="1:9" ht="13" x14ac:dyDescent="0.15">
      <c r="A200" s="17"/>
      <c r="B200" s="17"/>
      <c r="C200" s="18"/>
      <c r="D200" s="17"/>
      <c r="E200" s="17"/>
      <c r="F200" s="17"/>
      <c r="G200" s="17"/>
      <c r="H200" s="16" t="str">
        <f t="shared" si="6"/>
        <v/>
      </c>
      <c r="I200" s="3" t="str">
        <f t="shared" si="7"/>
        <v/>
      </c>
    </row>
    <row r="201" spans="1:9" ht="13" x14ac:dyDescent="0.15">
      <c r="A201" s="17"/>
      <c r="B201" s="17"/>
      <c r="C201" s="18"/>
      <c r="D201" s="17"/>
      <c r="E201" s="17"/>
      <c r="F201" s="17"/>
      <c r="G201" s="17"/>
      <c r="H201" s="16" t="str">
        <f t="shared" si="6"/>
        <v/>
      </c>
      <c r="I201" s="3" t="str">
        <f t="shared" si="7"/>
        <v/>
      </c>
    </row>
    <row r="202" spans="1:9" ht="13" x14ac:dyDescent="0.15">
      <c r="A202" s="17"/>
      <c r="B202" s="17"/>
      <c r="C202" s="18"/>
      <c r="D202" s="17"/>
      <c r="E202" s="17"/>
      <c r="F202" s="17"/>
      <c r="G202" s="17"/>
      <c r="H202" s="16" t="str">
        <f t="shared" si="6"/>
        <v/>
      </c>
      <c r="I202" s="3" t="str">
        <f t="shared" si="7"/>
        <v/>
      </c>
    </row>
    <row r="203" spans="1:9" ht="13" x14ac:dyDescent="0.15">
      <c r="A203" s="17"/>
      <c r="B203" s="17"/>
      <c r="C203" s="18"/>
      <c r="D203" s="17"/>
      <c r="E203" s="17"/>
      <c r="F203" s="17"/>
      <c r="G203" s="17"/>
      <c r="H203" s="16" t="str">
        <f t="shared" si="6"/>
        <v/>
      </c>
      <c r="I203" s="3" t="str">
        <f t="shared" si="7"/>
        <v/>
      </c>
    </row>
    <row r="204" spans="1:9" ht="13" x14ac:dyDescent="0.15">
      <c r="A204" s="17"/>
      <c r="B204" s="17"/>
      <c r="C204" s="18"/>
      <c r="D204" s="17"/>
      <c r="E204" s="17"/>
      <c r="F204" s="17"/>
      <c r="G204" s="17"/>
      <c r="H204" s="16" t="str">
        <f t="shared" si="6"/>
        <v/>
      </c>
      <c r="I204" s="3" t="str">
        <f t="shared" si="7"/>
        <v/>
      </c>
    </row>
    <row r="205" spans="1:9" ht="13" x14ac:dyDescent="0.15">
      <c r="A205" s="17"/>
      <c r="B205" s="17"/>
      <c r="C205" s="18"/>
      <c r="D205" s="17"/>
      <c r="E205" s="17"/>
      <c r="F205" s="17"/>
      <c r="G205" s="17"/>
      <c r="H205" s="16" t="str">
        <f t="shared" si="6"/>
        <v/>
      </c>
      <c r="I205" s="3" t="str">
        <f t="shared" si="7"/>
        <v/>
      </c>
    </row>
    <row r="206" spans="1:9" ht="13" x14ac:dyDescent="0.15">
      <c r="A206" s="17"/>
      <c r="B206" s="17"/>
      <c r="C206" s="18"/>
      <c r="D206" s="17"/>
      <c r="E206" s="17"/>
      <c r="F206" s="17"/>
      <c r="G206" s="17"/>
      <c r="H206" s="16" t="str">
        <f t="shared" si="6"/>
        <v/>
      </c>
      <c r="I206" s="3" t="str">
        <f t="shared" si="7"/>
        <v/>
      </c>
    </row>
    <row r="207" spans="1:9" ht="13" x14ac:dyDescent="0.15">
      <c r="A207" s="17"/>
      <c r="B207" s="17"/>
      <c r="C207" s="18"/>
      <c r="D207" s="17"/>
      <c r="E207" s="17"/>
      <c r="F207" s="17"/>
      <c r="G207" s="17"/>
      <c r="H207" s="16" t="str">
        <f t="shared" si="6"/>
        <v/>
      </c>
      <c r="I207" s="3" t="str">
        <f t="shared" si="7"/>
        <v/>
      </c>
    </row>
    <row r="208" spans="1:9" ht="13" x14ac:dyDescent="0.15">
      <c r="A208" s="17"/>
      <c r="B208" s="17"/>
      <c r="C208" s="18"/>
      <c r="D208" s="17"/>
      <c r="E208" s="17"/>
      <c r="F208" s="17"/>
      <c r="G208" s="17"/>
      <c r="H208" s="16" t="str">
        <f t="shared" si="6"/>
        <v/>
      </c>
      <c r="I208" s="3" t="str">
        <f t="shared" si="7"/>
        <v/>
      </c>
    </row>
    <row r="209" spans="1:9" ht="13" x14ac:dyDescent="0.15">
      <c r="A209" s="17"/>
      <c r="B209" s="17"/>
      <c r="C209" s="18"/>
      <c r="D209" s="17"/>
      <c r="E209" s="17"/>
      <c r="F209" s="17"/>
      <c r="G209" s="17"/>
      <c r="H209" s="16" t="str">
        <f t="shared" si="6"/>
        <v/>
      </c>
      <c r="I209" s="3" t="str">
        <f t="shared" si="7"/>
        <v/>
      </c>
    </row>
    <row r="210" spans="1:9" ht="13" x14ac:dyDescent="0.15">
      <c r="A210" s="17"/>
      <c r="B210" s="17"/>
      <c r="C210" s="18"/>
      <c r="D210" s="17"/>
      <c r="E210" s="17"/>
      <c r="F210" s="17"/>
      <c r="G210" s="17"/>
      <c r="H210" s="16" t="str">
        <f t="shared" si="6"/>
        <v/>
      </c>
      <c r="I210" s="3" t="str">
        <f t="shared" si="7"/>
        <v/>
      </c>
    </row>
    <row r="211" spans="1:9" ht="13" x14ac:dyDescent="0.15">
      <c r="A211" s="17"/>
      <c r="B211" s="17"/>
      <c r="C211" s="18"/>
      <c r="D211" s="17"/>
      <c r="E211" s="17"/>
      <c r="F211" s="17"/>
      <c r="G211" s="17"/>
      <c r="H211" s="16" t="str">
        <f t="shared" si="6"/>
        <v/>
      </c>
      <c r="I211" s="3" t="str">
        <f t="shared" si="7"/>
        <v/>
      </c>
    </row>
    <row r="212" spans="1:9" ht="13" x14ac:dyDescent="0.15">
      <c r="A212" s="17"/>
      <c r="B212" s="17"/>
      <c r="C212" s="18"/>
      <c r="D212" s="17"/>
      <c r="E212" s="17"/>
      <c r="F212" s="17"/>
      <c r="G212" s="17"/>
      <c r="H212" s="16" t="str">
        <f t="shared" si="6"/>
        <v/>
      </c>
      <c r="I212" s="3" t="str">
        <f t="shared" si="7"/>
        <v/>
      </c>
    </row>
    <row r="213" spans="1:9" ht="13" x14ac:dyDescent="0.15">
      <c r="A213" s="17"/>
      <c r="B213" s="17"/>
      <c r="C213" s="18"/>
      <c r="D213" s="17"/>
      <c r="E213" s="17"/>
      <c r="F213" s="17"/>
      <c r="G213" s="17"/>
      <c r="H213" s="16" t="str">
        <f t="shared" si="6"/>
        <v/>
      </c>
      <c r="I213" s="3" t="str">
        <f t="shared" si="7"/>
        <v/>
      </c>
    </row>
    <row r="214" spans="1:9" ht="13" x14ac:dyDescent="0.15">
      <c r="A214" s="17"/>
      <c r="B214" s="17"/>
      <c r="C214" s="18"/>
      <c r="D214" s="17"/>
      <c r="E214" s="17"/>
      <c r="F214" s="17"/>
      <c r="G214" s="17"/>
      <c r="H214" s="16" t="str">
        <f t="shared" si="6"/>
        <v/>
      </c>
      <c r="I214" s="3" t="str">
        <f t="shared" si="7"/>
        <v/>
      </c>
    </row>
    <row r="215" spans="1:9" ht="13" x14ac:dyDescent="0.15">
      <c r="A215" s="17"/>
      <c r="B215" s="17"/>
      <c r="C215" s="18"/>
      <c r="D215" s="17"/>
      <c r="E215" s="17"/>
      <c r="F215" s="17"/>
      <c r="G215" s="17"/>
      <c r="H215" s="16" t="str">
        <f t="shared" si="6"/>
        <v/>
      </c>
      <c r="I215" s="3" t="str">
        <f t="shared" si="7"/>
        <v/>
      </c>
    </row>
    <row r="216" spans="1:9" ht="13" x14ac:dyDescent="0.15">
      <c r="A216" s="17"/>
      <c r="B216" s="17"/>
      <c r="C216" s="18"/>
      <c r="D216" s="17"/>
      <c r="E216" s="17"/>
      <c r="F216" s="17"/>
      <c r="G216" s="17"/>
      <c r="H216" s="16" t="str">
        <f t="shared" si="6"/>
        <v/>
      </c>
      <c r="I216" s="3" t="str">
        <f t="shared" si="7"/>
        <v/>
      </c>
    </row>
    <row r="217" spans="1:9" ht="13" x14ac:dyDescent="0.15">
      <c r="A217" s="17"/>
      <c r="B217" s="17"/>
      <c r="C217" s="18"/>
      <c r="D217" s="17"/>
      <c r="E217" s="17"/>
      <c r="F217" s="17"/>
      <c r="G217" s="17"/>
      <c r="H217" s="16" t="str">
        <f t="shared" si="6"/>
        <v/>
      </c>
      <c r="I217" s="3" t="str">
        <f t="shared" si="7"/>
        <v/>
      </c>
    </row>
    <row r="218" spans="1:9" ht="13" x14ac:dyDescent="0.15">
      <c r="A218" s="17"/>
      <c r="B218" s="17"/>
      <c r="C218" s="18"/>
      <c r="D218" s="17"/>
      <c r="E218" s="17"/>
      <c r="F218" s="17"/>
      <c r="G218" s="17"/>
      <c r="H218" s="16" t="str">
        <f t="shared" si="6"/>
        <v/>
      </c>
      <c r="I218" s="3" t="str">
        <f t="shared" si="7"/>
        <v/>
      </c>
    </row>
    <row r="219" spans="1:9" ht="13" x14ac:dyDescent="0.15">
      <c r="A219" s="17"/>
      <c r="B219" s="17"/>
      <c r="C219" s="18"/>
      <c r="D219" s="17"/>
      <c r="E219" s="17"/>
      <c r="F219" s="17"/>
      <c r="G219" s="17"/>
      <c r="H219" s="16" t="str">
        <f t="shared" si="6"/>
        <v/>
      </c>
      <c r="I219" s="3" t="str">
        <f t="shared" si="7"/>
        <v/>
      </c>
    </row>
    <row r="220" spans="1:9" ht="13" x14ac:dyDescent="0.15">
      <c r="A220" s="17"/>
      <c r="B220" s="17"/>
      <c r="C220" s="18"/>
      <c r="D220" s="17"/>
      <c r="E220" s="17"/>
      <c r="F220" s="17"/>
      <c r="G220" s="17"/>
      <c r="H220" s="16" t="str">
        <f t="shared" si="6"/>
        <v/>
      </c>
      <c r="I220" s="3" t="str">
        <f t="shared" si="7"/>
        <v/>
      </c>
    </row>
    <row r="221" spans="1:9" ht="13" x14ac:dyDescent="0.15">
      <c r="A221" s="17"/>
      <c r="B221" s="17"/>
      <c r="C221" s="18"/>
      <c r="D221" s="17"/>
      <c r="E221" s="17"/>
      <c r="F221" s="17"/>
      <c r="G221" s="17"/>
      <c r="H221" s="16" t="str">
        <f t="shared" si="6"/>
        <v/>
      </c>
      <c r="I221" s="3" t="str">
        <f t="shared" si="7"/>
        <v/>
      </c>
    </row>
    <row r="222" spans="1:9" ht="13" x14ac:dyDescent="0.15">
      <c r="A222" s="17"/>
      <c r="B222" s="17"/>
      <c r="C222" s="18"/>
      <c r="D222" s="17"/>
      <c r="E222" s="17"/>
      <c r="F222" s="17"/>
      <c r="G222" s="17"/>
      <c r="H222" s="16" t="str">
        <f t="shared" si="6"/>
        <v/>
      </c>
      <c r="I222" s="3" t="str">
        <f t="shared" si="7"/>
        <v/>
      </c>
    </row>
    <row r="223" spans="1:9" ht="13" x14ac:dyDescent="0.15">
      <c r="A223" s="17"/>
      <c r="B223" s="17"/>
      <c r="C223" s="18"/>
      <c r="D223" s="17"/>
      <c r="E223" s="17"/>
      <c r="F223" s="17"/>
      <c r="G223" s="17"/>
      <c r="H223" s="16" t="str">
        <f t="shared" si="6"/>
        <v/>
      </c>
      <c r="I223" s="3" t="str">
        <f t="shared" si="7"/>
        <v/>
      </c>
    </row>
    <row r="224" spans="1:9" ht="13" x14ac:dyDescent="0.15">
      <c r="A224" s="17"/>
      <c r="B224" s="17"/>
      <c r="C224" s="18"/>
      <c r="D224" s="17"/>
      <c r="E224" s="17"/>
      <c r="F224" s="17"/>
      <c r="G224" s="17"/>
      <c r="H224" s="16" t="str">
        <f t="shared" si="6"/>
        <v/>
      </c>
      <c r="I224" s="3" t="str">
        <f t="shared" si="7"/>
        <v/>
      </c>
    </row>
    <row r="225" spans="1:9" ht="13" x14ac:dyDescent="0.15">
      <c r="A225" s="17"/>
      <c r="B225" s="17"/>
      <c r="C225" s="18"/>
      <c r="D225" s="17"/>
      <c r="E225" s="17"/>
      <c r="F225" s="17"/>
      <c r="G225" s="17"/>
      <c r="H225" s="16" t="str">
        <f t="shared" si="6"/>
        <v/>
      </c>
      <c r="I225" s="3" t="str">
        <f t="shared" si="7"/>
        <v/>
      </c>
    </row>
    <row r="226" spans="1:9" ht="13" x14ac:dyDescent="0.15">
      <c r="A226" s="17"/>
      <c r="B226" s="17"/>
      <c r="C226" s="18"/>
      <c r="D226" s="17"/>
      <c r="E226" s="17"/>
      <c r="F226" s="17"/>
      <c r="G226" s="17"/>
      <c r="H226" s="16" t="str">
        <f t="shared" si="6"/>
        <v/>
      </c>
      <c r="I226" s="3" t="str">
        <f t="shared" si="7"/>
        <v/>
      </c>
    </row>
    <row r="227" spans="1:9" ht="13" x14ac:dyDescent="0.15">
      <c r="A227" s="17"/>
      <c r="B227" s="17"/>
      <c r="C227" s="18"/>
      <c r="D227" s="17"/>
      <c r="E227" s="17"/>
      <c r="F227" s="17"/>
      <c r="G227" s="17"/>
      <c r="H227" s="16" t="str">
        <f t="shared" si="6"/>
        <v/>
      </c>
      <c r="I227" s="3" t="str">
        <f t="shared" si="7"/>
        <v/>
      </c>
    </row>
    <row r="228" spans="1:9" ht="13" x14ac:dyDescent="0.15">
      <c r="A228" s="17"/>
      <c r="B228" s="17"/>
      <c r="C228" s="18"/>
      <c r="D228" s="17"/>
      <c r="E228" s="17"/>
      <c r="F228" s="17"/>
      <c r="G228" s="17"/>
      <c r="H228" s="16" t="str">
        <f t="shared" si="6"/>
        <v/>
      </c>
      <c r="I228" s="3" t="str">
        <f t="shared" si="7"/>
        <v/>
      </c>
    </row>
    <row r="229" spans="1:9" ht="13" x14ac:dyDescent="0.15">
      <c r="A229" s="17"/>
      <c r="B229" s="17"/>
      <c r="C229" s="18"/>
      <c r="D229" s="17"/>
      <c r="E229" s="17"/>
      <c r="F229" s="17"/>
      <c r="G229" s="17"/>
      <c r="H229" s="16" t="str">
        <f t="shared" si="6"/>
        <v/>
      </c>
      <c r="I229" s="3" t="str">
        <f t="shared" si="7"/>
        <v/>
      </c>
    </row>
    <row r="230" spans="1:9" ht="13" x14ac:dyDescent="0.15">
      <c r="A230" s="17"/>
      <c r="B230" s="17"/>
      <c r="C230" s="18"/>
      <c r="D230" s="17"/>
      <c r="E230" s="17"/>
      <c r="F230" s="17"/>
      <c r="G230" s="17"/>
      <c r="H230" s="16" t="str">
        <f t="shared" si="6"/>
        <v/>
      </c>
      <c r="I230" s="3" t="str">
        <f t="shared" si="7"/>
        <v/>
      </c>
    </row>
    <row r="231" spans="1:9" ht="13" x14ac:dyDescent="0.15">
      <c r="A231" s="17"/>
      <c r="B231" s="17"/>
      <c r="C231" s="18"/>
      <c r="D231" s="17"/>
      <c r="E231" s="17"/>
      <c r="F231" s="17"/>
      <c r="G231" s="17"/>
      <c r="H231" s="16" t="str">
        <f t="shared" si="6"/>
        <v/>
      </c>
      <c r="I231" s="3" t="str">
        <f t="shared" si="7"/>
        <v/>
      </c>
    </row>
    <row r="232" spans="1:9" ht="13" x14ac:dyDescent="0.15">
      <c r="A232" s="17"/>
      <c r="B232" s="17"/>
      <c r="C232" s="18"/>
      <c r="D232" s="17"/>
      <c r="E232" s="17"/>
      <c r="F232" s="17"/>
      <c r="G232" s="17"/>
      <c r="H232" s="16" t="str">
        <f t="shared" si="6"/>
        <v/>
      </c>
      <c r="I232" s="3" t="str">
        <f t="shared" si="7"/>
        <v/>
      </c>
    </row>
    <row r="233" spans="1:9" ht="13" x14ac:dyDescent="0.15">
      <c r="A233" s="17"/>
      <c r="B233" s="17"/>
      <c r="C233" s="18"/>
      <c r="D233" s="17"/>
      <c r="E233" s="17"/>
      <c r="F233" s="17"/>
      <c r="G233" s="17"/>
      <c r="H233" s="16" t="str">
        <f t="shared" si="6"/>
        <v/>
      </c>
      <c r="I233" s="3" t="str">
        <f t="shared" si="7"/>
        <v/>
      </c>
    </row>
    <row r="234" spans="1:9" ht="13" x14ac:dyDescent="0.15">
      <c r="A234" s="17"/>
      <c r="B234" s="17"/>
      <c r="C234" s="18"/>
      <c r="D234" s="17"/>
      <c r="E234" s="17"/>
      <c r="F234" s="17"/>
      <c r="G234" s="17"/>
      <c r="H234" s="16" t="str">
        <f t="shared" si="6"/>
        <v/>
      </c>
      <c r="I234" s="3" t="str">
        <f t="shared" si="7"/>
        <v/>
      </c>
    </row>
    <row r="235" spans="1:9" ht="13" x14ac:dyDescent="0.15">
      <c r="A235" s="17"/>
      <c r="B235" s="17"/>
      <c r="C235" s="18"/>
      <c r="D235" s="17"/>
      <c r="E235" s="17"/>
      <c r="F235" s="17"/>
      <c r="G235" s="17"/>
      <c r="H235" s="16" t="str">
        <f t="shared" si="6"/>
        <v/>
      </c>
      <c r="I235" s="3" t="str">
        <f t="shared" si="7"/>
        <v/>
      </c>
    </row>
    <row r="236" spans="1:9" ht="13" x14ac:dyDescent="0.15">
      <c r="A236" s="17"/>
      <c r="B236" s="17"/>
      <c r="C236" s="18"/>
      <c r="D236" s="17"/>
      <c r="E236" s="17"/>
      <c r="F236" s="17"/>
      <c r="G236" s="17"/>
      <c r="H236" s="16" t="str">
        <f t="shared" si="6"/>
        <v/>
      </c>
      <c r="I236" s="3" t="str">
        <f t="shared" si="7"/>
        <v/>
      </c>
    </row>
    <row r="237" spans="1:9" ht="13" x14ac:dyDescent="0.15">
      <c r="A237" s="17"/>
      <c r="B237" s="17"/>
      <c r="C237" s="18"/>
      <c r="D237" s="17"/>
      <c r="E237" s="17"/>
      <c r="F237" s="17"/>
      <c r="G237" s="17"/>
      <c r="H237" s="16" t="str">
        <f t="shared" si="6"/>
        <v/>
      </c>
      <c r="I237" s="3" t="str">
        <f t="shared" si="7"/>
        <v/>
      </c>
    </row>
    <row r="238" spans="1:9" ht="13" x14ac:dyDescent="0.15">
      <c r="A238" s="17"/>
      <c r="B238" s="17"/>
      <c r="C238" s="18"/>
      <c r="D238" s="17"/>
      <c r="E238" s="17"/>
      <c r="F238" s="17"/>
      <c r="G238" s="17"/>
      <c r="H238" s="16" t="str">
        <f t="shared" si="6"/>
        <v/>
      </c>
      <c r="I238" s="3" t="str">
        <f t="shared" si="7"/>
        <v/>
      </c>
    </row>
    <row r="239" spans="1:9" ht="13" x14ac:dyDescent="0.15">
      <c r="A239" s="17"/>
      <c r="B239" s="17"/>
      <c r="C239" s="18"/>
      <c r="D239" s="17"/>
      <c r="E239" s="17"/>
      <c r="F239" s="17"/>
      <c r="G239" s="17"/>
      <c r="H239" s="16" t="str">
        <f t="shared" si="6"/>
        <v/>
      </c>
      <c r="I239" s="3" t="str">
        <f t="shared" si="7"/>
        <v/>
      </c>
    </row>
    <row r="240" spans="1:9" ht="13" x14ac:dyDescent="0.15">
      <c r="A240" s="17"/>
      <c r="B240" s="17"/>
      <c r="C240" s="18"/>
      <c r="D240" s="17"/>
      <c r="E240" s="17"/>
      <c r="F240" s="17"/>
      <c r="G240" s="17"/>
      <c r="H240" s="16" t="str">
        <f t="shared" si="6"/>
        <v/>
      </c>
      <c r="I240" s="3" t="str">
        <f t="shared" si="7"/>
        <v/>
      </c>
    </row>
    <row r="241" spans="1:9" ht="13" x14ac:dyDescent="0.15">
      <c r="A241" s="17"/>
      <c r="B241" s="17"/>
      <c r="C241" s="18"/>
      <c r="D241" s="17"/>
      <c r="E241" s="17"/>
      <c r="F241" s="17"/>
      <c r="G241" s="17"/>
      <c r="H241" s="16" t="str">
        <f t="shared" si="6"/>
        <v/>
      </c>
      <c r="I241" s="3" t="str">
        <f t="shared" si="7"/>
        <v/>
      </c>
    </row>
    <row r="242" spans="1:9" ht="13" x14ac:dyDescent="0.15">
      <c r="A242" s="17"/>
      <c r="B242" s="17"/>
      <c r="C242" s="18"/>
      <c r="D242" s="17"/>
      <c r="E242" s="17"/>
      <c r="F242" s="17"/>
      <c r="G242" s="17"/>
      <c r="H242" s="16" t="str">
        <f t="shared" si="6"/>
        <v/>
      </c>
      <c r="I242" s="3" t="str">
        <f t="shared" si="7"/>
        <v/>
      </c>
    </row>
    <row r="243" spans="1:9" ht="13" x14ac:dyDescent="0.15">
      <c r="A243" s="17"/>
      <c r="B243" s="17"/>
      <c r="C243" s="18"/>
      <c r="D243" s="17"/>
      <c r="E243" s="17"/>
      <c r="F243" s="17"/>
      <c r="G243" s="17"/>
      <c r="H243" s="16" t="str">
        <f t="shared" si="6"/>
        <v/>
      </c>
      <c r="I243" s="3" t="str">
        <f t="shared" si="7"/>
        <v/>
      </c>
    </row>
    <row r="244" spans="1:9" ht="13" x14ac:dyDescent="0.15">
      <c r="A244" s="17"/>
      <c r="B244" s="17"/>
      <c r="C244" s="18"/>
      <c r="D244" s="17"/>
      <c r="E244" s="17"/>
      <c r="F244" s="17"/>
      <c r="G244" s="17"/>
      <c r="H244" s="16" t="str">
        <f t="shared" si="6"/>
        <v/>
      </c>
      <c r="I244" s="3" t="str">
        <f t="shared" si="7"/>
        <v/>
      </c>
    </row>
    <row r="245" spans="1:9" ht="13" x14ac:dyDescent="0.15">
      <c r="A245" s="17"/>
      <c r="B245" s="17"/>
      <c r="C245" s="18"/>
      <c r="D245" s="17"/>
      <c r="E245" s="17"/>
      <c r="F245" s="17"/>
      <c r="G245" s="17"/>
      <c r="H245" s="16" t="str">
        <f t="shared" si="6"/>
        <v/>
      </c>
      <c r="I245" s="3" t="str">
        <f t="shared" si="7"/>
        <v/>
      </c>
    </row>
    <row r="246" spans="1:9" ht="13" x14ac:dyDescent="0.15">
      <c r="A246" s="17"/>
      <c r="B246" s="17"/>
      <c r="C246" s="18"/>
      <c r="D246" s="17"/>
      <c r="E246" s="17"/>
      <c r="F246" s="17"/>
      <c r="G246" s="17"/>
      <c r="H246" s="16" t="str">
        <f t="shared" si="6"/>
        <v/>
      </c>
      <c r="I246" s="3" t="str">
        <f t="shared" si="7"/>
        <v/>
      </c>
    </row>
    <row r="247" spans="1:9" ht="13" x14ac:dyDescent="0.15">
      <c r="A247" s="17"/>
      <c r="B247" s="17"/>
      <c r="C247" s="18"/>
      <c r="D247" s="17"/>
      <c r="E247" s="17"/>
      <c r="F247" s="17"/>
      <c r="G247" s="17"/>
      <c r="H247" s="16" t="str">
        <f t="shared" si="6"/>
        <v/>
      </c>
      <c r="I247" s="3" t="str">
        <f t="shared" si="7"/>
        <v/>
      </c>
    </row>
    <row r="248" spans="1:9" ht="13" x14ac:dyDescent="0.15">
      <c r="A248" s="17"/>
      <c r="B248" s="17"/>
      <c r="C248" s="18"/>
      <c r="D248" s="17"/>
      <c r="E248" s="17"/>
      <c r="F248" s="17"/>
      <c r="G248" s="17"/>
      <c r="H248" s="16" t="str">
        <f t="shared" si="6"/>
        <v/>
      </c>
      <c r="I248" s="3" t="str">
        <f t="shared" si="7"/>
        <v/>
      </c>
    </row>
    <row r="249" spans="1:9" ht="13" x14ac:dyDescent="0.15">
      <c r="A249" s="17"/>
      <c r="B249" s="17"/>
      <c r="C249" s="18"/>
      <c r="D249" s="17"/>
      <c r="E249" s="17"/>
      <c r="F249" s="17"/>
      <c r="G249" s="17"/>
      <c r="H249" s="16" t="str">
        <f t="shared" si="6"/>
        <v/>
      </c>
      <c r="I249" s="3" t="str">
        <f t="shared" si="7"/>
        <v/>
      </c>
    </row>
    <row r="250" spans="1:9" ht="13" x14ac:dyDescent="0.15">
      <c r="A250" s="17"/>
      <c r="B250" s="17"/>
      <c r="C250" s="18"/>
      <c r="D250" s="17"/>
      <c r="E250" s="17"/>
      <c r="F250" s="17"/>
      <c r="G250" s="17"/>
      <c r="H250" s="16" t="str">
        <f t="shared" si="6"/>
        <v/>
      </c>
      <c r="I250" s="3" t="str">
        <f t="shared" si="7"/>
        <v/>
      </c>
    </row>
    <row r="251" spans="1:9" ht="13" x14ac:dyDescent="0.15">
      <c r="A251" s="17"/>
      <c r="B251" s="17"/>
      <c r="C251" s="18"/>
      <c r="D251" s="17"/>
      <c r="E251" s="17"/>
      <c r="F251" s="17"/>
      <c r="G251" s="17"/>
      <c r="H251" s="16" t="str">
        <f t="shared" si="6"/>
        <v/>
      </c>
      <c r="I251" s="3" t="str">
        <f t="shared" si="7"/>
        <v/>
      </c>
    </row>
    <row r="252" spans="1:9" ht="13" x14ac:dyDescent="0.15">
      <c r="A252" s="17"/>
      <c r="B252" s="17"/>
      <c r="C252" s="18"/>
      <c r="D252" s="17"/>
      <c r="E252" s="17"/>
      <c r="F252" s="17"/>
      <c r="G252" s="17"/>
      <c r="H252" s="16" t="str">
        <f t="shared" si="6"/>
        <v/>
      </c>
      <c r="I252" s="3" t="str">
        <f t="shared" si="7"/>
        <v/>
      </c>
    </row>
    <row r="253" spans="1:9" ht="13" x14ac:dyDescent="0.15">
      <c r="A253" s="17"/>
      <c r="B253" s="17"/>
      <c r="C253" s="18"/>
      <c r="D253" s="17"/>
      <c r="E253" s="17"/>
      <c r="F253" s="17"/>
      <c r="G253" s="17"/>
      <c r="H253" s="16" t="str">
        <f t="shared" si="6"/>
        <v/>
      </c>
      <c r="I253" s="3" t="str">
        <f t="shared" si="7"/>
        <v/>
      </c>
    </row>
    <row r="254" spans="1:9" ht="13" x14ac:dyDescent="0.15">
      <c r="A254" s="17"/>
      <c r="B254" s="17"/>
      <c r="C254" s="18"/>
      <c r="D254" s="17"/>
      <c r="E254" s="17"/>
      <c r="F254" s="17"/>
      <c r="G254" s="17"/>
      <c r="H254" s="16" t="str">
        <f t="shared" si="6"/>
        <v/>
      </c>
      <c r="I254" s="3" t="str">
        <f t="shared" si="7"/>
        <v/>
      </c>
    </row>
    <row r="255" spans="1:9" ht="13" x14ac:dyDescent="0.15">
      <c r="A255" s="17"/>
      <c r="B255" s="17"/>
      <c r="C255" s="18"/>
      <c r="D255" s="17"/>
      <c r="E255" s="17"/>
      <c r="F255" s="17"/>
      <c r="G255" s="17"/>
      <c r="H255" s="16" t="str">
        <f t="shared" si="6"/>
        <v/>
      </c>
      <c r="I255" s="3" t="str">
        <f t="shared" si="7"/>
        <v/>
      </c>
    </row>
    <row r="256" spans="1:9" ht="13" x14ac:dyDescent="0.15">
      <c r="A256" s="17"/>
      <c r="B256" s="17"/>
      <c r="C256" s="18"/>
      <c r="D256" s="17"/>
      <c r="E256" s="17"/>
      <c r="F256" s="17"/>
      <c r="G256" s="17"/>
      <c r="H256" s="16" t="str">
        <f t="shared" si="6"/>
        <v/>
      </c>
      <c r="I256" s="3" t="str">
        <f t="shared" si="7"/>
        <v/>
      </c>
    </row>
    <row r="257" spans="1:9" ht="13" x14ac:dyDescent="0.15">
      <c r="A257" s="17"/>
      <c r="B257" s="17"/>
      <c r="C257" s="18"/>
      <c r="D257" s="17"/>
      <c r="E257" s="17"/>
      <c r="F257" s="17"/>
      <c r="G257" s="17"/>
      <c r="H257" s="16" t="str">
        <f t="shared" si="6"/>
        <v/>
      </c>
      <c r="I257" s="3" t="str">
        <f t="shared" si="7"/>
        <v/>
      </c>
    </row>
    <row r="258" spans="1:9" ht="13" x14ac:dyDescent="0.15">
      <c r="A258" s="17"/>
      <c r="B258" s="17"/>
      <c r="C258" s="18"/>
      <c r="D258" s="17"/>
      <c r="E258" s="17"/>
      <c r="F258" s="17"/>
      <c r="G258" s="17"/>
      <c r="H258" s="16" t="str">
        <f t="shared" ref="H258:H321" si="8">IF(ISBLANK(C258),"",C258*$L$13)</f>
        <v/>
      </c>
      <c r="I258" s="3" t="str">
        <f t="shared" ref="I258:I321" si="9">IF(ISNUMBER(H258),IF(ABS(H258-$L$14)&gt;$M$16,"OUT",""),"")</f>
        <v/>
      </c>
    </row>
    <row r="259" spans="1:9" ht="13" x14ac:dyDescent="0.15">
      <c r="A259" s="17"/>
      <c r="B259" s="17"/>
      <c r="C259" s="18"/>
      <c r="D259" s="17"/>
      <c r="E259" s="17"/>
      <c r="F259" s="17"/>
      <c r="G259" s="17"/>
      <c r="H259" s="16" t="str">
        <f t="shared" si="8"/>
        <v/>
      </c>
      <c r="I259" s="3" t="str">
        <f t="shared" si="9"/>
        <v/>
      </c>
    </row>
    <row r="260" spans="1:9" ht="13" x14ac:dyDescent="0.15">
      <c r="A260" s="17"/>
      <c r="B260" s="17"/>
      <c r="C260" s="18"/>
      <c r="D260" s="17"/>
      <c r="E260" s="17"/>
      <c r="F260" s="17"/>
      <c r="G260" s="17"/>
      <c r="H260" s="16" t="str">
        <f t="shared" si="8"/>
        <v/>
      </c>
      <c r="I260" s="3" t="str">
        <f t="shared" si="9"/>
        <v/>
      </c>
    </row>
    <row r="261" spans="1:9" ht="13" x14ac:dyDescent="0.15">
      <c r="A261" s="17"/>
      <c r="B261" s="17"/>
      <c r="C261" s="18"/>
      <c r="D261" s="17"/>
      <c r="E261" s="17"/>
      <c r="F261" s="17"/>
      <c r="G261" s="17"/>
      <c r="H261" s="16" t="str">
        <f t="shared" si="8"/>
        <v/>
      </c>
      <c r="I261" s="3" t="str">
        <f t="shared" si="9"/>
        <v/>
      </c>
    </row>
    <row r="262" spans="1:9" ht="13" x14ac:dyDescent="0.15">
      <c r="A262" s="17"/>
      <c r="B262" s="17"/>
      <c r="C262" s="18"/>
      <c r="D262" s="17"/>
      <c r="E262" s="17"/>
      <c r="F262" s="17"/>
      <c r="G262" s="17"/>
      <c r="H262" s="16" t="str">
        <f t="shared" si="8"/>
        <v/>
      </c>
      <c r="I262" s="3" t="str">
        <f t="shared" si="9"/>
        <v/>
      </c>
    </row>
    <row r="263" spans="1:9" ht="13" x14ac:dyDescent="0.15">
      <c r="A263" s="17"/>
      <c r="B263" s="17"/>
      <c r="C263" s="18"/>
      <c r="D263" s="17"/>
      <c r="E263" s="17"/>
      <c r="F263" s="17"/>
      <c r="G263" s="17"/>
      <c r="H263" s="16" t="str">
        <f t="shared" si="8"/>
        <v/>
      </c>
      <c r="I263" s="3" t="str">
        <f t="shared" si="9"/>
        <v/>
      </c>
    </row>
    <row r="264" spans="1:9" ht="13" x14ac:dyDescent="0.15">
      <c r="A264" s="17"/>
      <c r="B264" s="17"/>
      <c r="C264" s="18"/>
      <c r="D264" s="17"/>
      <c r="E264" s="17"/>
      <c r="F264" s="17"/>
      <c r="G264" s="17"/>
      <c r="H264" s="16" t="str">
        <f t="shared" si="8"/>
        <v/>
      </c>
      <c r="I264" s="3" t="str">
        <f t="shared" si="9"/>
        <v/>
      </c>
    </row>
    <row r="265" spans="1:9" ht="13" x14ac:dyDescent="0.15">
      <c r="A265" s="17"/>
      <c r="B265" s="17"/>
      <c r="C265" s="18"/>
      <c r="D265" s="17"/>
      <c r="E265" s="17"/>
      <c r="F265" s="17"/>
      <c r="G265" s="17"/>
      <c r="H265" s="16" t="str">
        <f t="shared" si="8"/>
        <v/>
      </c>
      <c r="I265" s="3" t="str">
        <f t="shared" si="9"/>
        <v/>
      </c>
    </row>
    <row r="266" spans="1:9" ht="13" x14ac:dyDescent="0.15">
      <c r="A266" s="17"/>
      <c r="B266" s="17"/>
      <c r="C266" s="18"/>
      <c r="D266" s="17"/>
      <c r="E266" s="17"/>
      <c r="F266" s="17"/>
      <c r="G266" s="17"/>
      <c r="H266" s="16" t="str">
        <f t="shared" si="8"/>
        <v/>
      </c>
      <c r="I266" s="3" t="str">
        <f t="shared" si="9"/>
        <v/>
      </c>
    </row>
    <row r="267" spans="1:9" ht="13" x14ac:dyDescent="0.15">
      <c r="A267" s="17"/>
      <c r="B267" s="17"/>
      <c r="C267" s="18"/>
      <c r="D267" s="17"/>
      <c r="E267" s="17"/>
      <c r="F267" s="17"/>
      <c r="G267" s="17"/>
      <c r="H267" s="16" t="str">
        <f t="shared" si="8"/>
        <v/>
      </c>
      <c r="I267" s="3" t="str">
        <f t="shared" si="9"/>
        <v/>
      </c>
    </row>
    <row r="268" spans="1:9" ht="13" x14ac:dyDescent="0.15">
      <c r="A268" s="17"/>
      <c r="B268" s="17"/>
      <c r="C268" s="18"/>
      <c r="D268" s="17"/>
      <c r="E268" s="17"/>
      <c r="F268" s="17"/>
      <c r="G268" s="17"/>
      <c r="H268" s="16" t="str">
        <f t="shared" si="8"/>
        <v/>
      </c>
      <c r="I268" s="3" t="str">
        <f t="shared" si="9"/>
        <v/>
      </c>
    </row>
    <row r="269" spans="1:9" ht="13" x14ac:dyDescent="0.15">
      <c r="A269" s="17"/>
      <c r="B269" s="17"/>
      <c r="C269" s="18"/>
      <c r="D269" s="17"/>
      <c r="E269" s="17"/>
      <c r="F269" s="17"/>
      <c r="G269" s="17"/>
      <c r="H269" s="16" t="str">
        <f t="shared" si="8"/>
        <v/>
      </c>
      <c r="I269" s="3" t="str">
        <f t="shared" si="9"/>
        <v/>
      </c>
    </row>
    <row r="270" spans="1:9" ht="13" x14ac:dyDescent="0.15">
      <c r="A270" s="17"/>
      <c r="B270" s="17"/>
      <c r="C270" s="18"/>
      <c r="D270" s="17"/>
      <c r="E270" s="17"/>
      <c r="F270" s="17"/>
      <c r="G270" s="17"/>
      <c r="H270" s="16" t="str">
        <f t="shared" si="8"/>
        <v/>
      </c>
      <c r="I270" s="3" t="str">
        <f t="shared" si="9"/>
        <v/>
      </c>
    </row>
    <row r="271" spans="1:9" ht="13" x14ac:dyDescent="0.15">
      <c r="A271" s="17"/>
      <c r="B271" s="17"/>
      <c r="C271" s="18"/>
      <c r="D271" s="17"/>
      <c r="E271" s="17"/>
      <c r="F271" s="17"/>
      <c r="G271" s="17"/>
      <c r="H271" s="16" t="str">
        <f t="shared" si="8"/>
        <v/>
      </c>
      <c r="I271" s="3" t="str">
        <f t="shared" si="9"/>
        <v/>
      </c>
    </row>
    <row r="272" spans="1:9" ht="13" x14ac:dyDescent="0.15">
      <c r="A272" s="17"/>
      <c r="B272" s="17"/>
      <c r="C272" s="18"/>
      <c r="D272" s="17"/>
      <c r="E272" s="17"/>
      <c r="F272" s="17"/>
      <c r="G272" s="17"/>
      <c r="H272" s="16" t="str">
        <f t="shared" si="8"/>
        <v/>
      </c>
      <c r="I272" s="3" t="str">
        <f t="shared" si="9"/>
        <v/>
      </c>
    </row>
    <row r="273" spans="1:9" ht="13" x14ac:dyDescent="0.15">
      <c r="A273" s="17"/>
      <c r="B273" s="17"/>
      <c r="C273" s="18"/>
      <c r="D273" s="17"/>
      <c r="E273" s="17"/>
      <c r="F273" s="17"/>
      <c r="G273" s="17"/>
      <c r="H273" s="16" t="str">
        <f t="shared" si="8"/>
        <v/>
      </c>
      <c r="I273" s="3" t="str">
        <f t="shared" si="9"/>
        <v/>
      </c>
    </row>
    <row r="274" spans="1:9" ht="13" x14ac:dyDescent="0.15">
      <c r="A274" s="17"/>
      <c r="B274" s="17"/>
      <c r="C274" s="18"/>
      <c r="D274" s="17"/>
      <c r="E274" s="17"/>
      <c r="F274" s="17"/>
      <c r="G274" s="17"/>
      <c r="H274" s="16" t="str">
        <f t="shared" si="8"/>
        <v/>
      </c>
      <c r="I274" s="3" t="str">
        <f t="shared" si="9"/>
        <v/>
      </c>
    </row>
    <row r="275" spans="1:9" ht="13" x14ac:dyDescent="0.15">
      <c r="A275" s="17"/>
      <c r="B275" s="17"/>
      <c r="C275" s="18"/>
      <c r="D275" s="17"/>
      <c r="E275" s="17"/>
      <c r="F275" s="17"/>
      <c r="G275" s="17"/>
      <c r="H275" s="16" t="str">
        <f t="shared" si="8"/>
        <v/>
      </c>
      <c r="I275" s="3" t="str">
        <f t="shared" si="9"/>
        <v/>
      </c>
    </row>
    <row r="276" spans="1:9" ht="13" x14ac:dyDescent="0.15">
      <c r="A276" s="17"/>
      <c r="B276" s="17"/>
      <c r="C276" s="18"/>
      <c r="D276" s="17"/>
      <c r="E276" s="17"/>
      <c r="F276" s="17"/>
      <c r="G276" s="17"/>
      <c r="H276" s="16" t="str">
        <f t="shared" si="8"/>
        <v/>
      </c>
      <c r="I276" s="3" t="str">
        <f t="shared" si="9"/>
        <v/>
      </c>
    </row>
    <row r="277" spans="1:9" ht="13" x14ac:dyDescent="0.15">
      <c r="A277" s="17"/>
      <c r="B277" s="17"/>
      <c r="C277" s="18"/>
      <c r="D277" s="17"/>
      <c r="E277" s="17"/>
      <c r="F277" s="17"/>
      <c r="G277" s="17"/>
      <c r="H277" s="16" t="str">
        <f t="shared" si="8"/>
        <v/>
      </c>
      <c r="I277" s="3" t="str">
        <f t="shared" si="9"/>
        <v/>
      </c>
    </row>
    <row r="278" spans="1:9" ht="13" x14ac:dyDescent="0.15">
      <c r="A278" s="17"/>
      <c r="B278" s="17"/>
      <c r="C278" s="18"/>
      <c r="D278" s="17"/>
      <c r="E278" s="17"/>
      <c r="F278" s="17"/>
      <c r="G278" s="17"/>
      <c r="H278" s="16" t="str">
        <f t="shared" si="8"/>
        <v/>
      </c>
      <c r="I278" s="3" t="str">
        <f t="shared" si="9"/>
        <v/>
      </c>
    </row>
    <row r="279" spans="1:9" ht="13" x14ac:dyDescent="0.15">
      <c r="A279" s="17"/>
      <c r="B279" s="17"/>
      <c r="C279" s="18"/>
      <c r="D279" s="17"/>
      <c r="E279" s="17"/>
      <c r="F279" s="17"/>
      <c r="G279" s="17"/>
      <c r="H279" s="16" t="str">
        <f t="shared" si="8"/>
        <v/>
      </c>
      <c r="I279" s="3" t="str">
        <f t="shared" si="9"/>
        <v/>
      </c>
    </row>
    <row r="280" spans="1:9" ht="13" x14ac:dyDescent="0.15">
      <c r="A280" s="17"/>
      <c r="B280" s="17"/>
      <c r="C280" s="18"/>
      <c r="D280" s="17"/>
      <c r="E280" s="17"/>
      <c r="F280" s="17"/>
      <c r="G280" s="17"/>
      <c r="H280" s="16" t="str">
        <f t="shared" si="8"/>
        <v/>
      </c>
      <c r="I280" s="3" t="str">
        <f t="shared" si="9"/>
        <v/>
      </c>
    </row>
    <row r="281" spans="1:9" ht="13" x14ac:dyDescent="0.15">
      <c r="A281" s="17"/>
      <c r="B281" s="17"/>
      <c r="C281" s="18"/>
      <c r="D281" s="17"/>
      <c r="E281" s="17"/>
      <c r="F281" s="17"/>
      <c r="G281" s="17"/>
      <c r="H281" s="16" t="str">
        <f t="shared" si="8"/>
        <v/>
      </c>
      <c r="I281" s="3" t="str">
        <f t="shared" si="9"/>
        <v/>
      </c>
    </row>
    <row r="282" spans="1:9" ht="13" x14ac:dyDescent="0.15">
      <c r="A282" s="17"/>
      <c r="B282" s="17"/>
      <c r="C282" s="18"/>
      <c r="D282" s="17"/>
      <c r="E282" s="17"/>
      <c r="F282" s="17"/>
      <c r="G282" s="17"/>
      <c r="H282" s="16" t="str">
        <f t="shared" si="8"/>
        <v/>
      </c>
      <c r="I282" s="3" t="str">
        <f t="shared" si="9"/>
        <v/>
      </c>
    </row>
    <row r="283" spans="1:9" ht="13" x14ac:dyDescent="0.15">
      <c r="A283" s="17"/>
      <c r="B283" s="17"/>
      <c r="C283" s="18"/>
      <c r="D283" s="17"/>
      <c r="E283" s="17"/>
      <c r="F283" s="17"/>
      <c r="G283" s="17"/>
      <c r="H283" s="16" t="str">
        <f t="shared" si="8"/>
        <v/>
      </c>
      <c r="I283" s="3" t="str">
        <f t="shared" si="9"/>
        <v/>
      </c>
    </row>
    <row r="284" spans="1:9" ht="13" x14ac:dyDescent="0.15">
      <c r="A284" s="17"/>
      <c r="B284" s="17"/>
      <c r="C284" s="18"/>
      <c r="D284" s="17"/>
      <c r="E284" s="17"/>
      <c r="F284" s="17"/>
      <c r="G284" s="17"/>
      <c r="H284" s="16" t="str">
        <f t="shared" si="8"/>
        <v/>
      </c>
      <c r="I284" s="3" t="str">
        <f t="shared" si="9"/>
        <v/>
      </c>
    </row>
    <row r="285" spans="1:9" ht="13" x14ac:dyDescent="0.15">
      <c r="A285" s="17"/>
      <c r="B285" s="17"/>
      <c r="C285" s="18"/>
      <c r="D285" s="17"/>
      <c r="E285" s="17"/>
      <c r="F285" s="17"/>
      <c r="G285" s="17"/>
      <c r="H285" s="16" t="str">
        <f t="shared" si="8"/>
        <v/>
      </c>
      <c r="I285" s="3" t="str">
        <f t="shared" si="9"/>
        <v/>
      </c>
    </row>
    <row r="286" spans="1:9" ht="13" x14ac:dyDescent="0.15">
      <c r="A286" s="17"/>
      <c r="B286" s="17"/>
      <c r="C286" s="18"/>
      <c r="D286" s="17"/>
      <c r="E286" s="17"/>
      <c r="F286" s="17"/>
      <c r="G286" s="17"/>
      <c r="H286" s="16" t="str">
        <f t="shared" si="8"/>
        <v/>
      </c>
      <c r="I286" s="3" t="str">
        <f t="shared" si="9"/>
        <v/>
      </c>
    </row>
    <row r="287" spans="1:9" ht="13" x14ac:dyDescent="0.15">
      <c r="A287" s="17"/>
      <c r="B287" s="17"/>
      <c r="C287" s="18"/>
      <c r="D287" s="17"/>
      <c r="E287" s="17"/>
      <c r="F287" s="17"/>
      <c r="G287" s="17"/>
      <c r="H287" s="16" t="str">
        <f t="shared" si="8"/>
        <v/>
      </c>
      <c r="I287" s="3" t="str">
        <f t="shared" si="9"/>
        <v/>
      </c>
    </row>
    <row r="288" spans="1:9" ht="13" x14ac:dyDescent="0.15">
      <c r="A288" s="17"/>
      <c r="B288" s="17"/>
      <c r="C288" s="18"/>
      <c r="D288" s="17"/>
      <c r="E288" s="17"/>
      <c r="F288" s="17"/>
      <c r="G288" s="17"/>
      <c r="H288" s="16" t="str">
        <f t="shared" si="8"/>
        <v/>
      </c>
      <c r="I288" s="3" t="str">
        <f t="shared" si="9"/>
        <v/>
      </c>
    </row>
    <row r="289" spans="1:9" ht="13" x14ac:dyDescent="0.15">
      <c r="A289" s="17"/>
      <c r="B289" s="17"/>
      <c r="C289" s="18"/>
      <c r="D289" s="17"/>
      <c r="E289" s="17"/>
      <c r="F289" s="17"/>
      <c r="G289" s="17"/>
      <c r="H289" s="16" t="str">
        <f t="shared" si="8"/>
        <v/>
      </c>
      <c r="I289" s="3" t="str">
        <f t="shared" si="9"/>
        <v/>
      </c>
    </row>
    <row r="290" spans="1:9" ht="13" x14ac:dyDescent="0.15">
      <c r="A290" s="17"/>
      <c r="B290" s="17"/>
      <c r="C290" s="18"/>
      <c r="D290" s="17"/>
      <c r="E290" s="17"/>
      <c r="F290" s="17"/>
      <c r="G290" s="17"/>
      <c r="H290" s="16" t="str">
        <f t="shared" si="8"/>
        <v/>
      </c>
      <c r="I290" s="3" t="str">
        <f t="shared" si="9"/>
        <v/>
      </c>
    </row>
    <row r="291" spans="1:9" ht="13" x14ac:dyDescent="0.15">
      <c r="A291" s="17"/>
      <c r="B291" s="17"/>
      <c r="C291" s="18"/>
      <c r="D291" s="17"/>
      <c r="E291" s="17"/>
      <c r="F291" s="17"/>
      <c r="G291" s="17"/>
      <c r="H291" s="16" t="str">
        <f t="shared" si="8"/>
        <v/>
      </c>
      <c r="I291" s="3" t="str">
        <f t="shared" si="9"/>
        <v/>
      </c>
    </row>
    <row r="292" spans="1:9" ht="13" x14ac:dyDescent="0.15">
      <c r="A292" s="17"/>
      <c r="B292" s="17"/>
      <c r="C292" s="18"/>
      <c r="D292" s="17"/>
      <c r="E292" s="17"/>
      <c r="F292" s="17"/>
      <c r="G292" s="17"/>
      <c r="H292" s="16" t="str">
        <f t="shared" si="8"/>
        <v/>
      </c>
      <c r="I292" s="3" t="str">
        <f t="shared" si="9"/>
        <v/>
      </c>
    </row>
    <row r="293" spans="1:9" ht="13" x14ac:dyDescent="0.15">
      <c r="A293" s="17"/>
      <c r="B293" s="17"/>
      <c r="C293" s="18"/>
      <c r="D293" s="17"/>
      <c r="E293" s="17"/>
      <c r="F293" s="17"/>
      <c r="G293" s="17"/>
      <c r="H293" s="16" t="str">
        <f t="shared" si="8"/>
        <v/>
      </c>
      <c r="I293" s="3" t="str">
        <f t="shared" si="9"/>
        <v/>
      </c>
    </row>
    <row r="294" spans="1:9" ht="13" x14ac:dyDescent="0.15">
      <c r="A294" s="17"/>
      <c r="B294" s="17"/>
      <c r="C294" s="18"/>
      <c r="D294" s="17"/>
      <c r="E294" s="17"/>
      <c r="F294" s="17"/>
      <c r="G294" s="17"/>
      <c r="H294" s="16" t="str">
        <f t="shared" si="8"/>
        <v/>
      </c>
      <c r="I294" s="3" t="str">
        <f t="shared" si="9"/>
        <v/>
      </c>
    </row>
    <row r="295" spans="1:9" ht="13" x14ac:dyDescent="0.15">
      <c r="A295" s="17"/>
      <c r="B295" s="17"/>
      <c r="C295" s="18"/>
      <c r="D295" s="17"/>
      <c r="E295" s="17"/>
      <c r="F295" s="17"/>
      <c r="G295" s="17"/>
      <c r="H295" s="16" t="str">
        <f t="shared" si="8"/>
        <v/>
      </c>
      <c r="I295" s="3" t="str">
        <f t="shared" si="9"/>
        <v/>
      </c>
    </row>
    <row r="296" spans="1:9" ht="13" x14ac:dyDescent="0.15">
      <c r="A296" s="17"/>
      <c r="B296" s="17"/>
      <c r="C296" s="18"/>
      <c r="D296" s="17"/>
      <c r="E296" s="17"/>
      <c r="F296" s="17"/>
      <c r="G296" s="17"/>
      <c r="H296" s="16" t="str">
        <f t="shared" si="8"/>
        <v/>
      </c>
      <c r="I296" s="3" t="str">
        <f t="shared" si="9"/>
        <v/>
      </c>
    </row>
    <row r="297" spans="1:9" ht="13" x14ac:dyDescent="0.15">
      <c r="A297" s="17"/>
      <c r="B297" s="17"/>
      <c r="C297" s="18"/>
      <c r="D297" s="17"/>
      <c r="E297" s="17"/>
      <c r="F297" s="17"/>
      <c r="G297" s="17"/>
      <c r="H297" s="16" t="str">
        <f t="shared" si="8"/>
        <v/>
      </c>
      <c r="I297" s="3" t="str">
        <f t="shared" si="9"/>
        <v/>
      </c>
    </row>
    <row r="298" spans="1:9" ht="13" x14ac:dyDescent="0.15">
      <c r="A298" s="17"/>
      <c r="B298" s="17"/>
      <c r="C298" s="18"/>
      <c r="D298" s="17"/>
      <c r="E298" s="17"/>
      <c r="F298" s="17"/>
      <c r="G298" s="17"/>
      <c r="H298" s="16" t="str">
        <f t="shared" si="8"/>
        <v/>
      </c>
      <c r="I298" s="3" t="str">
        <f t="shared" si="9"/>
        <v/>
      </c>
    </row>
    <row r="299" spans="1:9" ht="13" x14ac:dyDescent="0.15">
      <c r="A299" s="17"/>
      <c r="B299" s="17"/>
      <c r="C299" s="18"/>
      <c r="D299" s="17"/>
      <c r="E299" s="17"/>
      <c r="F299" s="17"/>
      <c r="G299" s="17"/>
      <c r="H299" s="16" t="str">
        <f t="shared" si="8"/>
        <v/>
      </c>
      <c r="I299" s="3" t="str">
        <f t="shared" si="9"/>
        <v/>
      </c>
    </row>
    <row r="300" spans="1:9" ht="13" x14ac:dyDescent="0.15">
      <c r="A300" s="17"/>
      <c r="B300" s="17"/>
      <c r="C300" s="18"/>
      <c r="D300" s="17"/>
      <c r="E300" s="17"/>
      <c r="F300" s="17"/>
      <c r="G300" s="17"/>
      <c r="H300" s="16" t="str">
        <f t="shared" si="8"/>
        <v/>
      </c>
      <c r="I300" s="3" t="str">
        <f t="shared" si="9"/>
        <v/>
      </c>
    </row>
    <row r="301" spans="1:9" ht="13" x14ac:dyDescent="0.15">
      <c r="A301" s="17"/>
      <c r="B301" s="17"/>
      <c r="C301" s="18"/>
      <c r="D301" s="17"/>
      <c r="E301" s="17"/>
      <c r="F301" s="17"/>
      <c r="G301" s="17"/>
      <c r="H301" s="16" t="str">
        <f t="shared" si="8"/>
        <v/>
      </c>
      <c r="I301" s="3" t="str">
        <f t="shared" si="9"/>
        <v/>
      </c>
    </row>
    <row r="302" spans="1:9" ht="13" x14ac:dyDescent="0.15">
      <c r="A302" s="17"/>
      <c r="B302" s="17"/>
      <c r="C302" s="18"/>
      <c r="D302" s="17"/>
      <c r="E302" s="17"/>
      <c r="F302" s="17"/>
      <c r="G302" s="17"/>
      <c r="H302" s="16" t="str">
        <f t="shared" si="8"/>
        <v/>
      </c>
      <c r="I302" s="3" t="str">
        <f t="shared" si="9"/>
        <v/>
      </c>
    </row>
    <row r="303" spans="1:9" ht="13" x14ac:dyDescent="0.15">
      <c r="A303" s="17"/>
      <c r="B303" s="17"/>
      <c r="C303" s="18"/>
      <c r="D303" s="17"/>
      <c r="E303" s="17"/>
      <c r="F303" s="17"/>
      <c r="G303" s="17"/>
      <c r="H303" s="16" t="str">
        <f t="shared" si="8"/>
        <v/>
      </c>
      <c r="I303" s="3" t="str">
        <f t="shared" si="9"/>
        <v/>
      </c>
    </row>
    <row r="304" spans="1:9" ht="13" x14ac:dyDescent="0.15">
      <c r="A304" s="17"/>
      <c r="B304" s="17"/>
      <c r="C304" s="18"/>
      <c r="D304" s="17"/>
      <c r="E304" s="17"/>
      <c r="F304" s="17"/>
      <c r="G304" s="17"/>
      <c r="H304" s="16" t="str">
        <f t="shared" si="8"/>
        <v/>
      </c>
      <c r="I304" s="3" t="str">
        <f t="shared" si="9"/>
        <v/>
      </c>
    </row>
    <row r="305" spans="1:9" ht="13" x14ac:dyDescent="0.15">
      <c r="A305" s="17"/>
      <c r="B305" s="17"/>
      <c r="C305" s="18"/>
      <c r="D305" s="17"/>
      <c r="E305" s="17"/>
      <c r="F305" s="17"/>
      <c r="G305" s="17"/>
      <c r="H305" s="16" t="str">
        <f t="shared" si="8"/>
        <v/>
      </c>
      <c r="I305" s="3" t="str">
        <f t="shared" si="9"/>
        <v/>
      </c>
    </row>
    <row r="306" spans="1:9" ht="13" x14ac:dyDescent="0.15">
      <c r="A306" s="17"/>
      <c r="B306" s="17"/>
      <c r="C306" s="18"/>
      <c r="D306" s="17"/>
      <c r="E306" s="17"/>
      <c r="F306" s="17"/>
      <c r="G306" s="17"/>
      <c r="H306" s="16" t="str">
        <f t="shared" si="8"/>
        <v/>
      </c>
      <c r="I306" s="3" t="str">
        <f t="shared" si="9"/>
        <v/>
      </c>
    </row>
    <row r="307" spans="1:9" ht="13" x14ac:dyDescent="0.15">
      <c r="A307" s="17"/>
      <c r="B307" s="17"/>
      <c r="C307" s="18"/>
      <c r="D307" s="17"/>
      <c r="E307" s="17"/>
      <c r="F307" s="17"/>
      <c r="G307" s="17"/>
      <c r="H307" s="16" t="str">
        <f t="shared" si="8"/>
        <v/>
      </c>
      <c r="I307" s="3" t="str">
        <f t="shared" si="9"/>
        <v/>
      </c>
    </row>
    <row r="308" spans="1:9" ht="13" x14ac:dyDescent="0.15">
      <c r="A308" s="17"/>
      <c r="B308" s="17"/>
      <c r="C308" s="18"/>
      <c r="D308" s="17"/>
      <c r="E308" s="17"/>
      <c r="F308" s="17"/>
      <c r="G308" s="17"/>
      <c r="H308" s="16" t="str">
        <f t="shared" si="8"/>
        <v/>
      </c>
      <c r="I308" s="3" t="str">
        <f t="shared" si="9"/>
        <v/>
      </c>
    </row>
    <row r="309" spans="1:9" ht="13" x14ac:dyDescent="0.15">
      <c r="A309" s="17"/>
      <c r="B309" s="17"/>
      <c r="C309" s="18"/>
      <c r="D309" s="17"/>
      <c r="E309" s="17"/>
      <c r="F309" s="17"/>
      <c r="G309" s="17"/>
      <c r="H309" s="16" t="str">
        <f t="shared" si="8"/>
        <v/>
      </c>
      <c r="I309" s="3" t="str">
        <f t="shared" si="9"/>
        <v/>
      </c>
    </row>
    <row r="310" spans="1:9" ht="13" x14ac:dyDescent="0.15">
      <c r="A310" s="17"/>
      <c r="B310" s="17"/>
      <c r="C310" s="18"/>
      <c r="D310" s="17"/>
      <c r="E310" s="17"/>
      <c r="F310" s="17"/>
      <c r="G310" s="17"/>
      <c r="H310" s="16" t="str">
        <f t="shared" si="8"/>
        <v/>
      </c>
      <c r="I310" s="3" t="str">
        <f t="shared" si="9"/>
        <v/>
      </c>
    </row>
    <row r="311" spans="1:9" ht="13" x14ac:dyDescent="0.15">
      <c r="A311" s="17"/>
      <c r="B311" s="17"/>
      <c r="C311" s="18"/>
      <c r="D311" s="17"/>
      <c r="E311" s="17"/>
      <c r="F311" s="17"/>
      <c r="G311" s="17"/>
      <c r="H311" s="16" t="str">
        <f t="shared" si="8"/>
        <v/>
      </c>
      <c r="I311" s="3" t="str">
        <f t="shared" si="9"/>
        <v/>
      </c>
    </row>
    <row r="312" spans="1:9" ht="13" x14ac:dyDescent="0.15">
      <c r="A312" s="17"/>
      <c r="B312" s="17"/>
      <c r="C312" s="18"/>
      <c r="D312" s="17"/>
      <c r="E312" s="17"/>
      <c r="F312" s="17"/>
      <c r="G312" s="17"/>
      <c r="H312" s="16" t="str">
        <f t="shared" si="8"/>
        <v/>
      </c>
      <c r="I312" s="3" t="str">
        <f t="shared" si="9"/>
        <v/>
      </c>
    </row>
    <row r="313" spans="1:9" ht="13" x14ac:dyDescent="0.15">
      <c r="A313" s="17"/>
      <c r="B313" s="17"/>
      <c r="C313" s="18"/>
      <c r="D313" s="17"/>
      <c r="E313" s="17"/>
      <c r="F313" s="17"/>
      <c r="G313" s="17"/>
      <c r="H313" s="16" t="str">
        <f t="shared" si="8"/>
        <v/>
      </c>
      <c r="I313" s="3" t="str">
        <f t="shared" si="9"/>
        <v/>
      </c>
    </row>
    <row r="314" spans="1:9" ht="13" x14ac:dyDescent="0.15">
      <c r="A314" s="17"/>
      <c r="B314" s="17"/>
      <c r="C314" s="18"/>
      <c r="D314" s="17"/>
      <c r="E314" s="17"/>
      <c r="F314" s="17"/>
      <c r="G314" s="17"/>
      <c r="H314" s="16" t="str">
        <f t="shared" si="8"/>
        <v/>
      </c>
      <c r="I314" s="3" t="str">
        <f t="shared" si="9"/>
        <v/>
      </c>
    </row>
    <row r="315" spans="1:9" ht="13" x14ac:dyDescent="0.15">
      <c r="A315" s="17"/>
      <c r="B315" s="17"/>
      <c r="C315" s="18"/>
      <c r="D315" s="17"/>
      <c r="E315" s="17"/>
      <c r="F315" s="17"/>
      <c r="G315" s="17"/>
      <c r="H315" s="16" t="str">
        <f t="shared" si="8"/>
        <v/>
      </c>
      <c r="I315" s="3" t="str">
        <f t="shared" si="9"/>
        <v/>
      </c>
    </row>
    <row r="316" spans="1:9" ht="13" x14ac:dyDescent="0.15">
      <c r="A316" s="17"/>
      <c r="B316" s="17"/>
      <c r="C316" s="18"/>
      <c r="D316" s="17"/>
      <c r="E316" s="17"/>
      <c r="F316" s="17"/>
      <c r="G316" s="17"/>
      <c r="H316" s="16" t="str">
        <f t="shared" si="8"/>
        <v/>
      </c>
      <c r="I316" s="3" t="str">
        <f t="shared" si="9"/>
        <v/>
      </c>
    </row>
    <row r="317" spans="1:9" ht="13" x14ac:dyDescent="0.15">
      <c r="A317" s="17"/>
      <c r="B317" s="17"/>
      <c r="C317" s="18"/>
      <c r="D317" s="17"/>
      <c r="E317" s="17"/>
      <c r="F317" s="17"/>
      <c r="G317" s="17"/>
      <c r="H317" s="16" t="str">
        <f t="shared" si="8"/>
        <v/>
      </c>
      <c r="I317" s="3" t="str">
        <f t="shared" si="9"/>
        <v/>
      </c>
    </row>
    <row r="318" spans="1:9" ht="13" x14ac:dyDescent="0.15">
      <c r="A318" s="17"/>
      <c r="B318" s="17"/>
      <c r="C318" s="18"/>
      <c r="D318" s="17"/>
      <c r="E318" s="17"/>
      <c r="F318" s="17"/>
      <c r="G318" s="17"/>
      <c r="H318" s="16" t="str">
        <f t="shared" si="8"/>
        <v/>
      </c>
      <c r="I318" s="3" t="str">
        <f t="shared" si="9"/>
        <v/>
      </c>
    </row>
    <row r="319" spans="1:9" ht="13" x14ac:dyDescent="0.15">
      <c r="A319" s="17"/>
      <c r="B319" s="17"/>
      <c r="C319" s="18"/>
      <c r="D319" s="17"/>
      <c r="E319" s="17"/>
      <c r="F319" s="17"/>
      <c r="G319" s="17"/>
      <c r="H319" s="16" t="str">
        <f t="shared" si="8"/>
        <v/>
      </c>
      <c r="I319" s="3" t="str">
        <f t="shared" si="9"/>
        <v/>
      </c>
    </row>
    <row r="320" spans="1:9" ht="13" x14ac:dyDescent="0.15">
      <c r="A320" s="17"/>
      <c r="B320" s="17"/>
      <c r="C320" s="18"/>
      <c r="D320" s="17"/>
      <c r="E320" s="17"/>
      <c r="F320" s="17"/>
      <c r="G320" s="17"/>
      <c r="H320" s="16" t="str">
        <f t="shared" si="8"/>
        <v/>
      </c>
      <c r="I320" s="3" t="str">
        <f t="shared" si="9"/>
        <v/>
      </c>
    </row>
    <row r="321" spans="1:9" ht="13" x14ac:dyDescent="0.15">
      <c r="A321" s="17"/>
      <c r="B321" s="17"/>
      <c r="C321" s="18"/>
      <c r="D321" s="17"/>
      <c r="E321" s="17"/>
      <c r="F321" s="17"/>
      <c r="G321" s="17"/>
      <c r="H321" s="16" t="str">
        <f t="shared" si="8"/>
        <v/>
      </c>
      <c r="I321" s="3" t="str">
        <f t="shared" si="9"/>
        <v/>
      </c>
    </row>
    <row r="322" spans="1:9" ht="13" x14ac:dyDescent="0.15">
      <c r="A322" s="17"/>
      <c r="B322" s="17"/>
      <c r="C322" s="18"/>
      <c r="D322" s="17"/>
      <c r="E322" s="17"/>
      <c r="F322" s="17"/>
      <c r="G322" s="17"/>
      <c r="H322" s="16" t="str">
        <f t="shared" ref="H322:H385" si="10">IF(ISBLANK(C322),"",C322*$L$13)</f>
        <v/>
      </c>
      <c r="I322" s="3" t="str">
        <f t="shared" ref="I322:I385" si="11">IF(ISNUMBER(H322),IF(ABS(H322-$L$14)&gt;$M$16,"OUT",""),"")</f>
        <v/>
      </c>
    </row>
    <row r="323" spans="1:9" ht="13" x14ac:dyDescent="0.15">
      <c r="A323" s="17"/>
      <c r="B323" s="17"/>
      <c r="C323" s="18"/>
      <c r="D323" s="17"/>
      <c r="E323" s="17"/>
      <c r="F323" s="17"/>
      <c r="G323" s="17"/>
      <c r="H323" s="16" t="str">
        <f t="shared" si="10"/>
        <v/>
      </c>
      <c r="I323" s="3" t="str">
        <f t="shared" si="11"/>
        <v/>
      </c>
    </row>
    <row r="324" spans="1:9" ht="13" x14ac:dyDescent="0.15">
      <c r="A324" s="17"/>
      <c r="B324" s="17"/>
      <c r="C324" s="18"/>
      <c r="D324" s="17"/>
      <c r="E324" s="17"/>
      <c r="F324" s="17"/>
      <c r="G324" s="17"/>
      <c r="H324" s="16" t="str">
        <f t="shared" si="10"/>
        <v/>
      </c>
      <c r="I324" s="3" t="str">
        <f t="shared" si="11"/>
        <v/>
      </c>
    </row>
    <row r="325" spans="1:9" ht="13" x14ac:dyDescent="0.15">
      <c r="A325" s="17"/>
      <c r="B325" s="17"/>
      <c r="C325" s="18"/>
      <c r="D325" s="17"/>
      <c r="E325" s="17"/>
      <c r="F325" s="17"/>
      <c r="G325" s="17"/>
      <c r="H325" s="16" t="str">
        <f t="shared" si="10"/>
        <v/>
      </c>
      <c r="I325" s="3" t="str">
        <f t="shared" si="11"/>
        <v/>
      </c>
    </row>
    <row r="326" spans="1:9" ht="13" x14ac:dyDescent="0.15">
      <c r="A326" s="17"/>
      <c r="B326" s="17"/>
      <c r="C326" s="18"/>
      <c r="D326" s="17"/>
      <c r="E326" s="17"/>
      <c r="F326" s="17"/>
      <c r="G326" s="17"/>
      <c r="H326" s="16" t="str">
        <f t="shared" si="10"/>
        <v/>
      </c>
      <c r="I326" s="3" t="str">
        <f t="shared" si="11"/>
        <v/>
      </c>
    </row>
    <row r="327" spans="1:9" ht="13" x14ac:dyDescent="0.15">
      <c r="A327" s="17"/>
      <c r="B327" s="17"/>
      <c r="C327" s="18"/>
      <c r="D327" s="17"/>
      <c r="E327" s="17"/>
      <c r="F327" s="17"/>
      <c r="G327" s="17"/>
      <c r="H327" s="16" t="str">
        <f t="shared" si="10"/>
        <v/>
      </c>
      <c r="I327" s="3" t="str">
        <f t="shared" si="11"/>
        <v/>
      </c>
    </row>
    <row r="328" spans="1:9" ht="13" x14ac:dyDescent="0.15">
      <c r="A328" s="17"/>
      <c r="B328" s="17"/>
      <c r="C328" s="18"/>
      <c r="D328" s="17"/>
      <c r="E328" s="17"/>
      <c r="F328" s="17"/>
      <c r="G328" s="17"/>
      <c r="H328" s="16" t="str">
        <f t="shared" si="10"/>
        <v/>
      </c>
      <c r="I328" s="3" t="str">
        <f t="shared" si="11"/>
        <v/>
      </c>
    </row>
    <row r="329" spans="1:9" ht="13" x14ac:dyDescent="0.15">
      <c r="A329" s="17"/>
      <c r="B329" s="17"/>
      <c r="C329" s="18"/>
      <c r="D329" s="17"/>
      <c r="E329" s="17"/>
      <c r="F329" s="17"/>
      <c r="G329" s="17"/>
      <c r="H329" s="16" t="str">
        <f t="shared" si="10"/>
        <v/>
      </c>
      <c r="I329" s="3" t="str">
        <f t="shared" si="11"/>
        <v/>
      </c>
    </row>
    <row r="330" spans="1:9" ht="13" x14ac:dyDescent="0.15">
      <c r="A330" s="17"/>
      <c r="B330" s="17"/>
      <c r="C330" s="18"/>
      <c r="D330" s="17"/>
      <c r="E330" s="17"/>
      <c r="F330" s="17"/>
      <c r="G330" s="17"/>
      <c r="H330" s="16" t="str">
        <f t="shared" si="10"/>
        <v/>
      </c>
      <c r="I330" s="3" t="str">
        <f t="shared" si="11"/>
        <v/>
      </c>
    </row>
    <row r="331" spans="1:9" ht="13" x14ac:dyDescent="0.15">
      <c r="A331" s="17"/>
      <c r="B331" s="17"/>
      <c r="C331" s="18"/>
      <c r="D331" s="17"/>
      <c r="E331" s="17"/>
      <c r="F331" s="17"/>
      <c r="G331" s="17"/>
      <c r="H331" s="16" t="str">
        <f t="shared" si="10"/>
        <v/>
      </c>
      <c r="I331" s="3" t="str">
        <f t="shared" si="11"/>
        <v/>
      </c>
    </row>
    <row r="332" spans="1:9" ht="13" x14ac:dyDescent="0.15">
      <c r="A332" s="17"/>
      <c r="B332" s="17"/>
      <c r="C332" s="18"/>
      <c r="D332" s="17"/>
      <c r="E332" s="17"/>
      <c r="F332" s="17"/>
      <c r="G332" s="17"/>
      <c r="H332" s="16" t="str">
        <f t="shared" si="10"/>
        <v/>
      </c>
      <c r="I332" s="3" t="str">
        <f t="shared" si="11"/>
        <v/>
      </c>
    </row>
    <row r="333" spans="1:9" ht="13" x14ac:dyDescent="0.15">
      <c r="A333" s="17"/>
      <c r="B333" s="17"/>
      <c r="C333" s="18"/>
      <c r="D333" s="17"/>
      <c r="E333" s="17"/>
      <c r="F333" s="17"/>
      <c r="G333" s="17"/>
      <c r="H333" s="16" t="str">
        <f t="shared" si="10"/>
        <v/>
      </c>
      <c r="I333" s="3" t="str">
        <f t="shared" si="11"/>
        <v/>
      </c>
    </row>
    <row r="334" spans="1:9" ht="13" x14ac:dyDescent="0.15">
      <c r="A334" s="17"/>
      <c r="B334" s="17"/>
      <c r="C334" s="18"/>
      <c r="D334" s="17"/>
      <c r="E334" s="17"/>
      <c r="F334" s="17"/>
      <c r="G334" s="17"/>
      <c r="H334" s="16" t="str">
        <f t="shared" si="10"/>
        <v/>
      </c>
      <c r="I334" s="3" t="str">
        <f t="shared" si="11"/>
        <v/>
      </c>
    </row>
    <row r="335" spans="1:9" ht="13" x14ac:dyDescent="0.15">
      <c r="A335" s="17"/>
      <c r="B335" s="17"/>
      <c r="C335" s="18"/>
      <c r="D335" s="17"/>
      <c r="E335" s="17"/>
      <c r="F335" s="17"/>
      <c r="G335" s="17"/>
      <c r="H335" s="16" t="str">
        <f t="shared" si="10"/>
        <v/>
      </c>
      <c r="I335" s="3" t="str">
        <f t="shared" si="11"/>
        <v/>
      </c>
    </row>
    <row r="336" spans="1:9" ht="13" x14ac:dyDescent="0.15">
      <c r="A336" s="17"/>
      <c r="B336" s="17"/>
      <c r="C336" s="18"/>
      <c r="D336" s="17"/>
      <c r="E336" s="17"/>
      <c r="F336" s="17"/>
      <c r="G336" s="17"/>
      <c r="H336" s="16" t="str">
        <f t="shared" si="10"/>
        <v/>
      </c>
      <c r="I336" s="3" t="str">
        <f t="shared" si="11"/>
        <v/>
      </c>
    </row>
    <row r="337" spans="1:9" ht="13" x14ac:dyDescent="0.15">
      <c r="A337" s="17"/>
      <c r="B337" s="17"/>
      <c r="C337" s="18"/>
      <c r="D337" s="17"/>
      <c r="E337" s="17"/>
      <c r="F337" s="17"/>
      <c r="G337" s="17"/>
      <c r="H337" s="16" t="str">
        <f t="shared" si="10"/>
        <v/>
      </c>
      <c r="I337" s="3" t="str">
        <f t="shared" si="11"/>
        <v/>
      </c>
    </row>
    <row r="338" spans="1:9" ht="13" x14ac:dyDescent="0.15">
      <c r="A338" s="17"/>
      <c r="B338" s="17"/>
      <c r="C338" s="18"/>
      <c r="D338" s="17"/>
      <c r="E338" s="17"/>
      <c r="F338" s="17"/>
      <c r="G338" s="17"/>
      <c r="H338" s="16" t="str">
        <f t="shared" si="10"/>
        <v/>
      </c>
      <c r="I338" s="3" t="str">
        <f t="shared" si="11"/>
        <v/>
      </c>
    </row>
    <row r="339" spans="1:9" ht="13" x14ac:dyDescent="0.15">
      <c r="A339" s="17"/>
      <c r="B339" s="17"/>
      <c r="C339" s="18"/>
      <c r="D339" s="17"/>
      <c r="E339" s="17"/>
      <c r="F339" s="17"/>
      <c r="G339" s="17"/>
      <c r="H339" s="16" t="str">
        <f t="shared" si="10"/>
        <v/>
      </c>
      <c r="I339" s="3" t="str">
        <f t="shared" si="11"/>
        <v/>
      </c>
    </row>
    <row r="340" spans="1:9" ht="13" x14ac:dyDescent="0.15">
      <c r="A340" s="17"/>
      <c r="B340" s="17"/>
      <c r="C340" s="18"/>
      <c r="D340" s="17"/>
      <c r="E340" s="17"/>
      <c r="F340" s="17"/>
      <c r="G340" s="17"/>
      <c r="H340" s="16" t="str">
        <f t="shared" si="10"/>
        <v/>
      </c>
      <c r="I340" s="3" t="str">
        <f t="shared" si="11"/>
        <v/>
      </c>
    </row>
    <row r="341" spans="1:9" ht="13" x14ac:dyDescent="0.15">
      <c r="A341" s="17"/>
      <c r="B341" s="17"/>
      <c r="C341" s="18"/>
      <c r="D341" s="17"/>
      <c r="E341" s="17"/>
      <c r="F341" s="17"/>
      <c r="G341" s="17"/>
      <c r="H341" s="16" t="str">
        <f t="shared" si="10"/>
        <v/>
      </c>
      <c r="I341" s="3" t="str">
        <f t="shared" si="11"/>
        <v/>
      </c>
    </row>
    <row r="342" spans="1:9" ht="13" x14ac:dyDescent="0.15">
      <c r="A342" s="17"/>
      <c r="B342" s="17"/>
      <c r="C342" s="18"/>
      <c r="D342" s="17"/>
      <c r="E342" s="17"/>
      <c r="F342" s="17"/>
      <c r="G342" s="17"/>
      <c r="H342" s="16" t="str">
        <f t="shared" si="10"/>
        <v/>
      </c>
      <c r="I342" s="3" t="str">
        <f t="shared" si="11"/>
        <v/>
      </c>
    </row>
    <row r="343" spans="1:9" ht="13" x14ac:dyDescent="0.15">
      <c r="A343" s="17"/>
      <c r="B343" s="17"/>
      <c r="C343" s="18"/>
      <c r="D343" s="17"/>
      <c r="E343" s="17"/>
      <c r="F343" s="17"/>
      <c r="G343" s="17"/>
      <c r="H343" s="16" t="str">
        <f t="shared" si="10"/>
        <v/>
      </c>
      <c r="I343" s="3" t="str">
        <f t="shared" si="11"/>
        <v/>
      </c>
    </row>
    <row r="344" spans="1:9" ht="13" x14ac:dyDescent="0.15">
      <c r="A344" s="17"/>
      <c r="B344" s="17"/>
      <c r="C344" s="18"/>
      <c r="D344" s="17"/>
      <c r="E344" s="17"/>
      <c r="F344" s="17"/>
      <c r="G344" s="17"/>
      <c r="H344" s="16" t="str">
        <f t="shared" si="10"/>
        <v/>
      </c>
      <c r="I344" s="3" t="str">
        <f t="shared" si="11"/>
        <v/>
      </c>
    </row>
    <row r="345" spans="1:9" ht="13" x14ac:dyDescent="0.15">
      <c r="A345" s="17"/>
      <c r="B345" s="17"/>
      <c r="C345" s="18"/>
      <c r="D345" s="17"/>
      <c r="E345" s="17"/>
      <c r="F345" s="17"/>
      <c r="G345" s="17"/>
      <c r="H345" s="16" t="str">
        <f t="shared" si="10"/>
        <v/>
      </c>
      <c r="I345" s="3" t="str">
        <f t="shared" si="11"/>
        <v/>
      </c>
    </row>
    <row r="346" spans="1:9" ht="13" x14ac:dyDescent="0.15">
      <c r="A346" s="17"/>
      <c r="B346" s="17"/>
      <c r="C346" s="18"/>
      <c r="D346" s="17"/>
      <c r="E346" s="17"/>
      <c r="F346" s="17"/>
      <c r="G346" s="17"/>
      <c r="H346" s="16" t="str">
        <f t="shared" si="10"/>
        <v/>
      </c>
      <c r="I346" s="3" t="str">
        <f t="shared" si="11"/>
        <v/>
      </c>
    </row>
    <row r="347" spans="1:9" ht="13" x14ac:dyDescent="0.15">
      <c r="A347" s="17"/>
      <c r="B347" s="17"/>
      <c r="C347" s="18"/>
      <c r="D347" s="17"/>
      <c r="E347" s="17"/>
      <c r="F347" s="17"/>
      <c r="G347" s="17"/>
      <c r="H347" s="16" t="str">
        <f t="shared" si="10"/>
        <v/>
      </c>
      <c r="I347" s="3" t="str">
        <f t="shared" si="11"/>
        <v/>
      </c>
    </row>
    <row r="348" spans="1:9" ht="13" x14ac:dyDescent="0.15">
      <c r="A348" s="17"/>
      <c r="B348" s="17"/>
      <c r="C348" s="18"/>
      <c r="D348" s="17"/>
      <c r="E348" s="17"/>
      <c r="F348" s="17"/>
      <c r="G348" s="17"/>
      <c r="H348" s="16" t="str">
        <f t="shared" si="10"/>
        <v/>
      </c>
      <c r="I348" s="3" t="str">
        <f t="shared" si="11"/>
        <v/>
      </c>
    </row>
    <row r="349" spans="1:9" ht="13" x14ac:dyDescent="0.15">
      <c r="A349" s="17"/>
      <c r="B349" s="17"/>
      <c r="C349" s="18"/>
      <c r="D349" s="17"/>
      <c r="E349" s="17"/>
      <c r="F349" s="17"/>
      <c r="G349" s="17"/>
      <c r="H349" s="16" t="str">
        <f t="shared" si="10"/>
        <v/>
      </c>
      <c r="I349" s="3" t="str">
        <f t="shared" si="11"/>
        <v/>
      </c>
    </row>
    <row r="350" spans="1:9" ht="13" x14ac:dyDescent="0.15">
      <c r="A350" s="17"/>
      <c r="B350" s="17"/>
      <c r="C350" s="18"/>
      <c r="D350" s="17"/>
      <c r="E350" s="17"/>
      <c r="F350" s="17"/>
      <c r="G350" s="17"/>
      <c r="H350" s="16" t="str">
        <f t="shared" si="10"/>
        <v/>
      </c>
      <c r="I350" s="3" t="str">
        <f t="shared" si="11"/>
        <v/>
      </c>
    </row>
    <row r="351" spans="1:9" ht="13" x14ac:dyDescent="0.15">
      <c r="A351" s="17"/>
      <c r="B351" s="17"/>
      <c r="C351" s="18"/>
      <c r="D351" s="17"/>
      <c r="E351" s="17"/>
      <c r="F351" s="17"/>
      <c r="G351" s="17"/>
      <c r="H351" s="16" t="str">
        <f t="shared" si="10"/>
        <v/>
      </c>
      <c r="I351" s="3" t="str">
        <f t="shared" si="11"/>
        <v/>
      </c>
    </row>
    <row r="352" spans="1:9" ht="13" x14ac:dyDescent="0.15">
      <c r="A352" s="17"/>
      <c r="B352" s="17"/>
      <c r="C352" s="18"/>
      <c r="D352" s="17"/>
      <c r="E352" s="17"/>
      <c r="F352" s="17"/>
      <c r="G352" s="17"/>
      <c r="H352" s="16" t="str">
        <f t="shared" si="10"/>
        <v/>
      </c>
      <c r="I352" s="3" t="str">
        <f t="shared" si="11"/>
        <v/>
      </c>
    </row>
    <row r="353" spans="1:9" ht="13" x14ac:dyDescent="0.15">
      <c r="A353" s="17"/>
      <c r="B353" s="17"/>
      <c r="C353" s="18"/>
      <c r="D353" s="17"/>
      <c r="E353" s="17"/>
      <c r="F353" s="17"/>
      <c r="G353" s="17"/>
      <c r="H353" s="16" t="str">
        <f t="shared" si="10"/>
        <v/>
      </c>
      <c r="I353" s="3" t="str">
        <f t="shared" si="11"/>
        <v/>
      </c>
    </row>
    <row r="354" spans="1:9" ht="13" x14ac:dyDescent="0.15">
      <c r="A354" s="17"/>
      <c r="B354" s="17"/>
      <c r="C354" s="18"/>
      <c r="D354" s="17"/>
      <c r="E354" s="17"/>
      <c r="F354" s="17"/>
      <c r="G354" s="17"/>
      <c r="H354" s="16" t="str">
        <f t="shared" si="10"/>
        <v/>
      </c>
      <c r="I354" s="3" t="str">
        <f t="shared" si="11"/>
        <v/>
      </c>
    </row>
    <row r="355" spans="1:9" ht="13" x14ac:dyDescent="0.15">
      <c r="A355" s="17"/>
      <c r="B355" s="17"/>
      <c r="C355" s="18"/>
      <c r="D355" s="17"/>
      <c r="E355" s="17"/>
      <c r="F355" s="17"/>
      <c r="G355" s="17"/>
      <c r="H355" s="16" t="str">
        <f t="shared" si="10"/>
        <v/>
      </c>
      <c r="I355" s="3" t="str">
        <f t="shared" si="11"/>
        <v/>
      </c>
    </row>
    <row r="356" spans="1:9" ht="13" x14ac:dyDescent="0.15">
      <c r="A356" s="17"/>
      <c r="B356" s="17"/>
      <c r="C356" s="18"/>
      <c r="D356" s="17"/>
      <c r="E356" s="17"/>
      <c r="F356" s="17"/>
      <c r="G356" s="17"/>
      <c r="H356" s="16" t="str">
        <f t="shared" si="10"/>
        <v/>
      </c>
      <c r="I356" s="3" t="str">
        <f t="shared" si="11"/>
        <v/>
      </c>
    </row>
    <row r="357" spans="1:9" ht="13" x14ac:dyDescent="0.15">
      <c r="A357" s="17"/>
      <c r="B357" s="17"/>
      <c r="C357" s="18"/>
      <c r="D357" s="17"/>
      <c r="E357" s="17"/>
      <c r="F357" s="17"/>
      <c r="G357" s="17"/>
      <c r="H357" s="16" t="str">
        <f t="shared" si="10"/>
        <v/>
      </c>
      <c r="I357" s="3" t="str">
        <f t="shared" si="11"/>
        <v/>
      </c>
    </row>
    <row r="358" spans="1:9" ht="13" x14ac:dyDescent="0.15">
      <c r="A358" s="17"/>
      <c r="B358" s="17"/>
      <c r="C358" s="18"/>
      <c r="D358" s="17"/>
      <c r="E358" s="17"/>
      <c r="F358" s="17"/>
      <c r="G358" s="17"/>
      <c r="H358" s="16" t="str">
        <f t="shared" si="10"/>
        <v/>
      </c>
      <c r="I358" s="3" t="str">
        <f t="shared" si="11"/>
        <v/>
      </c>
    </row>
    <row r="359" spans="1:9" ht="13" x14ac:dyDescent="0.15">
      <c r="A359" s="17"/>
      <c r="B359" s="17"/>
      <c r="C359" s="18"/>
      <c r="D359" s="17"/>
      <c r="E359" s="17"/>
      <c r="F359" s="17"/>
      <c r="G359" s="17"/>
      <c r="H359" s="16" t="str">
        <f t="shared" si="10"/>
        <v/>
      </c>
      <c r="I359" s="3" t="str">
        <f t="shared" si="11"/>
        <v/>
      </c>
    </row>
    <row r="360" spans="1:9" ht="13" x14ac:dyDescent="0.15">
      <c r="A360" s="17"/>
      <c r="B360" s="17"/>
      <c r="C360" s="18"/>
      <c r="D360" s="17"/>
      <c r="E360" s="17"/>
      <c r="F360" s="17"/>
      <c r="G360" s="17"/>
      <c r="H360" s="16" t="str">
        <f t="shared" si="10"/>
        <v/>
      </c>
      <c r="I360" s="3" t="str">
        <f t="shared" si="11"/>
        <v/>
      </c>
    </row>
    <row r="361" spans="1:9" ht="13" x14ac:dyDescent="0.15">
      <c r="A361" s="17"/>
      <c r="B361" s="17"/>
      <c r="C361" s="18"/>
      <c r="D361" s="17"/>
      <c r="E361" s="17"/>
      <c r="F361" s="17"/>
      <c r="G361" s="17"/>
      <c r="H361" s="16" t="str">
        <f t="shared" si="10"/>
        <v/>
      </c>
      <c r="I361" s="3" t="str">
        <f t="shared" si="11"/>
        <v/>
      </c>
    </row>
    <row r="362" spans="1:9" ht="13" x14ac:dyDescent="0.15">
      <c r="A362" s="17"/>
      <c r="B362" s="17"/>
      <c r="C362" s="18"/>
      <c r="D362" s="17"/>
      <c r="E362" s="17"/>
      <c r="F362" s="17"/>
      <c r="G362" s="17"/>
      <c r="H362" s="16" t="str">
        <f t="shared" si="10"/>
        <v/>
      </c>
      <c r="I362" s="3" t="str">
        <f t="shared" si="11"/>
        <v/>
      </c>
    </row>
    <row r="363" spans="1:9" ht="13" x14ac:dyDescent="0.15">
      <c r="A363" s="17"/>
      <c r="B363" s="17"/>
      <c r="C363" s="18"/>
      <c r="D363" s="17"/>
      <c r="E363" s="17"/>
      <c r="F363" s="17"/>
      <c r="G363" s="17"/>
      <c r="H363" s="16" t="str">
        <f t="shared" si="10"/>
        <v/>
      </c>
      <c r="I363" s="3" t="str">
        <f t="shared" si="11"/>
        <v/>
      </c>
    </row>
    <row r="364" spans="1:9" ht="13" x14ac:dyDescent="0.15">
      <c r="A364" s="17"/>
      <c r="B364" s="17"/>
      <c r="C364" s="18"/>
      <c r="D364" s="17"/>
      <c r="E364" s="17"/>
      <c r="F364" s="17"/>
      <c r="G364" s="17"/>
      <c r="H364" s="16" t="str">
        <f t="shared" si="10"/>
        <v/>
      </c>
      <c r="I364" s="3" t="str">
        <f t="shared" si="11"/>
        <v/>
      </c>
    </row>
    <row r="365" spans="1:9" ht="13" x14ac:dyDescent="0.15">
      <c r="A365" s="17"/>
      <c r="B365" s="17"/>
      <c r="C365" s="18"/>
      <c r="D365" s="17"/>
      <c r="E365" s="17"/>
      <c r="F365" s="17"/>
      <c r="G365" s="17"/>
      <c r="H365" s="16" t="str">
        <f t="shared" si="10"/>
        <v/>
      </c>
      <c r="I365" s="3" t="str">
        <f t="shared" si="11"/>
        <v/>
      </c>
    </row>
    <row r="366" spans="1:9" ht="13" x14ac:dyDescent="0.15">
      <c r="A366" s="17"/>
      <c r="B366" s="17"/>
      <c r="C366" s="18"/>
      <c r="D366" s="17"/>
      <c r="E366" s="17"/>
      <c r="F366" s="17"/>
      <c r="G366" s="17"/>
      <c r="H366" s="16" t="str">
        <f t="shared" si="10"/>
        <v/>
      </c>
      <c r="I366" s="3" t="str">
        <f t="shared" si="11"/>
        <v/>
      </c>
    </row>
    <row r="367" spans="1:9" ht="13" x14ac:dyDescent="0.15">
      <c r="A367" s="17"/>
      <c r="B367" s="17"/>
      <c r="C367" s="18"/>
      <c r="D367" s="17"/>
      <c r="E367" s="17"/>
      <c r="F367" s="17"/>
      <c r="G367" s="17"/>
      <c r="H367" s="16" t="str">
        <f t="shared" si="10"/>
        <v/>
      </c>
      <c r="I367" s="3" t="str">
        <f t="shared" si="11"/>
        <v/>
      </c>
    </row>
    <row r="368" spans="1:9" ht="13" x14ac:dyDescent="0.15">
      <c r="A368" s="17"/>
      <c r="B368" s="17"/>
      <c r="C368" s="18"/>
      <c r="D368" s="17"/>
      <c r="E368" s="17"/>
      <c r="F368" s="17"/>
      <c r="G368" s="17"/>
      <c r="H368" s="16" t="str">
        <f t="shared" si="10"/>
        <v/>
      </c>
      <c r="I368" s="3" t="str">
        <f t="shared" si="11"/>
        <v/>
      </c>
    </row>
    <row r="369" spans="1:9" ht="13" x14ac:dyDescent="0.15">
      <c r="A369" s="17"/>
      <c r="B369" s="17"/>
      <c r="C369" s="18"/>
      <c r="D369" s="17"/>
      <c r="E369" s="17"/>
      <c r="F369" s="17"/>
      <c r="G369" s="17"/>
      <c r="H369" s="16" t="str">
        <f t="shared" si="10"/>
        <v/>
      </c>
      <c r="I369" s="3" t="str">
        <f t="shared" si="11"/>
        <v/>
      </c>
    </row>
    <row r="370" spans="1:9" ht="13" x14ac:dyDescent="0.15">
      <c r="A370" s="17"/>
      <c r="B370" s="17"/>
      <c r="C370" s="18"/>
      <c r="D370" s="17"/>
      <c r="E370" s="17"/>
      <c r="F370" s="17"/>
      <c r="G370" s="17"/>
      <c r="H370" s="16" t="str">
        <f t="shared" si="10"/>
        <v/>
      </c>
      <c r="I370" s="3" t="str">
        <f t="shared" si="11"/>
        <v/>
      </c>
    </row>
    <row r="371" spans="1:9" ht="13" x14ac:dyDescent="0.15">
      <c r="A371" s="17"/>
      <c r="B371" s="17"/>
      <c r="C371" s="18"/>
      <c r="D371" s="17"/>
      <c r="E371" s="17"/>
      <c r="F371" s="17"/>
      <c r="G371" s="17"/>
      <c r="H371" s="16" t="str">
        <f t="shared" si="10"/>
        <v/>
      </c>
      <c r="I371" s="3" t="str">
        <f t="shared" si="11"/>
        <v/>
      </c>
    </row>
    <row r="372" spans="1:9" ht="13" x14ac:dyDescent="0.15">
      <c r="A372" s="17"/>
      <c r="B372" s="17"/>
      <c r="C372" s="18"/>
      <c r="D372" s="17"/>
      <c r="E372" s="17"/>
      <c r="F372" s="17"/>
      <c r="G372" s="17"/>
      <c r="H372" s="16" t="str">
        <f t="shared" si="10"/>
        <v/>
      </c>
      <c r="I372" s="3" t="str">
        <f t="shared" si="11"/>
        <v/>
      </c>
    </row>
    <row r="373" spans="1:9" ht="13" x14ac:dyDescent="0.15">
      <c r="A373" s="17"/>
      <c r="B373" s="17"/>
      <c r="C373" s="18"/>
      <c r="D373" s="17"/>
      <c r="E373" s="17"/>
      <c r="F373" s="17"/>
      <c r="G373" s="17"/>
      <c r="H373" s="16" t="str">
        <f t="shared" si="10"/>
        <v/>
      </c>
      <c r="I373" s="3" t="str">
        <f t="shared" si="11"/>
        <v/>
      </c>
    </row>
    <row r="374" spans="1:9" ht="13" x14ac:dyDescent="0.15">
      <c r="A374" s="17"/>
      <c r="B374" s="17"/>
      <c r="C374" s="18"/>
      <c r="D374" s="17"/>
      <c r="E374" s="17"/>
      <c r="F374" s="17"/>
      <c r="G374" s="17"/>
      <c r="H374" s="16" t="str">
        <f t="shared" si="10"/>
        <v/>
      </c>
      <c r="I374" s="3" t="str">
        <f t="shared" si="11"/>
        <v/>
      </c>
    </row>
    <row r="375" spans="1:9" ht="13" x14ac:dyDescent="0.15">
      <c r="A375" s="17"/>
      <c r="B375" s="17"/>
      <c r="C375" s="18"/>
      <c r="D375" s="17"/>
      <c r="E375" s="17"/>
      <c r="F375" s="17"/>
      <c r="G375" s="17"/>
      <c r="H375" s="16" t="str">
        <f t="shared" si="10"/>
        <v/>
      </c>
      <c r="I375" s="3" t="str">
        <f t="shared" si="11"/>
        <v/>
      </c>
    </row>
    <row r="376" spans="1:9" ht="13" x14ac:dyDescent="0.15">
      <c r="A376" s="17"/>
      <c r="B376" s="17"/>
      <c r="C376" s="18"/>
      <c r="D376" s="17"/>
      <c r="E376" s="17"/>
      <c r="F376" s="17"/>
      <c r="G376" s="17"/>
      <c r="H376" s="16" t="str">
        <f t="shared" si="10"/>
        <v/>
      </c>
      <c r="I376" s="3" t="str">
        <f t="shared" si="11"/>
        <v/>
      </c>
    </row>
    <row r="377" spans="1:9" ht="13" x14ac:dyDescent="0.15">
      <c r="A377" s="17"/>
      <c r="B377" s="17"/>
      <c r="C377" s="18"/>
      <c r="D377" s="17"/>
      <c r="E377" s="17"/>
      <c r="F377" s="17"/>
      <c r="G377" s="17"/>
      <c r="H377" s="16" t="str">
        <f t="shared" si="10"/>
        <v/>
      </c>
      <c r="I377" s="3" t="str">
        <f t="shared" si="11"/>
        <v/>
      </c>
    </row>
    <row r="378" spans="1:9" ht="13" x14ac:dyDescent="0.15">
      <c r="A378" s="17"/>
      <c r="B378" s="17"/>
      <c r="C378" s="18"/>
      <c r="D378" s="17"/>
      <c r="E378" s="17"/>
      <c r="F378" s="17"/>
      <c r="G378" s="17"/>
      <c r="H378" s="16" t="str">
        <f t="shared" si="10"/>
        <v/>
      </c>
      <c r="I378" s="3" t="str">
        <f t="shared" si="11"/>
        <v/>
      </c>
    </row>
    <row r="379" spans="1:9" ht="13" x14ac:dyDescent="0.15">
      <c r="A379" s="17"/>
      <c r="B379" s="17"/>
      <c r="C379" s="18"/>
      <c r="D379" s="17"/>
      <c r="E379" s="17"/>
      <c r="F379" s="17"/>
      <c r="G379" s="17"/>
      <c r="H379" s="16" t="str">
        <f t="shared" si="10"/>
        <v/>
      </c>
      <c r="I379" s="3" t="str">
        <f t="shared" si="11"/>
        <v/>
      </c>
    </row>
    <row r="380" spans="1:9" ht="13" x14ac:dyDescent="0.15">
      <c r="A380" s="17"/>
      <c r="B380" s="17"/>
      <c r="C380" s="18"/>
      <c r="D380" s="17"/>
      <c r="E380" s="17"/>
      <c r="F380" s="17"/>
      <c r="G380" s="17"/>
      <c r="H380" s="16" t="str">
        <f t="shared" si="10"/>
        <v/>
      </c>
      <c r="I380" s="3" t="str">
        <f t="shared" si="11"/>
        <v/>
      </c>
    </row>
    <row r="381" spans="1:9" ht="13" x14ac:dyDescent="0.15">
      <c r="A381" s="17"/>
      <c r="B381" s="17"/>
      <c r="C381" s="18"/>
      <c r="D381" s="17"/>
      <c r="E381" s="17"/>
      <c r="F381" s="17"/>
      <c r="G381" s="17"/>
      <c r="H381" s="16" t="str">
        <f t="shared" si="10"/>
        <v/>
      </c>
      <c r="I381" s="3" t="str">
        <f t="shared" si="11"/>
        <v/>
      </c>
    </row>
    <row r="382" spans="1:9" ht="13" x14ac:dyDescent="0.15">
      <c r="A382" s="17"/>
      <c r="B382" s="17"/>
      <c r="C382" s="18"/>
      <c r="D382" s="17"/>
      <c r="E382" s="17"/>
      <c r="F382" s="17"/>
      <c r="G382" s="17"/>
      <c r="H382" s="16" t="str">
        <f t="shared" si="10"/>
        <v/>
      </c>
      <c r="I382" s="3" t="str">
        <f t="shared" si="11"/>
        <v/>
      </c>
    </row>
    <row r="383" spans="1:9" ht="13" x14ac:dyDescent="0.15">
      <c r="A383" s="17"/>
      <c r="B383" s="17"/>
      <c r="C383" s="18"/>
      <c r="D383" s="17"/>
      <c r="E383" s="17"/>
      <c r="F383" s="17"/>
      <c r="G383" s="17"/>
      <c r="H383" s="16" t="str">
        <f t="shared" si="10"/>
        <v/>
      </c>
      <c r="I383" s="3" t="str">
        <f t="shared" si="11"/>
        <v/>
      </c>
    </row>
    <row r="384" spans="1:9" ht="13" x14ac:dyDescent="0.15">
      <c r="A384" s="17"/>
      <c r="B384" s="17"/>
      <c r="C384" s="18"/>
      <c r="D384" s="17"/>
      <c r="E384" s="17"/>
      <c r="F384" s="17"/>
      <c r="G384" s="17"/>
      <c r="H384" s="16" t="str">
        <f t="shared" si="10"/>
        <v/>
      </c>
      <c r="I384" s="3" t="str">
        <f t="shared" si="11"/>
        <v/>
      </c>
    </row>
    <row r="385" spans="1:9" ht="13" x14ac:dyDescent="0.15">
      <c r="A385" s="17"/>
      <c r="B385" s="17"/>
      <c r="C385" s="18"/>
      <c r="D385" s="17"/>
      <c r="E385" s="17"/>
      <c r="F385" s="17"/>
      <c r="G385" s="17"/>
      <c r="H385" s="16" t="str">
        <f t="shared" si="10"/>
        <v/>
      </c>
      <c r="I385" s="3" t="str">
        <f t="shared" si="11"/>
        <v/>
      </c>
    </row>
    <row r="386" spans="1:9" ht="13" x14ac:dyDescent="0.15">
      <c r="A386" s="17"/>
      <c r="B386" s="17"/>
      <c r="C386" s="18"/>
      <c r="D386" s="17"/>
      <c r="E386" s="17"/>
      <c r="F386" s="17"/>
      <c r="G386" s="17"/>
      <c r="H386" s="16" t="str">
        <f t="shared" ref="H386:H449" si="12">IF(ISBLANK(C386),"",C386*$L$13)</f>
        <v/>
      </c>
      <c r="I386" s="3" t="str">
        <f t="shared" ref="I386:I449" si="13">IF(ISNUMBER(H386),IF(ABS(H386-$L$14)&gt;$M$16,"OUT",""),"")</f>
        <v/>
      </c>
    </row>
    <row r="387" spans="1:9" ht="13" x14ac:dyDescent="0.15">
      <c r="A387" s="17"/>
      <c r="B387" s="17"/>
      <c r="C387" s="18"/>
      <c r="D387" s="17"/>
      <c r="E387" s="17"/>
      <c r="F387" s="17"/>
      <c r="G387" s="17"/>
      <c r="H387" s="16" t="str">
        <f t="shared" si="12"/>
        <v/>
      </c>
      <c r="I387" s="3" t="str">
        <f t="shared" si="13"/>
        <v/>
      </c>
    </row>
    <row r="388" spans="1:9" ht="13" x14ac:dyDescent="0.15">
      <c r="A388" s="17"/>
      <c r="B388" s="17"/>
      <c r="C388" s="18"/>
      <c r="D388" s="17"/>
      <c r="E388" s="17"/>
      <c r="F388" s="17"/>
      <c r="G388" s="17"/>
      <c r="H388" s="16" t="str">
        <f t="shared" si="12"/>
        <v/>
      </c>
      <c r="I388" s="3" t="str">
        <f t="shared" si="13"/>
        <v/>
      </c>
    </row>
    <row r="389" spans="1:9" ht="13" x14ac:dyDescent="0.15">
      <c r="A389" s="17"/>
      <c r="B389" s="17"/>
      <c r="C389" s="18"/>
      <c r="D389" s="17"/>
      <c r="E389" s="17"/>
      <c r="F389" s="17"/>
      <c r="G389" s="17"/>
      <c r="H389" s="16" t="str">
        <f t="shared" si="12"/>
        <v/>
      </c>
      <c r="I389" s="3" t="str">
        <f t="shared" si="13"/>
        <v/>
      </c>
    </row>
    <row r="390" spans="1:9" ht="13" x14ac:dyDescent="0.15">
      <c r="A390" s="17"/>
      <c r="B390" s="17"/>
      <c r="C390" s="18"/>
      <c r="D390" s="17"/>
      <c r="E390" s="17"/>
      <c r="F390" s="17"/>
      <c r="G390" s="17"/>
      <c r="H390" s="16" t="str">
        <f t="shared" si="12"/>
        <v/>
      </c>
      <c r="I390" s="3" t="str">
        <f t="shared" si="13"/>
        <v/>
      </c>
    </row>
    <row r="391" spans="1:9" ht="13" x14ac:dyDescent="0.15">
      <c r="A391" s="17"/>
      <c r="B391" s="17"/>
      <c r="C391" s="18"/>
      <c r="D391" s="17"/>
      <c r="E391" s="17"/>
      <c r="F391" s="17"/>
      <c r="G391" s="17"/>
      <c r="H391" s="16" t="str">
        <f t="shared" si="12"/>
        <v/>
      </c>
      <c r="I391" s="3" t="str">
        <f t="shared" si="13"/>
        <v/>
      </c>
    </row>
    <row r="392" spans="1:9" ht="13" x14ac:dyDescent="0.15">
      <c r="A392" s="17"/>
      <c r="B392" s="17"/>
      <c r="C392" s="18"/>
      <c r="D392" s="17"/>
      <c r="E392" s="17"/>
      <c r="F392" s="17"/>
      <c r="G392" s="17"/>
      <c r="H392" s="16" t="str">
        <f t="shared" si="12"/>
        <v/>
      </c>
      <c r="I392" s="3" t="str">
        <f t="shared" si="13"/>
        <v/>
      </c>
    </row>
    <row r="393" spans="1:9" ht="13" x14ac:dyDescent="0.15">
      <c r="A393" s="17"/>
      <c r="B393" s="17"/>
      <c r="C393" s="18"/>
      <c r="D393" s="17"/>
      <c r="E393" s="17"/>
      <c r="F393" s="17"/>
      <c r="G393" s="17"/>
      <c r="H393" s="16" t="str">
        <f t="shared" si="12"/>
        <v/>
      </c>
      <c r="I393" s="3" t="str">
        <f t="shared" si="13"/>
        <v/>
      </c>
    </row>
    <row r="394" spans="1:9" ht="13" x14ac:dyDescent="0.15">
      <c r="A394" s="17"/>
      <c r="B394" s="17"/>
      <c r="C394" s="18"/>
      <c r="D394" s="17"/>
      <c r="E394" s="17"/>
      <c r="F394" s="17"/>
      <c r="G394" s="17"/>
      <c r="H394" s="16" t="str">
        <f t="shared" si="12"/>
        <v/>
      </c>
      <c r="I394" s="3" t="str">
        <f t="shared" si="13"/>
        <v/>
      </c>
    </row>
    <row r="395" spans="1:9" ht="13" x14ac:dyDescent="0.15">
      <c r="A395" s="17"/>
      <c r="B395" s="17"/>
      <c r="C395" s="18"/>
      <c r="D395" s="17"/>
      <c r="E395" s="17"/>
      <c r="F395" s="17"/>
      <c r="G395" s="17"/>
      <c r="H395" s="16" t="str">
        <f t="shared" si="12"/>
        <v/>
      </c>
      <c r="I395" s="3" t="str">
        <f t="shared" si="13"/>
        <v/>
      </c>
    </row>
    <row r="396" spans="1:9" ht="13" x14ac:dyDescent="0.15">
      <c r="A396" s="17"/>
      <c r="B396" s="17"/>
      <c r="C396" s="18"/>
      <c r="D396" s="17"/>
      <c r="E396" s="17"/>
      <c r="F396" s="17"/>
      <c r="G396" s="17"/>
      <c r="H396" s="16" t="str">
        <f t="shared" si="12"/>
        <v/>
      </c>
      <c r="I396" s="3" t="str">
        <f t="shared" si="13"/>
        <v/>
      </c>
    </row>
    <row r="397" spans="1:9" ht="13" x14ac:dyDescent="0.15">
      <c r="A397" s="17"/>
      <c r="B397" s="17"/>
      <c r="C397" s="18"/>
      <c r="D397" s="17"/>
      <c r="E397" s="17"/>
      <c r="F397" s="17"/>
      <c r="G397" s="17"/>
      <c r="H397" s="16" t="str">
        <f t="shared" si="12"/>
        <v/>
      </c>
      <c r="I397" s="3" t="str">
        <f t="shared" si="13"/>
        <v/>
      </c>
    </row>
    <row r="398" spans="1:9" ht="13" x14ac:dyDescent="0.15">
      <c r="A398" s="17"/>
      <c r="B398" s="17"/>
      <c r="C398" s="18"/>
      <c r="D398" s="17"/>
      <c r="E398" s="17"/>
      <c r="F398" s="17"/>
      <c r="G398" s="17"/>
      <c r="H398" s="16" t="str">
        <f t="shared" si="12"/>
        <v/>
      </c>
      <c r="I398" s="3" t="str">
        <f t="shared" si="13"/>
        <v/>
      </c>
    </row>
    <row r="399" spans="1:9" ht="13" x14ac:dyDescent="0.15">
      <c r="A399" s="17"/>
      <c r="B399" s="17"/>
      <c r="C399" s="18"/>
      <c r="D399" s="17"/>
      <c r="E399" s="17"/>
      <c r="F399" s="17"/>
      <c r="G399" s="17"/>
      <c r="H399" s="16" t="str">
        <f t="shared" si="12"/>
        <v/>
      </c>
      <c r="I399" s="3" t="str">
        <f t="shared" si="13"/>
        <v/>
      </c>
    </row>
    <row r="400" spans="1:9" ht="13" x14ac:dyDescent="0.15">
      <c r="A400" s="17"/>
      <c r="B400" s="17"/>
      <c r="C400" s="18"/>
      <c r="D400" s="17"/>
      <c r="E400" s="17"/>
      <c r="F400" s="17"/>
      <c r="G400" s="17"/>
      <c r="H400" s="16" t="str">
        <f t="shared" si="12"/>
        <v/>
      </c>
      <c r="I400" s="3" t="str">
        <f t="shared" si="13"/>
        <v/>
      </c>
    </row>
    <row r="401" spans="1:9" ht="13" x14ac:dyDescent="0.15">
      <c r="A401" s="17"/>
      <c r="B401" s="17"/>
      <c r="C401" s="18"/>
      <c r="D401" s="17"/>
      <c r="E401" s="17"/>
      <c r="F401" s="17"/>
      <c r="G401" s="17"/>
      <c r="H401" s="16" t="str">
        <f t="shared" si="12"/>
        <v/>
      </c>
      <c r="I401" s="3" t="str">
        <f t="shared" si="13"/>
        <v/>
      </c>
    </row>
    <row r="402" spans="1:9" ht="13" x14ac:dyDescent="0.15">
      <c r="A402" s="17"/>
      <c r="B402" s="17"/>
      <c r="C402" s="18"/>
      <c r="D402" s="17"/>
      <c r="E402" s="17"/>
      <c r="F402" s="17"/>
      <c r="G402" s="17"/>
      <c r="H402" s="16" t="str">
        <f t="shared" si="12"/>
        <v/>
      </c>
      <c r="I402" s="3" t="str">
        <f t="shared" si="13"/>
        <v/>
      </c>
    </row>
    <row r="403" spans="1:9" ht="13" x14ac:dyDescent="0.15">
      <c r="A403" s="17"/>
      <c r="B403" s="17"/>
      <c r="C403" s="18"/>
      <c r="D403" s="17"/>
      <c r="E403" s="17"/>
      <c r="F403" s="17"/>
      <c r="G403" s="17"/>
      <c r="H403" s="16" t="str">
        <f t="shared" si="12"/>
        <v/>
      </c>
      <c r="I403" s="3" t="str">
        <f t="shared" si="13"/>
        <v/>
      </c>
    </row>
    <row r="404" spans="1:9" ht="13" x14ac:dyDescent="0.15">
      <c r="A404" s="17"/>
      <c r="B404" s="17"/>
      <c r="C404" s="18"/>
      <c r="D404" s="17"/>
      <c r="E404" s="17"/>
      <c r="F404" s="17"/>
      <c r="G404" s="17"/>
      <c r="H404" s="16" t="str">
        <f t="shared" si="12"/>
        <v/>
      </c>
      <c r="I404" s="3" t="str">
        <f t="shared" si="13"/>
        <v/>
      </c>
    </row>
    <row r="405" spans="1:9" ht="13" x14ac:dyDescent="0.15">
      <c r="A405" s="17"/>
      <c r="B405" s="17"/>
      <c r="C405" s="18"/>
      <c r="D405" s="17"/>
      <c r="E405" s="17"/>
      <c r="F405" s="17"/>
      <c r="G405" s="17"/>
      <c r="H405" s="16" t="str">
        <f t="shared" si="12"/>
        <v/>
      </c>
      <c r="I405" s="3" t="str">
        <f t="shared" si="13"/>
        <v/>
      </c>
    </row>
    <row r="406" spans="1:9" ht="13" x14ac:dyDescent="0.15">
      <c r="A406" s="17"/>
      <c r="B406" s="17"/>
      <c r="C406" s="18"/>
      <c r="D406" s="17"/>
      <c r="E406" s="17"/>
      <c r="F406" s="17"/>
      <c r="G406" s="17"/>
      <c r="H406" s="16" t="str">
        <f t="shared" si="12"/>
        <v/>
      </c>
      <c r="I406" s="3" t="str">
        <f t="shared" si="13"/>
        <v/>
      </c>
    </row>
    <row r="407" spans="1:9" ht="13" x14ac:dyDescent="0.15">
      <c r="A407" s="17"/>
      <c r="B407" s="17"/>
      <c r="C407" s="18"/>
      <c r="D407" s="17"/>
      <c r="E407" s="17"/>
      <c r="F407" s="17"/>
      <c r="G407" s="17"/>
      <c r="H407" s="16" t="str">
        <f t="shared" si="12"/>
        <v/>
      </c>
      <c r="I407" s="3" t="str">
        <f t="shared" si="13"/>
        <v/>
      </c>
    </row>
    <row r="408" spans="1:9" ht="13" x14ac:dyDescent="0.15">
      <c r="A408" s="17"/>
      <c r="B408" s="17"/>
      <c r="C408" s="18"/>
      <c r="D408" s="17"/>
      <c r="E408" s="17"/>
      <c r="F408" s="17"/>
      <c r="G408" s="17"/>
      <c r="H408" s="16" t="str">
        <f t="shared" si="12"/>
        <v/>
      </c>
      <c r="I408" s="3" t="str">
        <f t="shared" si="13"/>
        <v/>
      </c>
    </row>
    <row r="409" spans="1:9" ht="13" x14ac:dyDescent="0.15">
      <c r="A409" s="17"/>
      <c r="B409" s="17"/>
      <c r="C409" s="18"/>
      <c r="D409" s="17"/>
      <c r="E409" s="17"/>
      <c r="F409" s="17"/>
      <c r="G409" s="17"/>
      <c r="H409" s="16" t="str">
        <f t="shared" si="12"/>
        <v/>
      </c>
      <c r="I409" s="3" t="str">
        <f t="shared" si="13"/>
        <v/>
      </c>
    </row>
    <row r="410" spans="1:9" ht="13" x14ac:dyDescent="0.15">
      <c r="A410" s="17"/>
      <c r="B410" s="17"/>
      <c r="C410" s="18"/>
      <c r="D410" s="17"/>
      <c r="E410" s="17"/>
      <c r="F410" s="17"/>
      <c r="G410" s="17"/>
      <c r="H410" s="16" t="str">
        <f t="shared" si="12"/>
        <v/>
      </c>
      <c r="I410" s="3" t="str">
        <f t="shared" si="13"/>
        <v/>
      </c>
    </row>
    <row r="411" spans="1:9" ht="13" x14ac:dyDescent="0.15">
      <c r="A411" s="17"/>
      <c r="B411" s="17"/>
      <c r="C411" s="18"/>
      <c r="D411" s="17"/>
      <c r="E411" s="17"/>
      <c r="F411" s="17"/>
      <c r="G411" s="17"/>
      <c r="H411" s="16" t="str">
        <f t="shared" si="12"/>
        <v/>
      </c>
      <c r="I411" s="3" t="str">
        <f t="shared" si="13"/>
        <v/>
      </c>
    </row>
    <row r="412" spans="1:9" ht="13" x14ac:dyDescent="0.15">
      <c r="A412" s="17"/>
      <c r="B412" s="17"/>
      <c r="C412" s="18"/>
      <c r="D412" s="17"/>
      <c r="E412" s="17"/>
      <c r="F412" s="17"/>
      <c r="G412" s="17"/>
      <c r="H412" s="16" t="str">
        <f t="shared" si="12"/>
        <v/>
      </c>
      <c r="I412" s="3" t="str">
        <f t="shared" si="13"/>
        <v/>
      </c>
    </row>
    <row r="413" spans="1:9" ht="13" x14ac:dyDescent="0.15">
      <c r="A413" s="17"/>
      <c r="B413" s="17"/>
      <c r="C413" s="18"/>
      <c r="D413" s="17"/>
      <c r="E413" s="17"/>
      <c r="F413" s="17"/>
      <c r="G413" s="17"/>
      <c r="H413" s="16" t="str">
        <f t="shared" si="12"/>
        <v/>
      </c>
      <c r="I413" s="3" t="str">
        <f t="shared" si="13"/>
        <v/>
      </c>
    </row>
    <row r="414" spans="1:9" ht="13" x14ac:dyDescent="0.15">
      <c r="A414" s="17"/>
      <c r="B414" s="17"/>
      <c r="C414" s="18"/>
      <c r="D414" s="17"/>
      <c r="E414" s="17"/>
      <c r="F414" s="17"/>
      <c r="G414" s="17"/>
      <c r="H414" s="16" t="str">
        <f t="shared" si="12"/>
        <v/>
      </c>
      <c r="I414" s="3" t="str">
        <f t="shared" si="13"/>
        <v/>
      </c>
    </row>
    <row r="415" spans="1:9" ht="13" x14ac:dyDescent="0.15">
      <c r="A415" s="17"/>
      <c r="B415" s="17"/>
      <c r="C415" s="18"/>
      <c r="D415" s="17"/>
      <c r="E415" s="17"/>
      <c r="F415" s="17"/>
      <c r="G415" s="17"/>
      <c r="H415" s="16" t="str">
        <f t="shared" si="12"/>
        <v/>
      </c>
      <c r="I415" s="3" t="str">
        <f t="shared" si="13"/>
        <v/>
      </c>
    </row>
    <row r="416" spans="1:9" ht="13" x14ac:dyDescent="0.15">
      <c r="A416" s="17"/>
      <c r="B416" s="17"/>
      <c r="C416" s="18"/>
      <c r="D416" s="17"/>
      <c r="E416" s="17"/>
      <c r="F416" s="17"/>
      <c r="G416" s="17"/>
      <c r="H416" s="16" t="str">
        <f t="shared" si="12"/>
        <v/>
      </c>
      <c r="I416" s="3" t="str">
        <f t="shared" si="13"/>
        <v/>
      </c>
    </row>
    <row r="417" spans="1:9" ht="13" x14ac:dyDescent="0.15">
      <c r="A417" s="17"/>
      <c r="B417" s="17"/>
      <c r="C417" s="18"/>
      <c r="D417" s="17"/>
      <c r="E417" s="17"/>
      <c r="F417" s="17"/>
      <c r="G417" s="17"/>
      <c r="H417" s="16" t="str">
        <f t="shared" si="12"/>
        <v/>
      </c>
      <c r="I417" s="3" t="str">
        <f t="shared" si="13"/>
        <v/>
      </c>
    </row>
    <row r="418" spans="1:9" ht="13" x14ac:dyDescent="0.15">
      <c r="A418" s="17"/>
      <c r="B418" s="17"/>
      <c r="C418" s="18"/>
      <c r="D418" s="17"/>
      <c r="E418" s="17"/>
      <c r="F418" s="17"/>
      <c r="G418" s="17"/>
      <c r="H418" s="16" t="str">
        <f t="shared" si="12"/>
        <v/>
      </c>
      <c r="I418" s="3" t="str">
        <f t="shared" si="13"/>
        <v/>
      </c>
    </row>
    <row r="419" spans="1:9" ht="13" x14ac:dyDescent="0.15">
      <c r="A419" s="17"/>
      <c r="B419" s="17"/>
      <c r="C419" s="18"/>
      <c r="D419" s="17"/>
      <c r="E419" s="17"/>
      <c r="F419" s="17"/>
      <c r="G419" s="17"/>
      <c r="H419" s="16" t="str">
        <f t="shared" si="12"/>
        <v/>
      </c>
      <c r="I419" s="3" t="str">
        <f t="shared" si="13"/>
        <v/>
      </c>
    </row>
    <row r="420" spans="1:9" ht="13" x14ac:dyDescent="0.15">
      <c r="A420" s="17"/>
      <c r="B420" s="17"/>
      <c r="C420" s="18"/>
      <c r="D420" s="17"/>
      <c r="E420" s="17"/>
      <c r="F420" s="17"/>
      <c r="G420" s="17"/>
      <c r="H420" s="16" t="str">
        <f t="shared" si="12"/>
        <v/>
      </c>
      <c r="I420" s="3" t="str">
        <f t="shared" si="13"/>
        <v/>
      </c>
    </row>
    <row r="421" spans="1:9" ht="13" x14ac:dyDescent="0.15">
      <c r="A421" s="17"/>
      <c r="B421" s="17"/>
      <c r="C421" s="18"/>
      <c r="D421" s="17"/>
      <c r="E421" s="17"/>
      <c r="F421" s="17"/>
      <c r="G421" s="17"/>
      <c r="H421" s="16" t="str">
        <f t="shared" si="12"/>
        <v/>
      </c>
      <c r="I421" s="3" t="str">
        <f t="shared" si="13"/>
        <v/>
      </c>
    </row>
    <row r="422" spans="1:9" ht="13" x14ac:dyDescent="0.15">
      <c r="A422" s="17"/>
      <c r="B422" s="17"/>
      <c r="C422" s="18"/>
      <c r="D422" s="17"/>
      <c r="E422" s="17"/>
      <c r="F422" s="17"/>
      <c r="G422" s="17"/>
      <c r="H422" s="16" t="str">
        <f t="shared" si="12"/>
        <v/>
      </c>
      <c r="I422" s="3" t="str">
        <f t="shared" si="13"/>
        <v/>
      </c>
    </row>
    <row r="423" spans="1:9" ht="13" x14ac:dyDescent="0.15">
      <c r="A423" s="17"/>
      <c r="B423" s="17"/>
      <c r="C423" s="18"/>
      <c r="D423" s="17"/>
      <c r="E423" s="17"/>
      <c r="F423" s="17"/>
      <c r="G423" s="17"/>
      <c r="H423" s="16" t="str">
        <f t="shared" si="12"/>
        <v/>
      </c>
      <c r="I423" s="3" t="str">
        <f t="shared" si="13"/>
        <v/>
      </c>
    </row>
    <row r="424" spans="1:9" ht="13" x14ac:dyDescent="0.15">
      <c r="A424" s="17"/>
      <c r="B424" s="17"/>
      <c r="C424" s="18"/>
      <c r="D424" s="17"/>
      <c r="E424" s="17"/>
      <c r="F424" s="17"/>
      <c r="G424" s="17"/>
      <c r="H424" s="16" t="str">
        <f t="shared" si="12"/>
        <v/>
      </c>
      <c r="I424" s="3" t="str">
        <f t="shared" si="13"/>
        <v/>
      </c>
    </row>
    <row r="425" spans="1:9" ht="13" x14ac:dyDescent="0.15">
      <c r="A425" s="17"/>
      <c r="B425" s="17"/>
      <c r="C425" s="18"/>
      <c r="D425" s="17"/>
      <c r="E425" s="17"/>
      <c r="F425" s="17"/>
      <c r="G425" s="17"/>
      <c r="H425" s="16" t="str">
        <f t="shared" si="12"/>
        <v/>
      </c>
      <c r="I425" s="3" t="str">
        <f t="shared" si="13"/>
        <v/>
      </c>
    </row>
    <row r="426" spans="1:9" ht="13" x14ac:dyDescent="0.15">
      <c r="A426" s="17"/>
      <c r="B426" s="17"/>
      <c r="C426" s="18"/>
      <c r="D426" s="17"/>
      <c r="E426" s="17"/>
      <c r="F426" s="17"/>
      <c r="G426" s="17"/>
      <c r="H426" s="16" t="str">
        <f t="shared" si="12"/>
        <v/>
      </c>
      <c r="I426" s="3" t="str">
        <f t="shared" si="13"/>
        <v/>
      </c>
    </row>
    <row r="427" spans="1:9" ht="13" x14ac:dyDescent="0.15">
      <c r="A427" s="17"/>
      <c r="B427" s="17"/>
      <c r="C427" s="18"/>
      <c r="D427" s="17"/>
      <c r="E427" s="17"/>
      <c r="F427" s="17"/>
      <c r="G427" s="17"/>
      <c r="H427" s="16" t="str">
        <f t="shared" si="12"/>
        <v/>
      </c>
      <c r="I427" s="3" t="str">
        <f t="shared" si="13"/>
        <v/>
      </c>
    </row>
    <row r="428" spans="1:9" ht="13" x14ac:dyDescent="0.15">
      <c r="A428" s="17"/>
      <c r="B428" s="17"/>
      <c r="C428" s="18"/>
      <c r="D428" s="17"/>
      <c r="E428" s="17"/>
      <c r="F428" s="17"/>
      <c r="G428" s="17"/>
      <c r="H428" s="16" t="str">
        <f t="shared" si="12"/>
        <v/>
      </c>
      <c r="I428" s="3" t="str">
        <f t="shared" si="13"/>
        <v/>
      </c>
    </row>
    <row r="429" spans="1:9" ht="13" x14ac:dyDescent="0.15">
      <c r="A429" s="17"/>
      <c r="B429" s="17"/>
      <c r="C429" s="18"/>
      <c r="D429" s="17"/>
      <c r="E429" s="17"/>
      <c r="F429" s="17"/>
      <c r="G429" s="17"/>
      <c r="H429" s="16" t="str">
        <f t="shared" si="12"/>
        <v/>
      </c>
      <c r="I429" s="3" t="str">
        <f t="shared" si="13"/>
        <v/>
      </c>
    </row>
    <row r="430" spans="1:9" ht="13" x14ac:dyDescent="0.15">
      <c r="A430" s="17"/>
      <c r="B430" s="17"/>
      <c r="C430" s="18"/>
      <c r="D430" s="17"/>
      <c r="E430" s="17"/>
      <c r="F430" s="17"/>
      <c r="G430" s="17"/>
      <c r="H430" s="16" t="str">
        <f t="shared" si="12"/>
        <v/>
      </c>
      <c r="I430" s="3" t="str">
        <f t="shared" si="13"/>
        <v/>
      </c>
    </row>
    <row r="431" spans="1:9" ht="13" x14ac:dyDescent="0.15">
      <c r="A431" s="17"/>
      <c r="B431" s="17"/>
      <c r="C431" s="18"/>
      <c r="D431" s="17"/>
      <c r="E431" s="17"/>
      <c r="F431" s="17"/>
      <c r="G431" s="17"/>
      <c r="H431" s="16" t="str">
        <f t="shared" si="12"/>
        <v/>
      </c>
      <c r="I431" s="3" t="str">
        <f t="shared" si="13"/>
        <v/>
      </c>
    </row>
    <row r="432" spans="1:9" ht="13" x14ac:dyDescent="0.15">
      <c r="A432" s="17"/>
      <c r="B432" s="17"/>
      <c r="C432" s="18"/>
      <c r="D432" s="17"/>
      <c r="E432" s="17"/>
      <c r="F432" s="17"/>
      <c r="G432" s="17"/>
      <c r="H432" s="16" t="str">
        <f t="shared" si="12"/>
        <v/>
      </c>
      <c r="I432" s="3" t="str">
        <f t="shared" si="13"/>
        <v/>
      </c>
    </row>
    <row r="433" spans="1:9" ht="13" x14ac:dyDescent="0.15">
      <c r="A433" s="17"/>
      <c r="B433" s="17"/>
      <c r="C433" s="18"/>
      <c r="D433" s="17"/>
      <c r="E433" s="17"/>
      <c r="F433" s="17"/>
      <c r="G433" s="17"/>
      <c r="H433" s="16" t="str">
        <f t="shared" si="12"/>
        <v/>
      </c>
      <c r="I433" s="3" t="str">
        <f t="shared" si="13"/>
        <v/>
      </c>
    </row>
    <row r="434" spans="1:9" ht="13" x14ac:dyDescent="0.15">
      <c r="A434" s="17"/>
      <c r="B434" s="17"/>
      <c r="C434" s="18"/>
      <c r="D434" s="17"/>
      <c r="E434" s="17"/>
      <c r="F434" s="17"/>
      <c r="G434" s="17"/>
      <c r="H434" s="16" t="str">
        <f t="shared" si="12"/>
        <v/>
      </c>
      <c r="I434" s="3" t="str">
        <f t="shared" si="13"/>
        <v/>
      </c>
    </row>
    <row r="435" spans="1:9" ht="13" x14ac:dyDescent="0.15">
      <c r="A435" s="17"/>
      <c r="B435" s="17"/>
      <c r="C435" s="18"/>
      <c r="D435" s="17"/>
      <c r="E435" s="17"/>
      <c r="F435" s="17"/>
      <c r="G435" s="17"/>
      <c r="H435" s="16" t="str">
        <f t="shared" si="12"/>
        <v/>
      </c>
      <c r="I435" s="3" t="str">
        <f t="shared" si="13"/>
        <v/>
      </c>
    </row>
    <row r="436" spans="1:9" ht="13" x14ac:dyDescent="0.15">
      <c r="A436" s="17"/>
      <c r="B436" s="17"/>
      <c r="C436" s="18"/>
      <c r="D436" s="17"/>
      <c r="E436" s="17"/>
      <c r="F436" s="17"/>
      <c r="G436" s="17"/>
      <c r="H436" s="16" t="str">
        <f t="shared" si="12"/>
        <v/>
      </c>
      <c r="I436" s="3" t="str">
        <f t="shared" si="13"/>
        <v/>
      </c>
    </row>
    <row r="437" spans="1:9" ht="13" x14ac:dyDescent="0.15">
      <c r="A437" s="17"/>
      <c r="B437" s="17"/>
      <c r="C437" s="18"/>
      <c r="D437" s="17"/>
      <c r="E437" s="17"/>
      <c r="F437" s="17"/>
      <c r="G437" s="17"/>
      <c r="H437" s="16" t="str">
        <f t="shared" si="12"/>
        <v/>
      </c>
      <c r="I437" s="3" t="str">
        <f t="shared" si="13"/>
        <v/>
      </c>
    </row>
    <row r="438" spans="1:9" ht="13" x14ac:dyDescent="0.15">
      <c r="A438" s="17"/>
      <c r="B438" s="17"/>
      <c r="C438" s="18"/>
      <c r="D438" s="17"/>
      <c r="E438" s="17"/>
      <c r="F438" s="17"/>
      <c r="G438" s="17"/>
      <c r="H438" s="16" t="str">
        <f t="shared" si="12"/>
        <v/>
      </c>
      <c r="I438" s="3" t="str">
        <f t="shared" si="13"/>
        <v/>
      </c>
    </row>
    <row r="439" spans="1:9" ht="13" x14ac:dyDescent="0.15">
      <c r="A439" s="17"/>
      <c r="B439" s="17"/>
      <c r="C439" s="18"/>
      <c r="D439" s="17"/>
      <c r="E439" s="17"/>
      <c r="F439" s="17"/>
      <c r="G439" s="17"/>
      <c r="H439" s="16" t="str">
        <f t="shared" si="12"/>
        <v/>
      </c>
      <c r="I439" s="3" t="str">
        <f t="shared" si="13"/>
        <v/>
      </c>
    </row>
    <row r="440" spans="1:9" ht="13" x14ac:dyDescent="0.15">
      <c r="A440" s="17"/>
      <c r="B440" s="17"/>
      <c r="C440" s="18"/>
      <c r="D440" s="17"/>
      <c r="E440" s="17"/>
      <c r="F440" s="17"/>
      <c r="G440" s="17"/>
      <c r="H440" s="16" t="str">
        <f t="shared" si="12"/>
        <v/>
      </c>
      <c r="I440" s="3" t="str">
        <f t="shared" si="13"/>
        <v/>
      </c>
    </row>
    <row r="441" spans="1:9" ht="13" x14ac:dyDescent="0.15">
      <c r="A441" s="17"/>
      <c r="B441" s="17"/>
      <c r="C441" s="18"/>
      <c r="D441" s="17"/>
      <c r="E441" s="17"/>
      <c r="F441" s="17"/>
      <c r="G441" s="17"/>
      <c r="H441" s="16" t="str">
        <f t="shared" si="12"/>
        <v/>
      </c>
      <c r="I441" s="3" t="str">
        <f t="shared" si="13"/>
        <v/>
      </c>
    </row>
    <row r="442" spans="1:9" ht="13" x14ac:dyDescent="0.15">
      <c r="A442" s="17"/>
      <c r="B442" s="17"/>
      <c r="C442" s="18"/>
      <c r="D442" s="17"/>
      <c r="E442" s="17"/>
      <c r="F442" s="17"/>
      <c r="G442" s="17"/>
      <c r="H442" s="16" t="str">
        <f t="shared" si="12"/>
        <v/>
      </c>
      <c r="I442" s="3" t="str">
        <f t="shared" si="13"/>
        <v/>
      </c>
    </row>
    <row r="443" spans="1:9" ht="13" x14ac:dyDescent="0.15">
      <c r="A443" s="17"/>
      <c r="B443" s="17"/>
      <c r="C443" s="18"/>
      <c r="D443" s="17"/>
      <c r="E443" s="17"/>
      <c r="F443" s="17"/>
      <c r="G443" s="17"/>
      <c r="H443" s="16" t="str">
        <f t="shared" si="12"/>
        <v/>
      </c>
      <c r="I443" s="3" t="str">
        <f t="shared" si="13"/>
        <v/>
      </c>
    </row>
    <row r="444" spans="1:9" ht="13" x14ac:dyDescent="0.15">
      <c r="A444" s="17"/>
      <c r="B444" s="17"/>
      <c r="C444" s="18"/>
      <c r="D444" s="17"/>
      <c r="E444" s="17"/>
      <c r="F444" s="17"/>
      <c r="G444" s="17"/>
      <c r="H444" s="16" t="str">
        <f t="shared" si="12"/>
        <v/>
      </c>
      <c r="I444" s="3" t="str">
        <f t="shared" si="13"/>
        <v/>
      </c>
    </row>
    <row r="445" spans="1:9" ht="13" x14ac:dyDescent="0.15">
      <c r="A445" s="17"/>
      <c r="B445" s="17"/>
      <c r="C445" s="18"/>
      <c r="D445" s="17"/>
      <c r="E445" s="17"/>
      <c r="F445" s="17"/>
      <c r="G445" s="17"/>
      <c r="H445" s="16" t="str">
        <f t="shared" si="12"/>
        <v/>
      </c>
      <c r="I445" s="3" t="str">
        <f t="shared" si="13"/>
        <v/>
      </c>
    </row>
    <row r="446" spans="1:9" ht="13" x14ac:dyDescent="0.15">
      <c r="A446" s="17"/>
      <c r="B446" s="17"/>
      <c r="C446" s="18"/>
      <c r="D446" s="17"/>
      <c r="E446" s="17"/>
      <c r="F446" s="17"/>
      <c r="G446" s="17"/>
      <c r="H446" s="16" t="str">
        <f t="shared" si="12"/>
        <v/>
      </c>
      <c r="I446" s="3" t="str">
        <f t="shared" si="13"/>
        <v/>
      </c>
    </row>
    <row r="447" spans="1:9" ht="13" x14ac:dyDescent="0.15">
      <c r="A447" s="17"/>
      <c r="B447" s="17"/>
      <c r="C447" s="18"/>
      <c r="D447" s="17"/>
      <c r="E447" s="17"/>
      <c r="F447" s="17"/>
      <c r="G447" s="17"/>
      <c r="H447" s="16" t="str">
        <f t="shared" si="12"/>
        <v/>
      </c>
      <c r="I447" s="3" t="str">
        <f t="shared" si="13"/>
        <v/>
      </c>
    </row>
    <row r="448" spans="1:9" ht="13" x14ac:dyDescent="0.15">
      <c r="A448" s="17"/>
      <c r="B448" s="17"/>
      <c r="C448" s="18"/>
      <c r="D448" s="17"/>
      <c r="E448" s="17"/>
      <c r="F448" s="17"/>
      <c r="G448" s="17"/>
      <c r="H448" s="16" t="str">
        <f t="shared" si="12"/>
        <v/>
      </c>
      <c r="I448" s="3" t="str">
        <f t="shared" si="13"/>
        <v/>
      </c>
    </row>
    <row r="449" spans="1:9" ht="13" x14ac:dyDescent="0.15">
      <c r="A449" s="17"/>
      <c r="B449" s="17"/>
      <c r="C449" s="18"/>
      <c r="D449" s="17"/>
      <c r="E449" s="17"/>
      <c r="F449" s="17"/>
      <c r="G449" s="17"/>
      <c r="H449" s="16" t="str">
        <f t="shared" si="12"/>
        <v/>
      </c>
      <c r="I449" s="3" t="str">
        <f t="shared" si="13"/>
        <v/>
      </c>
    </row>
    <row r="450" spans="1:9" ht="13" x14ac:dyDescent="0.15">
      <c r="A450" s="17"/>
      <c r="B450" s="17"/>
      <c r="C450" s="18"/>
      <c r="D450" s="17"/>
      <c r="E450" s="17"/>
      <c r="F450" s="17"/>
      <c r="G450" s="17"/>
      <c r="H450" s="16" t="str">
        <f t="shared" ref="H450:H473" si="14">IF(ISBLANK(C450),"",C450*$L$13)</f>
        <v/>
      </c>
      <c r="I450" s="3" t="str">
        <f t="shared" ref="I450:I513" si="15">IF(ISNUMBER(H450),IF(ABS(H450-$L$14)&gt;$M$16,"OUT",""),"")</f>
        <v/>
      </c>
    </row>
    <row r="451" spans="1:9" ht="13" x14ac:dyDescent="0.15">
      <c r="A451" s="17"/>
      <c r="B451" s="17"/>
      <c r="C451" s="18"/>
      <c r="D451" s="17"/>
      <c r="E451" s="17"/>
      <c r="F451" s="17"/>
      <c r="G451" s="17"/>
      <c r="H451" s="16" t="str">
        <f t="shared" si="14"/>
        <v/>
      </c>
      <c r="I451" s="3" t="str">
        <f t="shared" si="15"/>
        <v/>
      </c>
    </row>
    <row r="452" spans="1:9" ht="13" x14ac:dyDescent="0.15">
      <c r="A452" s="17"/>
      <c r="B452" s="17"/>
      <c r="C452" s="18"/>
      <c r="D452" s="17"/>
      <c r="E452" s="17"/>
      <c r="F452" s="17"/>
      <c r="G452" s="17"/>
      <c r="H452" s="16" t="str">
        <f t="shared" si="14"/>
        <v/>
      </c>
      <c r="I452" s="3" t="str">
        <f t="shared" si="15"/>
        <v/>
      </c>
    </row>
    <row r="453" spans="1:9" ht="13" x14ac:dyDescent="0.15">
      <c r="A453" s="17"/>
      <c r="B453" s="17"/>
      <c r="C453" s="18"/>
      <c r="D453" s="17"/>
      <c r="E453" s="17"/>
      <c r="F453" s="17"/>
      <c r="G453" s="17"/>
      <c r="H453" s="16" t="str">
        <f t="shared" si="14"/>
        <v/>
      </c>
      <c r="I453" s="3" t="str">
        <f t="shared" si="15"/>
        <v/>
      </c>
    </row>
    <row r="454" spans="1:9" ht="13" x14ac:dyDescent="0.15">
      <c r="A454" s="17"/>
      <c r="B454" s="17"/>
      <c r="C454" s="18"/>
      <c r="D454" s="17"/>
      <c r="E454" s="17"/>
      <c r="F454" s="17"/>
      <c r="G454" s="17"/>
      <c r="H454" s="16" t="str">
        <f t="shared" si="14"/>
        <v/>
      </c>
      <c r="I454" s="3" t="str">
        <f t="shared" si="15"/>
        <v/>
      </c>
    </row>
    <row r="455" spans="1:9" ht="13" x14ac:dyDescent="0.15">
      <c r="A455" s="17"/>
      <c r="B455" s="17"/>
      <c r="C455" s="18"/>
      <c r="D455" s="17"/>
      <c r="E455" s="17"/>
      <c r="F455" s="17"/>
      <c r="G455" s="17"/>
      <c r="H455" s="16" t="str">
        <f t="shared" si="14"/>
        <v/>
      </c>
      <c r="I455" s="3" t="str">
        <f t="shared" si="15"/>
        <v/>
      </c>
    </row>
    <row r="456" spans="1:9" ht="13" x14ac:dyDescent="0.15">
      <c r="A456" s="17"/>
      <c r="B456" s="17"/>
      <c r="C456" s="18"/>
      <c r="D456" s="17"/>
      <c r="E456" s="17"/>
      <c r="F456" s="17"/>
      <c r="G456" s="17"/>
      <c r="H456" s="16" t="str">
        <f t="shared" si="14"/>
        <v/>
      </c>
      <c r="I456" s="3" t="str">
        <f t="shared" si="15"/>
        <v/>
      </c>
    </row>
    <row r="457" spans="1:9" ht="13" x14ac:dyDescent="0.15">
      <c r="A457" s="17"/>
      <c r="B457" s="17"/>
      <c r="C457" s="18"/>
      <c r="D457" s="17"/>
      <c r="E457" s="17"/>
      <c r="F457" s="17"/>
      <c r="G457" s="17"/>
      <c r="H457" s="16" t="str">
        <f t="shared" si="14"/>
        <v/>
      </c>
      <c r="I457" s="3" t="str">
        <f t="shared" si="15"/>
        <v/>
      </c>
    </row>
    <row r="458" spans="1:9" ht="13" x14ac:dyDescent="0.15">
      <c r="A458" s="17"/>
      <c r="B458" s="17"/>
      <c r="C458" s="18"/>
      <c r="D458" s="17"/>
      <c r="E458" s="17"/>
      <c r="F458" s="17"/>
      <c r="G458" s="17"/>
      <c r="H458" s="16" t="str">
        <f t="shared" si="14"/>
        <v/>
      </c>
      <c r="I458" s="3" t="str">
        <f t="shared" si="15"/>
        <v/>
      </c>
    </row>
    <row r="459" spans="1:9" ht="13" x14ac:dyDescent="0.15">
      <c r="A459" s="17"/>
      <c r="B459" s="17"/>
      <c r="C459" s="18"/>
      <c r="D459" s="17"/>
      <c r="E459" s="17"/>
      <c r="F459" s="17"/>
      <c r="G459" s="17"/>
      <c r="H459" s="16" t="str">
        <f t="shared" si="14"/>
        <v/>
      </c>
      <c r="I459" s="3" t="str">
        <f t="shared" si="15"/>
        <v/>
      </c>
    </row>
    <row r="460" spans="1:9" ht="13" x14ac:dyDescent="0.15">
      <c r="A460" s="17"/>
      <c r="B460" s="17"/>
      <c r="C460" s="18"/>
      <c r="D460" s="17"/>
      <c r="E460" s="17"/>
      <c r="F460" s="17"/>
      <c r="G460" s="17"/>
      <c r="H460" s="16" t="str">
        <f t="shared" si="14"/>
        <v/>
      </c>
      <c r="I460" s="3" t="str">
        <f t="shared" si="15"/>
        <v/>
      </c>
    </row>
    <row r="461" spans="1:9" ht="13" x14ac:dyDescent="0.15">
      <c r="A461" s="17"/>
      <c r="B461" s="17"/>
      <c r="C461" s="18"/>
      <c r="D461" s="17"/>
      <c r="E461" s="17"/>
      <c r="F461" s="17"/>
      <c r="G461" s="17"/>
      <c r="H461" s="16" t="str">
        <f t="shared" si="14"/>
        <v/>
      </c>
      <c r="I461" s="3" t="str">
        <f t="shared" si="15"/>
        <v/>
      </c>
    </row>
    <row r="462" spans="1:9" ht="13" x14ac:dyDescent="0.15">
      <c r="A462" s="17"/>
      <c r="B462" s="17"/>
      <c r="C462" s="18"/>
      <c r="D462" s="17"/>
      <c r="E462" s="17"/>
      <c r="F462" s="17"/>
      <c r="G462" s="17"/>
      <c r="H462" s="16" t="str">
        <f t="shared" si="14"/>
        <v/>
      </c>
      <c r="I462" s="3" t="str">
        <f t="shared" si="15"/>
        <v/>
      </c>
    </row>
    <row r="463" spans="1:9" ht="13" x14ac:dyDescent="0.15">
      <c r="A463" s="17"/>
      <c r="B463" s="17"/>
      <c r="C463" s="18"/>
      <c r="D463" s="17"/>
      <c r="E463" s="17"/>
      <c r="F463" s="17"/>
      <c r="G463" s="17"/>
      <c r="H463" s="16" t="str">
        <f t="shared" si="14"/>
        <v/>
      </c>
      <c r="I463" s="3" t="str">
        <f t="shared" si="15"/>
        <v/>
      </c>
    </row>
    <row r="464" spans="1:9" ht="13" x14ac:dyDescent="0.15">
      <c r="A464" s="17"/>
      <c r="B464" s="17"/>
      <c r="C464" s="18"/>
      <c r="D464" s="17"/>
      <c r="E464" s="17"/>
      <c r="F464" s="17"/>
      <c r="G464" s="17"/>
      <c r="H464" s="16" t="str">
        <f t="shared" si="14"/>
        <v/>
      </c>
      <c r="I464" s="3" t="str">
        <f t="shared" si="15"/>
        <v/>
      </c>
    </row>
    <row r="465" spans="1:9" ht="13" x14ac:dyDescent="0.15">
      <c r="A465" s="17"/>
      <c r="B465" s="17"/>
      <c r="C465" s="18"/>
      <c r="D465" s="17"/>
      <c r="E465" s="17"/>
      <c r="F465" s="17"/>
      <c r="G465" s="17"/>
      <c r="H465" s="16" t="str">
        <f t="shared" si="14"/>
        <v/>
      </c>
      <c r="I465" s="3" t="str">
        <f t="shared" si="15"/>
        <v/>
      </c>
    </row>
    <row r="466" spans="1:9" ht="13" x14ac:dyDescent="0.15">
      <c r="A466" s="17"/>
      <c r="B466" s="17"/>
      <c r="C466" s="18"/>
      <c r="D466" s="17"/>
      <c r="E466" s="17"/>
      <c r="F466" s="17"/>
      <c r="G466" s="17"/>
      <c r="H466" s="16" t="str">
        <f t="shared" si="14"/>
        <v/>
      </c>
      <c r="I466" s="3" t="str">
        <f t="shared" si="15"/>
        <v/>
      </c>
    </row>
    <row r="467" spans="1:9" ht="13" x14ac:dyDescent="0.15">
      <c r="A467" s="17"/>
      <c r="B467" s="17"/>
      <c r="C467" s="18"/>
      <c r="D467" s="17"/>
      <c r="E467" s="17"/>
      <c r="F467" s="17"/>
      <c r="G467" s="17"/>
      <c r="H467" s="16" t="str">
        <f t="shared" si="14"/>
        <v/>
      </c>
      <c r="I467" s="3" t="str">
        <f t="shared" si="15"/>
        <v/>
      </c>
    </row>
    <row r="468" spans="1:9" ht="13" x14ac:dyDescent="0.15">
      <c r="A468" s="17"/>
      <c r="B468" s="17"/>
      <c r="C468" s="18"/>
      <c r="D468" s="17"/>
      <c r="E468" s="17"/>
      <c r="F468" s="17"/>
      <c r="G468" s="17"/>
      <c r="H468" s="16" t="str">
        <f t="shared" si="14"/>
        <v/>
      </c>
      <c r="I468" s="3" t="str">
        <f t="shared" si="15"/>
        <v/>
      </c>
    </row>
    <row r="469" spans="1:9" ht="13" x14ac:dyDescent="0.15">
      <c r="A469" s="17"/>
      <c r="B469" s="17"/>
      <c r="C469" s="18"/>
      <c r="D469" s="17"/>
      <c r="E469" s="17"/>
      <c r="F469" s="17"/>
      <c r="G469" s="17"/>
      <c r="H469" s="16" t="str">
        <f t="shared" si="14"/>
        <v/>
      </c>
      <c r="I469" s="3" t="str">
        <f t="shared" si="15"/>
        <v/>
      </c>
    </row>
    <row r="470" spans="1:9" ht="13" x14ac:dyDescent="0.15">
      <c r="A470" s="17"/>
      <c r="B470" s="17"/>
      <c r="C470" s="18"/>
      <c r="D470" s="17"/>
      <c r="E470" s="17"/>
      <c r="F470" s="17"/>
      <c r="G470" s="17"/>
      <c r="H470" s="16" t="str">
        <f t="shared" si="14"/>
        <v/>
      </c>
      <c r="I470" s="3" t="str">
        <f t="shared" si="15"/>
        <v/>
      </c>
    </row>
    <row r="471" spans="1:9" ht="13" x14ac:dyDescent="0.15">
      <c r="A471" s="17"/>
      <c r="B471" s="17"/>
      <c r="C471" s="18"/>
      <c r="D471" s="17"/>
      <c r="E471" s="17"/>
      <c r="F471" s="17"/>
      <c r="G471" s="17"/>
      <c r="H471" s="16" t="str">
        <f t="shared" si="14"/>
        <v/>
      </c>
      <c r="I471" s="3" t="str">
        <f t="shared" si="15"/>
        <v/>
      </c>
    </row>
    <row r="472" spans="1:9" ht="13" x14ac:dyDescent="0.15">
      <c r="A472" s="17"/>
      <c r="B472" s="17"/>
      <c r="C472" s="18"/>
      <c r="D472" s="17"/>
      <c r="E472" s="17"/>
      <c r="F472" s="17"/>
      <c r="G472" s="17"/>
      <c r="H472" s="16" t="str">
        <f t="shared" si="14"/>
        <v/>
      </c>
      <c r="I472" s="3" t="str">
        <f t="shared" si="15"/>
        <v/>
      </c>
    </row>
    <row r="473" spans="1:9" ht="13" x14ac:dyDescent="0.15">
      <c r="A473" s="17"/>
      <c r="B473" s="17"/>
      <c r="C473" s="18"/>
      <c r="D473" s="17"/>
      <c r="E473" s="17"/>
      <c r="F473" s="17"/>
      <c r="G473" s="17"/>
      <c r="H473" s="16" t="str">
        <f t="shared" si="14"/>
        <v/>
      </c>
      <c r="I473" s="3" t="str">
        <f t="shared" si="15"/>
        <v/>
      </c>
    </row>
    <row r="474" spans="1:9" ht="13" x14ac:dyDescent="0.15">
      <c r="A474" s="17"/>
      <c r="B474" s="17"/>
      <c r="C474" s="18"/>
      <c r="D474" s="17"/>
      <c r="E474" s="17"/>
      <c r="F474" s="17"/>
      <c r="G474" s="17"/>
      <c r="H474" s="16"/>
      <c r="I474" s="3" t="str">
        <f t="shared" si="15"/>
        <v/>
      </c>
    </row>
    <row r="475" spans="1:9" ht="13" x14ac:dyDescent="0.15">
      <c r="A475" s="17"/>
      <c r="B475" s="17"/>
      <c r="C475" s="18"/>
      <c r="D475" s="17"/>
      <c r="E475" s="17"/>
      <c r="F475" s="17"/>
      <c r="G475" s="17"/>
      <c r="H475" s="16"/>
      <c r="I475" s="3" t="str">
        <f t="shared" si="15"/>
        <v/>
      </c>
    </row>
    <row r="476" spans="1:9" ht="13" x14ac:dyDescent="0.15">
      <c r="A476" s="17"/>
      <c r="B476" s="17"/>
      <c r="C476" s="18"/>
      <c r="D476" s="17"/>
      <c r="E476" s="17"/>
      <c r="F476" s="17"/>
      <c r="G476" s="17"/>
      <c r="H476" s="16"/>
      <c r="I476" s="3" t="str">
        <f t="shared" si="15"/>
        <v/>
      </c>
    </row>
    <row r="477" spans="1:9" ht="13" x14ac:dyDescent="0.15">
      <c r="A477" s="17"/>
      <c r="B477" s="17"/>
      <c r="C477" s="18"/>
      <c r="D477" s="17"/>
      <c r="E477" s="17"/>
      <c r="F477" s="17"/>
      <c r="G477" s="17"/>
      <c r="H477" s="16"/>
      <c r="I477" s="3" t="str">
        <f t="shared" si="15"/>
        <v/>
      </c>
    </row>
    <row r="478" spans="1:9" ht="13" x14ac:dyDescent="0.15">
      <c r="A478" s="17"/>
      <c r="B478" s="17"/>
      <c r="C478" s="18"/>
      <c r="D478" s="17"/>
      <c r="E478" s="17"/>
      <c r="F478" s="17"/>
      <c r="G478" s="17"/>
      <c r="H478" s="16"/>
      <c r="I478" s="3" t="str">
        <f t="shared" si="15"/>
        <v/>
      </c>
    </row>
    <row r="479" spans="1:9" ht="13" x14ac:dyDescent="0.15">
      <c r="A479" s="17"/>
      <c r="B479" s="17"/>
      <c r="C479" s="18"/>
      <c r="D479" s="17"/>
      <c r="E479" s="17"/>
      <c r="F479" s="17"/>
      <c r="G479" s="17"/>
      <c r="H479" s="16"/>
      <c r="I479" s="3" t="str">
        <f t="shared" si="15"/>
        <v/>
      </c>
    </row>
    <row r="480" spans="1:9" ht="13" x14ac:dyDescent="0.15">
      <c r="A480" s="17"/>
      <c r="B480" s="17"/>
      <c r="C480" s="18"/>
      <c r="D480" s="17"/>
      <c r="E480" s="17"/>
      <c r="F480" s="17"/>
      <c r="G480" s="17"/>
      <c r="H480" s="16"/>
      <c r="I480" s="3" t="str">
        <f t="shared" si="15"/>
        <v/>
      </c>
    </row>
    <row r="481" spans="1:9" ht="13" x14ac:dyDescent="0.15">
      <c r="A481" s="17"/>
      <c r="B481" s="17"/>
      <c r="C481" s="18"/>
      <c r="D481" s="17"/>
      <c r="E481" s="17"/>
      <c r="F481" s="17"/>
      <c r="G481" s="17"/>
      <c r="H481" s="16"/>
      <c r="I481" s="3" t="str">
        <f t="shared" si="15"/>
        <v/>
      </c>
    </row>
    <row r="482" spans="1:9" ht="13" x14ac:dyDescent="0.15">
      <c r="A482" s="17"/>
      <c r="B482" s="17"/>
      <c r="C482" s="17"/>
      <c r="D482" s="17"/>
      <c r="E482" s="17"/>
      <c r="F482" s="17"/>
      <c r="G482" s="17"/>
      <c r="H482" s="16"/>
      <c r="I482" s="3" t="str">
        <f t="shared" si="15"/>
        <v/>
      </c>
    </row>
    <row r="483" spans="1:9" ht="13" x14ac:dyDescent="0.15">
      <c r="A483" s="17"/>
      <c r="B483" s="17"/>
      <c r="C483" s="17"/>
      <c r="D483" s="17"/>
      <c r="E483" s="17"/>
      <c r="F483" s="17"/>
      <c r="G483" s="17"/>
      <c r="H483" s="16"/>
      <c r="I483" s="3" t="str">
        <f t="shared" si="15"/>
        <v/>
      </c>
    </row>
    <row r="484" spans="1:9" ht="13" x14ac:dyDescent="0.15">
      <c r="A484" s="17"/>
      <c r="B484" s="17"/>
      <c r="C484" s="17"/>
      <c r="D484" s="17"/>
      <c r="E484" s="17"/>
      <c r="F484" s="17"/>
      <c r="G484" s="17"/>
      <c r="H484" s="16"/>
      <c r="I484" s="3" t="str">
        <f t="shared" si="15"/>
        <v/>
      </c>
    </row>
    <row r="485" spans="1:9" ht="13" x14ac:dyDescent="0.15">
      <c r="A485" s="17"/>
      <c r="B485" s="17"/>
      <c r="C485" s="17"/>
      <c r="D485" s="17"/>
      <c r="E485" s="17"/>
      <c r="F485" s="17"/>
      <c r="G485" s="17"/>
      <c r="H485" s="16"/>
      <c r="I485" s="3" t="str">
        <f t="shared" si="15"/>
        <v/>
      </c>
    </row>
    <row r="486" spans="1:9" ht="13" x14ac:dyDescent="0.15">
      <c r="A486" s="17"/>
      <c r="B486" s="17"/>
      <c r="C486" s="17"/>
      <c r="D486" s="17"/>
      <c r="E486" s="17"/>
      <c r="F486" s="17"/>
      <c r="G486" s="17"/>
      <c r="H486" s="16"/>
      <c r="I486" s="3" t="str">
        <f t="shared" si="15"/>
        <v/>
      </c>
    </row>
    <row r="487" spans="1:9" ht="13" x14ac:dyDescent="0.15">
      <c r="A487" s="17"/>
      <c r="B487" s="17"/>
      <c r="C487" s="17"/>
      <c r="D487" s="17"/>
      <c r="E487" s="17"/>
      <c r="F487" s="17"/>
      <c r="G487" s="17"/>
      <c r="H487" s="16"/>
      <c r="I487" s="3" t="str">
        <f t="shared" si="15"/>
        <v/>
      </c>
    </row>
    <row r="488" spans="1:9" ht="13" x14ac:dyDescent="0.15">
      <c r="A488" s="17"/>
      <c r="B488" s="17"/>
      <c r="C488" s="17"/>
      <c r="D488" s="17"/>
      <c r="E488" s="17"/>
      <c r="F488" s="17"/>
      <c r="G488" s="17"/>
      <c r="H488" s="16"/>
      <c r="I488" s="3" t="str">
        <f t="shared" si="15"/>
        <v/>
      </c>
    </row>
    <row r="489" spans="1:9" ht="13" x14ac:dyDescent="0.15">
      <c r="A489" s="17"/>
      <c r="B489" s="17"/>
      <c r="C489" s="17"/>
      <c r="D489" s="17"/>
      <c r="E489" s="17"/>
      <c r="F489" s="17"/>
      <c r="G489" s="17"/>
      <c r="H489" s="16"/>
      <c r="I489" s="3" t="str">
        <f t="shared" si="15"/>
        <v/>
      </c>
    </row>
    <row r="490" spans="1:9" ht="13" x14ac:dyDescent="0.15">
      <c r="A490" s="17"/>
      <c r="B490" s="17"/>
      <c r="C490" s="17"/>
      <c r="D490" s="17"/>
      <c r="E490" s="17"/>
      <c r="F490" s="17"/>
      <c r="G490" s="17"/>
      <c r="H490" s="16"/>
      <c r="I490" s="3" t="str">
        <f t="shared" si="15"/>
        <v/>
      </c>
    </row>
    <row r="491" spans="1:9" ht="13" x14ac:dyDescent="0.15">
      <c r="A491" s="17"/>
      <c r="B491" s="17"/>
      <c r="C491" s="17"/>
      <c r="D491" s="17"/>
      <c r="E491" s="17"/>
      <c r="F491" s="17"/>
      <c r="G491" s="17"/>
      <c r="H491" s="16"/>
      <c r="I491" s="3" t="str">
        <f t="shared" si="15"/>
        <v/>
      </c>
    </row>
    <row r="492" spans="1:9" ht="13" x14ac:dyDescent="0.15">
      <c r="A492" s="17"/>
      <c r="B492" s="17"/>
      <c r="C492" s="17"/>
      <c r="D492" s="17"/>
      <c r="E492" s="17"/>
      <c r="F492" s="17"/>
      <c r="G492" s="17"/>
      <c r="H492" s="16"/>
      <c r="I492" s="3" t="str">
        <f t="shared" si="15"/>
        <v/>
      </c>
    </row>
    <row r="493" spans="1:9" ht="13" x14ac:dyDescent="0.15">
      <c r="A493" s="17"/>
      <c r="B493" s="17"/>
      <c r="C493" s="17"/>
      <c r="D493" s="17"/>
      <c r="E493" s="17"/>
      <c r="F493" s="17"/>
      <c r="G493" s="17"/>
      <c r="H493" s="16"/>
      <c r="I493" s="3" t="str">
        <f t="shared" si="15"/>
        <v/>
      </c>
    </row>
    <row r="494" spans="1:9" ht="13" x14ac:dyDescent="0.15">
      <c r="A494" s="17"/>
      <c r="B494" s="17"/>
      <c r="C494" s="17"/>
      <c r="D494" s="17"/>
      <c r="E494" s="17"/>
      <c r="F494" s="17"/>
      <c r="G494" s="17"/>
      <c r="H494" s="16"/>
      <c r="I494" s="3" t="str">
        <f t="shared" si="15"/>
        <v/>
      </c>
    </row>
    <row r="495" spans="1:9" ht="13" x14ac:dyDescent="0.15">
      <c r="A495" s="17"/>
      <c r="B495" s="17"/>
      <c r="C495" s="17"/>
      <c r="D495" s="17"/>
      <c r="E495" s="17"/>
      <c r="F495" s="17"/>
      <c r="G495" s="17"/>
      <c r="H495" s="16"/>
      <c r="I495" s="3" t="str">
        <f t="shared" si="15"/>
        <v/>
      </c>
    </row>
    <row r="496" spans="1:9" ht="13" x14ac:dyDescent="0.15">
      <c r="A496" s="17"/>
      <c r="B496" s="17"/>
      <c r="C496" s="17"/>
      <c r="D496" s="17"/>
      <c r="E496" s="17"/>
      <c r="F496" s="17"/>
      <c r="G496" s="17"/>
      <c r="H496" s="16"/>
      <c r="I496" s="3" t="str">
        <f t="shared" si="15"/>
        <v/>
      </c>
    </row>
    <row r="497" spans="1:9" ht="13" x14ac:dyDescent="0.15">
      <c r="A497" s="17"/>
      <c r="B497" s="17"/>
      <c r="C497" s="17"/>
      <c r="D497" s="17"/>
      <c r="E497" s="17"/>
      <c r="F497" s="17"/>
      <c r="G497" s="17"/>
      <c r="H497" s="16"/>
      <c r="I497" s="3" t="str">
        <f t="shared" si="15"/>
        <v/>
      </c>
    </row>
    <row r="498" spans="1:9" ht="13" x14ac:dyDescent="0.15">
      <c r="A498" s="17"/>
      <c r="B498" s="17"/>
      <c r="C498" s="17"/>
      <c r="D498" s="17"/>
      <c r="E498" s="17"/>
      <c r="F498" s="17"/>
      <c r="G498" s="17"/>
      <c r="H498" s="16"/>
      <c r="I498" s="3" t="str">
        <f t="shared" si="15"/>
        <v/>
      </c>
    </row>
    <row r="499" spans="1:9" ht="13" x14ac:dyDescent="0.15">
      <c r="A499" s="17"/>
      <c r="B499" s="17"/>
      <c r="C499" s="17"/>
      <c r="D499" s="17"/>
      <c r="E499" s="17"/>
      <c r="F499" s="17"/>
      <c r="G499" s="17"/>
      <c r="H499" s="16"/>
      <c r="I499" s="3" t="str">
        <f t="shared" si="15"/>
        <v/>
      </c>
    </row>
    <row r="500" spans="1:9" ht="13" x14ac:dyDescent="0.15">
      <c r="A500" s="17"/>
      <c r="B500" s="17"/>
      <c r="C500" s="17"/>
      <c r="D500" s="17"/>
      <c r="E500" s="17"/>
      <c r="F500" s="17"/>
      <c r="G500" s="17"/>
      <c r="H500" s="16"/>
      <c r="I500" s="3" t="str">
        <f t="shared" si="15"/>
        <v/>
      </c>
    </row>
    <row r="501" spans="1:9" ht="13" x14ac:dyDescent="0.15">
      <c r="A501" s="17"/>
      <c r="B501" s="17"/>
      <c r="C501" s="17"/>
      <c r="D501" s="17"/>
      <c r="E501" s="17"/>
      <c r="F501" s="17"/>
      <c r="G501" s="17"/>
      <c r="H501" s="16"/>
      <c r="I501" s="3" t="str">
        <f t="shared" si="15"/>
        <v/>
      </c>
    </row>
    <row r="502" spans="1:9" ht="13" x14ac:dyDescent="0.15">
      <c r="A502" s="17"/>
      <c r="B502" s="17"/>
      <c r="C502" s="17"/>
      <c r="D502" s="17"/>
      <c r="E502" s="17"/>
      <c r="F502" s="17"/>
      <c r="G502" s="17"/>
      <c r="H502" s="16"/>
      <c r="I502" s="3" t="str">
        <f t="shared" si="15"/>
        <v/>
      </c>
    </row>
    <row r="503" spans="1:9" ht="13" x14ac:dyDescent="0.15">
      <c r="A503" s="17"/>
      <c r="B503" s="17"/>
      <c r="C503" s="17"/>
      <c r="D503" s="17"/>
      <c r="E503" s="17"/>
      <c r="F503" s="17"/>
      <c r="G503" s="17"/>
      <c r="H503" s="16"/>
      <c r="I503" s="3" t="str">
        <f t="shared" si="15"/>
        <v/>
      </c>
    </row>
    <row r="504" spans="1:9" ht="13" x14ac:dyDescent="0.15">
      <c r="A504" s="17"/>
      <c r="B504" s="17"/>
      <c r="C504" s="17"/>
      <c r="D504" s="17"/>
      <c r="E504" s="17"/>
      <c r="F504" s="17"/>
      <c r="G504" s="17"/>
      <c r="H504" s="16"/>
      <c r="I504" s="3" t="str">
        <f t="shared" si="15"/>
        <v/>
      </c>
    </row>
    <row r="505" spans="1:9" ht="13" x14ac:dyDescent="0.15">
      <c r="A505" s="17"/>
      <c r="B505" s="17"/>
      <c r="C505" s="17"/>
      <c r="D505" s="17"/>
      <c r="E505" s="17"/>
      <c r="F505" s="17"/>
      <c r="G505" s="17"/>
      <c r="H505" s="16"/>
      <c r="I505" s="3" t="str">
        <f t="shared" si="15"/>
        <v/>
      </c>
    </row>
    <row r="506" spans="1:9" ht="13" x14ac:dyDescent="0.15">
      <c r="A506" s="17"/>
      <c r="B506" s="17"/>
      <c r="C506" s="17"/>
      <c r="D506" s="17"/>
      <c r="E506" s="17"/>
      <c r="F506" s="17"/>
      <c r="G506" s="17"/>
      <c r="H506" s="16"/>
      <c r="I506" s="3" t="str">
        <f t="shared" si="15"/>
        <v/>
      </c>
    </row>
    <row r="507" spans="1:9" ht="13" x14ac:dyDescent="0.15">
      <c r="A507" s="17"/>
      <c r="B507" s="17"/>
      <c r="C507" s="17"/>
      <c r="D507" s="17"/>
      <c r="E507" s="17"/>
      <c r="F507" s="17"/>
      <c r="G507" s="17"/>
      <c r="H507" s="16"/>
      <c r="I507" s="3" t="str">
        <f t="shared" si="15"/>
        <v/>
      </c>
    </row>
    <row r="508" spans="1:9" ht="13" x14ac:dyDescent="0.15">
      <c r="A508" s="17"/>
      <c r="B508" s="17"/>
      <c r="C508" s="17"/>
      <c r="D508" s="17"/>
      <c r="E508" s="17"/>
      <c r="F508" s="17"/>
      <c r="G508" s="17"/>
      <c r="H508" s="16"/>
      <c r="I508" s="3" t="str">
        <f t="shared" si="15"/>
        <v/>
      </c>
    </row>
    <row r="509" spans="1:9" ht="13" x14ac:dyDescent="0.15">
      <c r="A509" s="17"/>
      <c r="B509" s="17"/>
      <c r="C509" s="17"/>
      <c r="D509" s="17"/>
      <c r="E509" s="17"/>
      <c r="F509" s="17"/>
      <c r="G509" s="17"/>
      <c r="H509" s="16"/>
      <c r="I509" s="3" t="str">
        <f t="shared" si="15"/>
        <v/>
      </c>
    </row>
    <row r="510" spans="1:9" ht="13" x14ac:dyDescent="0.15">
      <c r="A510" s="17"/>
      <c r="B510" s="17"/>
      <c r="C510" s="17"/>
      <c r="D510" s="17"/>
      <c r="E510" s="17"/>
      <c r="F510" s="17"/>
      <c r="G510" s="17"/>
      <c r="H510" s="16"/>
      <c r="I510" s="3" t="str">
        <f t="shared" si="15"/>
        <v/>
      </c>
    </row>
    <row r="511" spans="1:9" ht="13" x14ac:dyDescent="0.15">
      <c r="A511" s="17"/>
      <c r="B511" s="17"/>
      <c r="C511" s="17"/>
      <c r="D511" s="17"/>
      <c r="E511" s="17"/>
      <c r="F511" s="17"/>
      <c r="G511" s="17"/>
      <c r="H511" s="16"/>
      <c r="I511" s="3" t="str">
        <f t="shared" si="15"/>
        <v/>
      </c>
    </row>
    <row r="512" spans="1:9" ht="13" x14ac:dyDescent="0.15">
      <c r="A512" s="17"/>
      <c r="B512" s="17"/>
      <c r="C512" s="17"/>
      <c r="D512" s="17"/>
      <c r="E512" s="17"/>
      <c r="F512" s="17"/>
      <c r="G512" s="17"/>
      <c r="H512" s="16"/>
      <c r="I512" s="3" t="str">
        <f t="shared" si="15"/>
        <v/>
      </c>
    </row>
    <row r="513" spans="1:9" ht="13" x14ac:dyDescent="0.15">
      <c r="A513" s="17"/>
      <c r="B513" s="17"/>
      <c r="C513" s="17"/>
      <c r="D513" s="17"/>
      <c r="E513" s="17"/>
      <c r="F513" s="17"/>
      <c r="G513" s="17"/>
      <c r="H513" s="16"/>
      <c r="I513" s="3" t="str">
        <f t="shared" si="15"/>
        <v/>
      </c>
    </row>
    <row r="514" spans="1:9" ht="13" x14ac:dyDescent="0.15">
      <c r="A514" s="17"/>
      <c r="B514" s="17"/>
      <c r="C514" s="17"/>
      <c r="D514" s="17"/>
      <c r="E514" s="17"/>
      <c r="F514" s="17"/>
      <c r="G514" s="17"/>
      <c r="H514" s="16"/>
      <c r="I514" s="3" t="str">
        <f t="shared" ref="I514:I577" si="16">IF(ISNUMBER(H514),IF(ABS(H514-$L$14)&gt;$M$16,"OUT",""),"")</f>
        <v/>
      </c>
    </row>
    <row r="515" spans="1:9" ht="13" x14ac:dyDescent="0.15">
      <c r="A515" s="17"/>
      <c r="B515" s="17"/>
      <c r="C515" s="17"/>
      <c r="D515" s="17"/>
      <c r="E515" s="17"/>
      <c r="F515" s="17"/>
      <c r="G515" s="17"/>
      <c r="H515" s="16"/>
      <c r="I515" s="3" t="str">
        <f t="shared" si="16"/>
        <v/>
      </c>
    </row>
    <row r="516" spans="1:9" ht="13" x14ac:dyDescent="0.15">
      <c r="A516" s="17"/>
      <c r="B516" s="17"/>
      <c r="C516" s="17"/>
      <c r="D516" s="17"/>
      <c r="E516" s="17"/>
      <c r="F516" s="17"/>
      <c r="G516" s="17"/>
      <c r="H516" s="16"/>
      <c r="I516" s="3" t="str">
        <f t="shared" si="16"/>
        <v/>
      </c>
    </row>
    <row r="517" spans="1:9" ht="13" x14ac:dyDescent="0.15">
      <c r="A517" s="17"/>
      <c r="B517" s="17"/>
      <c r="C517" s="17"/>
      <c r="D517" s="17"/>
      <c r="E517" s="17"/>
      <c r="F517" s="17"/>
      <c r="G517" s="17"/>
      <c r="H517" s="16"/>
      <c r="I517" s="3" t="str">
        <f t="shared" si="16"/>
        <v/>
      </c>
    </row>
    <row r="518" spans="1:9" ht="13" x14ac:dyDescent="0.15">
      <c r="A518" s="17"/>
      <c r="B518" s="17"/>
      <c r="C518" s="17"/>
      <c r="D518" s="17"/>
      <c r="E518" s="17"/>
      <c r="F518" s="17"/>
      <c r="G518" s="17"/>
      <c r="H518" s="16"/>
      <c r="I518" s="3" t="str">
        <f t="shared" si="16"/>
        <v/>
      </c>
    </row>
    <row r="519" spans="1:9" ht="13" x14ac:dyDescent="0.15">
      <c r="A519" s="17"/>
      <c r="B519" s="17"/>
      <c r="C519" s="17"/>
      <c r="D519" s="17"/>
      <c r="E519" s="17"/>
      <c r="F519" s="17"/>
      <c r="G519" s="17"/>
      <c r="H519" s="16"/>
      <c r="I519" s="3" t="str">
        <f t="shared" si="16"/>
        <v/>
      </c>
    </row>
    <row r="520" spans="1:9" ht="13" x14ac:dyDescent="0.15">
      <c r="A520" s="17"/>
      <c r="B520" s="17"/>
      <c r="C520" s="17"/>
      <c r="D520" s="17"/>
      <c r="E520" s="17"/>
      <c r="F520" s="17"/>
      <c r="G520" s="17"/>
      <c r="H520" s="16"/>
      <c r="I520" s="3" t="str">
        <f t="shared" si="16"/>
        <v/>
      </c>
    </row>
    <row r="521" spans="1:9" ht="13" x14ac:dyDescent="0.15">
      <c r="A521" s="17"/>
      <c r="B521" s="17"/>
      <c r="C521" s="17"/>
      <c r="D521" s="17"/>
      <c r="E521" s="17"/>
      <c r="F521" s="17"/>
      <c r="G521" s="17"/>
      <c r="H521" s="16"/>
      <c r="I521" s="3" t="str">
        <f t="shared" si="16"/>
        <v/>
      </c>
    </row>
    <row r="522" spans="1:9" ht="13" x14ac:dyDescent="0.15">
      <c r="A522" s="17"/>
      <c r="B522" s="17"/>
      <c r="C522" s="17"/>
      <c r="D522" s="17"/>
      <c r="E522" s="17"/>
      <c r="F522" s="17"/>
      <c r="G522" s="17"/>
      <c r="H522" s="16"/>
      <c r="I522" s="3" t="str">
        <f t="shared" si="16"/>
        <v/>
      </c>
    </row>
    <row r="523" spans="1:9" ht="13" x14ac:dyDescent="0.15">
      <c r="A523" s="17"/>
      <c r="B523" s="17"/>
      <c r="C523" s="17"/>
      <c r="D523" s="17"/>
      <c r="E523" s="17"/>
      <c r="F523" s="17"/>
      <c r="G523" s="17"/>
      <c r="H523" s="16"/>
      <c r="I523" s="3" t="str">
        <f t="shared" si="16"/>
        <v/>
      </c>
    </row>
    <row r="524" spans="1:9" ht="13" x14ac:dyDescent="0.15">
      <c r="A524" s="17"/>
      <c r="B524" s="17"/>
      <c r="C524" s="17"/>
      <c r="D524" s="17"/>
      <c r="E524" s="17"/>
      <c r="F524" s="17"/>
      <c r="G524" s="17"/>
      <c r="H524" s="16"/>
      <c r="I524" s="3" t="str">
        <f t="shared" si="16"/>
        <v/>
      </c>
    </row>
    <row r="525" spans="1:9" ht="13" x14ac:dyDescent="0.15">
      <c r="A525" s="17"/>
      <c r="B525" s="17"/>
      <c r="C525" s="17"/>
      <c r="D525" s="17"/>
      <c r="E525" s="17"/>
      <c r="F525" s="17"/>
      <c r="G525" s="17"/>
      <c r="H525" s="16"/>
      <c r="I525" s="3" t="str">
        <f t="shared" si="16"/>
        <v/>
      </c>
    </row>
    <row r="526" spans="1:9" ht="13" x14ac:dyDescent="0.15">
      <c r="A526" s="17"/>
      <c r="B526" s="17"/>
      <c r="C526" s="17"/>
      <c r="D526" s="17"/>
      <c r="E526" s="17"/>
      <c r="F526" s="17"/>
      <c r="G526" s="17"/>
      <c r="H526" s="16"/>
      <c r="I526" s="3" t="str">
        <f t="shared" si="16"/>
        <v/>
      </c>
    </row>
    <row r="527" spans="1:9" ht="13" x14ac:dyDescent="0.15">
      <c r="A527" s="17"/>
      <c r="B527" s="17"/>
      <c r="C527" s="17"/>
      <c r="D527" s="17"/>
      <c r="E527" s="17"/>
      <c r="F527" s="17"/>
      <c r="G527" s="17"/>
      <c r="H527" s="16"/>
      <c r="I527" s="3" t="str">
        <f t="shared" si="16"/>
        <v/>
      </c>
    </row>
    <row r="528" spans="1:9" ht="13" x14ac:dyDescent="0.15">
      <c r="A528" s="17"/>
      <c r="B528" s="17"/>
      <c r="C528" s="17"/>
      <c r="D528" s="17"/>
      <c r="E528" s="17"/>
      <c r="F528" s="17"/>
      <c r="G528" s="17"/>
      <c r="H528" s="16"/>
      <c r="I528" s="3" t="str">
        <f t="shared" si="16"/>
        <v/>
      </c>
    </row>
    <row r="529" spans="1:9" ht="13" x14ac:dyDescent="0.15">
      <c r="A529" s="17"/>
      <c r="B529" s="17"/>
      <c r="C529" s="17"/>
      <c r="D529" s="17"/>
      <c r="E529" s="17"/>
      <c r="F529" s="17"/>
      <c r="G529" s="17"/>
      <c r="H529" s="16"/>
      <c r="I529" s="3" t="str">
        <f t="shared" si="16"/>
        <v/>
      </c>
    </row>
    <row r="530" spans="1:9" ht="13" x14ac:dyDescent="0.15">
      <c r="A530" s="17"/>
      <c r="B530" s="17"/>
      <c r="C530" s="17"/>
      <c r="D530" s="17"/>
      <c r="E530" s="17"/>
      <c r="F530" s="17"/>
      <c r="G530" s="17"/>
      <c r="H530" s="16"/>
      <c r="I530" s="3" t="str">
        <f t="shared" si="16"/>
        <v/>
      </c>
    </row>
    <row r="531" spans="1:9" ht="13" x14ac:dyDescent="0.15">
      <c r="A531" s="17"/>
      <c r="B531" s="17"/>
      <c r="C531" s="17"/>
      <c r="D531" s="17"/>
      <c r="E531" s="17"/>
      <c r="F531" s="17"/>
      <c r="G531" s="17"/>
      <c r="H531" s="16"/>
      <c r="I531" s="3" t="str">
        <f t="shared" si="16"/>
        <v/>
      </c>
    </row>
    <row r="532" spans="1:9" ht="13" x14ac:dyDescent="0.15">
      <c r="A532" s="17"/>
      <c r="B532" s="17"/>
      <c r="C532" s="17"/>
      <c r="D532" s="17"/>
      <c r="E532" s="17"/>
      <c r="F532" s="17"/>
      <c r="G532" s="17"/>
      <c r="H532" s="16"/>
      <c r="I532" s="3" t="str">
        <f t="shared" si="16"/>
        <v/>
      </c>
    </row>
    <row r="533" spans="1:9" ht="13" x14ac:dyDescent="0.15">
      <c r="A533" s="17"/>
      <c r="B533" s="17"/>
      <c r="C533" s="17"/>
      <c r="D533" s="17"/>
      <c r="E533" s="17"/>
      <c r="F533" s="17"/>
      <c r="G533" s="17"/>
      <c r="H533" s="16"/>
      <c r="I533" s="3" t="str">
        <f t="shared" si="16"/>
        <v/>
      </c>
    </row>
    <row r="534" spans="1:9" ht="13" x14ac:dyDescent="0.15">
      <c r="A534" s="17"/>
      <c r="B534" s="17"/>
      <c r="C534" s="17"/>
      <c r="D534" s="17"/>
      <c r="E534" s="17"/>
      <c r="F534" s="17"/>
      <c r="G534" s="17"/>
      <c r="H534" s="16"/>
      <c r="I534" s="3" t="str">
        <f t="shared" si="16"/>
        <v/>
      </c>
    </row>
    <row r="535" spans="1:9" ht="13" x14ac:dyDescent="0.15">
      <c r="A535" s="17"/>
      <c r="B535" s="17"/>
      <c r="C535" s="17"/>
      <c r="D535" s="17"/>
      <c r="E535" s="17"/>
      <c r="F535" s="17"/>
      <c r="G535" s="17"/>
      <c r="H535" s="16"/>
      <c r="I535" s="3" t="str">
        <f t="shared" si="16"/>
        <v/>
      </c>
    </row>
    <row r="536" spans="1:9" ht="13" x14ac:dyDescent="0.15">
      <c r="A536" s="17"/>
      <c r="B536" s="17"/>
      <c r="C536" s="17"/>
      <c r="D536" s="17"/>
      <c r="E536" s="17"/>
      <c r="F536" s="17"/>
      <c r="G536" s="17"/>
      <c r="H536" s="16"/>
      <c r="I536" s="3" t="str">
        <f t="shared" si="16"/>
        <v/>
      </c>
    </row>
    <row r="537" spans="1:9" ht="13" x14ac:dyDescent="0.15">
      <c r="A537" s="17"/>
      <c r="B537" s="17"/>
      <c r="C537" s="17"/>
      <c r="D537" s="17"/>
      <c r="E537" s="17"/>
      <c r="F537" s="17"/>
      <c r="G537" s="17"/>
      <c r="H537" s="16"/>
      <c r="I537" s="3" t="str">
        <f t="shared" si="16"/>
        <v/>
      </c>
    </row>
    <row r="538" spans="1:9" ht="13" x14ac:dyDescent="0.15">
      <c r="A538" s="17"/>
      <c r="B538" s="17"/>
      <c r="C538" s="17"/>
      <c r="D538" s="17"/>
      <c r="E538" s="17"/>
      <c r="F538" s="17"/>
      <c r="G538" s="17"/>
      <c r="H538" s="16"/>
      <c r="I538" s="3" t="str">
        <f t="shared" si="16"/>
        <v/>
      </c>
    </row>
    <row r="539" spans="1:9" ht="13" x14ac:dyDescent="0.15">
      <c r="A539" s="17"/>
      <c r="B539" s="17"/>
      <c r="C539" s="17"/>
      <c r="D539" s="17"/>
      <c r="E539" s="17"/>
      <c r="F539" s="17"/>
      <c r="G539" s="17"/>
      <c r="H539" s="16"/>
      <c r="I539" s="3" t="str">
        <f t="shared" si="16"/>
        <v/>
      </c>
    </row>
    <row r="540" spans="1:9" ht="13" x14ac:dyDescent="0.15">
      <c r="A540" s="17"/>
      <c r="B540" s="17"/>
      <c r="C540" s="17"/>
      <c r="D540" s="17"/>
      <c r="E540" s="17"/>
      <c r="F540" s="17"/>
      <c r="G540" s="17"/>
      <c r="H540" s="16"/>
      <c r="I540" s="3" t="str">
        <f t="shared" si="16"/>
        <v/>
      </c>
    </row>
    <row r="541" spans="1:9" ht="13" x14ac:dyDescent="0.15">
      <c r="A541" s="17"/>
      <c r="B541" s="17"/>
      <c r="C541" s="17"/>
      <c r="D541" s="17"/>
      <c r="E541" s="17"/>
      <c r="F541" s="17"/>
      <c r="G541" s="17"/>
      <c r="H541" s="16"/>
      <c r="I541" s="3" t="str">
        <f t="shared" si="16"/>
        <v/>
      </c>
    </row>
    <row r="542" spans="1:9" ht="13" x14ac:dyDescent="0.15">
      <c r="A542" s="17"/>
      <c r="B542" s="17"/>
      <c r="C542" s="17"/>
      <c r="D542" s="17"/>
      <c r="E542" s="17"/>
      <c r="F542" s="17"/>
      <c r="G542" s="17"/>
      <c r="H542" s="16"/>
      <c r="I542" s="3" t="str">
        <f t="shared" si="16"/>
        <v/>
      </c>
    </row>
    <row r="543" spans="1:9" ht="13" x14ac:dyDescent="0.15">
      <c r="A543" s="17"/>
      <c r="B543" s="17"/>
      <c r="C543" s="17"/>
      <c r="D543" s="17"/>
      <c r="E543" s="17"/>
      <c r="F543" s="17"/>
      <c r="G543" s="17"/>
      <c r="H543" s="16"/>
      <c r="I543" s="3" t="str">
        <f t="shared" si="16"/>
        <v/>
      </c>
    </row>
    <row r="544" spans="1:9" ht="13" x14ac:dyDescent="0.15">
      <c r="A544" s="17"/>
      <c r="B544" s="17"/>
      <c r="C544" s="17"/>
      <c r="D544" s="17"/>
      <c r="E544" s="17"/>
      <c r="F544" s="17"/>
      <c r="G544" s="17"/>
      <c r="H544" s="16"/>
      <c r="I544" s="3" t="str">
        <f t="shared" si="16"/>
        <v/>
      </c>
    </row>
    <row r="545" spans="1:9" ht="13" x14ac:dyDescent="0.15">
      <c r="A545" s="17"/>
      <c r="B545" s="17"/>
      <c r="C545" s="17"/>
      <c r="D545" s="17"/>
      <c r="E545" s="17"/>
      <c r="F545" s="17"/>
      <c r="G545" s="17"/>
      <c r="H545" s="16"/>
      <c r="I545" s="3" t="str">
        <f t="shared" si="16"/>
        <v/>
      </c>
    </row>
    <row r="546" spans="1:9" ht="13" x14ac:dyDescent="0.15">
      <c r="A546" s="17"/>
      <c r="B546" s="17"/>
      <c r="C546" s="17"/>
      <c r="D546" s="17"/>
      <c r="E546" s="17"/>
      <c r="F546" s="17"/>
      <c r="G546" s="17"/>
      <c r="H546" s="16"/>
      <c r="I546" s="3" t="str">
        <f t="shared" si="16"/>
        <v/>
      </c>
    </row>
    <row r="547" spans="1:9" ht="13" x14ac:dyDescent="0.15">
      <c r="A547" s="17"/>
      <c r="B547" s="17"/>
      <c r="C547" s="17"/>
      <c r="D547" s="17"/>
      <c r="E547" s="17"/>
      <c r="F547" s="17"/>
      <c r="G547" s="17"/>
      <c r="H547" s="16"/>
      <c r="I547" s="3" t="str">
        <f t="shared" si="16"/>
        <v/>
      </c>
    </row>
    <row r="548" spans="1:9" ht="13" x14ac:dyDescent="0.15">
      <c r="A548" s="17"/>
      <c r="B548" s="17"/>
      <c r="C548" s="17"/>
      <c r="D548" s="17"/>
      <c r="E548" s="17"/>
      <c r="F548" s="17"/>
      <c r="G548" s="17"/>
      <c r="H548" s="16"/>
      <c r="I548" s="3" t="str">
        <f t="shared" si="16"/>
        <v/>
      </c>
    </row>
    <row r="549" spans="1:9" ht="13" x14ac:dyDescent="0.15">
      <c r="A549" s="17"/>
      <c r="B549" s="17"/>
      <c r="C549" s="17"/>
      <c r="D549" s="17"/>
      <c r="E549" s="17"/>
      <c r="F549" s="17"/>
      <c r="G549" s="17"/>
      <c r="H549" s="16"/>
      <c r="I549" s="3" t="str">
        <f t="shared" si="16"/>
        <v/>
      </c>
    </row>
    <row r="550" spans="1:9" ht="13" x14ac:dyDescent="0.15">
      <c r="A550" s="17"/>
      <c r="B550" s="17"/>
      <c r="C550" s="17"/>
      <c r="D550" s="17"/>
      <c r="E550" s="17"/>
      <c r="F550" s="17"/>
      <c r="G550" s="17"/>
      <c r="H550" s="16"/>
      <c r="I550" s="3" t="str">
        <f t="shared" si="16"/>
        <v/>
      </c>
    </row>
    <row r="551" spans="1:9" ht="13" x14ac:dyDescent="0.15">
      <c r="A551" s="17"/>
      <c r="B551" s="17"/>
      <c r="C551" s="17"/>
      <c r="D551" s="17"/>
      <c r="E551" s="17"/>
      <c r="F551" s="17"/>
      <c r="G551" s="17"/>
      <c r="H551" s="16"/>
      <c r="I551" s="3" t="str">
        <f t="shared" si="16"/>
        <v/>
      </c>
    </row>
    <row r="552" spans="1:9" ht="13" x14ac:dyDescent="0.15">
      <c r="A552" s="17"/>
      <c r="B552" s="17"/>
      <c r="C552" s="17"/>
      <c r="D552" s="17"/>
      <c r="E552" s="17"/>
      <c r="F552" s="17"/>
      <c r="G552" s="17"/>
      <c r="H552" s="16"/>
      <c r="I552" s="3" t="str">
        <f t="shared" si="16"/>
        <v/>
      </c>
    </row>
    <row r="553" spans="1:9" ht="13" x14ac:dyDescent="0.15">
      <c r="A553" s="17"/>
      <c r="B553" s="17"/>
      <c r="C553" s="17"/>
      <c r="D553" s="17"/>
      <c r="E553" s="17"/>
      <c r="F553" s="17"/>
      <c r="G553" s="17"/>
      <c r="H553" s="16"/>
      <c r="I553" s="3" t="str">
        <f t="shared" si="16"/>
        <v/>
      </c>
    </row>
    <row r="554" spans="1:9" ht="13" x14ac:dyDescent="0.15">
      <c r="A554" s="17"/>
      <c r="B554" s="17"/>
      <c r="C554" s="17"/>
      <c r="D554" s="17"/>
      <c r="E554" s="17"/>
      <c r="F554" s="17"/>
      <c r="G554" s="17"/>
      <c r="H554" s="16"/>
      <c r="I554" s="3" t="str">
        <f t="shared" si="16"/>
        <v/>
      </c>
    </row>
    <row r="555" spans="1:9" ht="13" x14ac:dyDescent="0.15">
      <c r="A555" s="17"/>
      <c r="B555" s="17"/>
      <c r="C555" s="17"/>
      <c r="D555" s="17"/>
      <c r="E555" s="17"/>
      <c r="F555" s="17"/>
      <c r="G555" s="17"/>
      <c r="H555" s="16"/>
      <c r="I555" s="3" t="str">
        <f t="shared" si="16"/>
        <v/>
      </c>
    </row>
    <row r="556" spans="1:9" ht="13" x14ac:dyDescent="0.15">
      <c r="A556" s="17"/>
      <c r="B556" s="17"/>
      <c r="C556" s="17"/>
      <c r="D556" s="17"/>
      <c r="E556" s="17"/>
      <c r="F556" s="17"/>
      <c r="G556" s="17"/>
      <c r="H556" s="16"/>
      <c r="I556" s="3" t="str">
        <f t="shared" si="16"/>
        <v/>
      </c>
    </row>
    <row r="557" spans="1:9" ht="13" x14ac:dyDescent="0.15">
      <c r="A557" s="17"/>
      <c r="B557" s="17"/>
      <c r="C557" s="17"/>
      <c r="D557" s="17"/>
      <c r="E557" s="17"/>
      <c r="F557" s="17"/>
      <c r="G557" s="17"/>
      <c r="H557" s="16"/>
      <c r="I557" s="3" t="str">
        <f t="shared" si="16"/>
        <v/>
      </c>
    </row>
    <row r="558" spans="1:9" ht="13" x14ac:dyDescent="0.15">
      <c r="A558" s="17"/>
      <c r="B558" s="17"/>
      <c r="C558" s="17"/>
      <c r="D558" s="17"/>
      <c r="E558" s="17"/>
      <c r="F558" s="17"/>
      <c r="G558" s="17"/>
      <c r="H558" s="16"/>
      <c r="I558" s="3" t="str">
        <f t="shared" si="16"/>
        <v/>
      </c>
    </row>
    <row r="559" spans="1:9" ht="13" x14ac:dyDescent="0.15">
      <c r="A559" s="17"/>
      <c r="B559" s="17"/>
      <c r="C559" s="17"/>
      <c r="D559" s="17"/>
      <c r="E559" s="17"/>
      <c r="F559" s="17"/>
      <c r="G559" s="17"/>
      <c r="H559" s="16"/>
      <c r="I559" s="3" t="str">
        <f t="shared" si="16"/>
        <v/>
      </c>
    </row>
    <row r="560" spans="1:9" ht="13" x14ac:dyDescent="0.15">
      <c r="A560" s="17"/>
      <c r="B560" s="17"/>
      <c r="C560" s="17"/>
      <c r="D560" s="17"/>
      <c r="E560" s="17"/>
      <c r="F560" s="17"/>
      <c r="G560" s="17"/>
      <c r="H560" s="16"/>
      <c r="I560" s="3" t="str">
        <f t="shared" si="16"/>
        <v/>
      </c>
    </row>
    <row r="561" spans="1:9" ht="13" x14ac:dyDescent="0.15">
      <c r="A561" s="17"/>
      <c r="B561" s="17"/>
      <c r="C561" s="17"/>
      <c r="D561" s="17"/>
      <c r="E561" s="17"/>
      <c r="F561" s="17"/>
      <c r="G561" s="17"/>
      <c r="H561" s="16"/>
      <c r="I561" s="3" t="str">
        <f t="shared" si="16"/>
        <v/>
      </c>
    </row>
    <row r="562" spans="1:9" ht="13" x14ac:dyDescent="0.15">
      <c r="A562" s="17"/>
      <c r="B562" s="17"/>
      <c r="C562" s="17"/>
      <c r="D562" s="17"/>
      <c r="E562" s="17"/>
      <c r="F562" s="17"/>
      <c r="G562" s="17"/>
      <c r="H562" s="16"/>
      <c r="I562" s="3" t="str">
        <f t="shared" si="16"/>
        <v/>
      </c>
    </row>
    <row r="563" spans="1:9" ht="13" x14ac:dyDescent="0.15">
      <c r="A563" s="17"/>
      <c r="B563" s="17"/>
      <c r="C563" s="17"/>
      <c r="D563" s="17"/>
      <c r="E563" s="17"/>
      <c r="F563" s="17"/>
      <c r="G563" s="17"/>
      <c r="H563" s="16"/>
      <c r="I563" s="3" t="str">
        <f t="shared" si="16"/>
        <v/>
      </c>
    </row>
    <row r="564" spans="1:9" ht="13" x14ac:dyDescent="0.15">
      <c r="A564" s="17"/>
      <c r="B564" s="17"/>
      <c r="C564" s="17"/>
      <c r="D564" s="17"/>
      <c r="E564" s="17"/>
      <c r="F564" s="17"/>
      <c r="G564" s="17"/>
      <c r="H564" s="16"/>
      <c r="I564" s="3" t="str">
        <f t="shared" si="16"/>
        <v/>
      </c>
    </row>
    <row r="565" spans="1:9" ht="13" x14ac:dyDescent="0.15">
      <c r="A565" s="17"/>
      <c r="B565" s="17"/>
      <c r="C565" s="17"/>
      <c r="D565" s="17"/>
      <c r="E565" s="17"/>
      <c r="F565" s="17"/>
      <c r="G565" s="17"/>
      <c r="H565" s="16"/>
      <c r="I565" s="3" t="str">
        <f t="shared" si="16"/>
        <v/>
      </c>
    </row>
    <row r="566" spans="1:9" ht="13" x14ac:dyDescent="0.15">
      <c r="A566" s="17"/>
      <c r="B566" s="17"/>
      <c r="C566" s="17"/>
      <c r="D566" s="17"/>
      <c r="E566" s="17"/>
      <c r="F566" s="17"/>
      <c r="G566" s="17"/>
      <c r="H566" s="16"/>
      <c r="I566" s="3" t="str">
        <f t="shared" si="16"/>
        <v/>
      </c>
    </row>
    <row r="567" spans="1:9" ht="13" x14ac:dyDescent="0.15">
      <c r="A567" s="17"/>
      <c r="B567" s="17"/>
      <c r="C567" s="17"/>
      <c r="D567" s="17"/>
      <c r="E567" s="17"/>
      <c r="F567" s="17"/>
      <c r="G567" s="17"/>
      <c r="H567" s="16"/>
      <c r="I567" s="3" t="str">
        <f t="shared" si="16"/>
        <v/>
      </c>
    </row>
    <row r="568" spans="1:9" ht="13" x14ac:dyDescent="0.15">
      <c r="A568" s="17"/>
      <c r="B568" s="17"/>
      <c r="C568" s="17"/>
      <c r="D568" s="17"/>
      <c r="E568" s="17"/>
      <c r="F568" s="17"/>
      <c r="G568" s="17"/>
      <c r="H568" s="16"/>
      <c r="I568" s="3" t="str">
        <f t="shared" si="16"/>
        <v/>
      </c>
    </row>
    <row r="569" spans="1:9" ht="13" x14ac:dyDescent="0.15">
      <c r="A569" s="17"/>
      <c r="B569" s="17"/>
      <c r="C569" s="17"/>
      <c r="D569" s="17"/>
      <c r="E569" s="17"/>
      <c r="F569" s="17"/>
      <c r="G569" s="17"/>
      <c r="H569" s="16"/>
      <c r="I569" s="3" t="str">
        <f t="shared" si="16"/>
        <v/>
      </c>
    </row>
    <row r="570" spans="1:9" ht="13" x14ac:dyDescent="0.15">
      <c r="A570" s="17"/>
      <c r="B570" s="17"/>
      <c r="C570" s="17"/>
      <c r="D570" s="17"/>
      <c r="E570" s="17"/>
      <c r="F570" s="17"/>
      <c r="G570" s="17"/>
      <c r="H570" s="16"/>
      <c r="I570" s="3" t="str">
        <f t="shared" si="16"/>
        <v/>
      </c>
    </row>
    <row r="571" spans="1:9" ht="13" x14ac:dyDescent="0.15">
      <c r="A571" s="17"/>
      <c r="B571" s="17"/>
      <c r="C571" s="17"/>
      <c r="D571" s="17"/>
      <c r="E571" s="17"/>
      <c r="F571" s="17"/>
      <c r="G571" s="17"/>
      <c r="H571" s="16"/>
      <c r="I571" s="3" t="str">
        <f t="shared" si="16"/>
        <v/>
      </c>
    </row>
    <row r="572" spans="1:9" ht="13" x14ac:dyDescent="0.15">
      <c r="A572" s="17"/>
      <c r="B572" s="17"/>
      <c r="C572" s="17"/>
      <c r="D572" s="17"/>
      <c r="E572" s="17"/>
      <c r="F572" s="17"/>
      <c r="G572" s="17"/>
      <c r="H572" s="16"/>
      <c r="I572" s="3" t="str">
        <f t="shared" si="16"/>
        <v/>
      </c>
    </row>
    <row r="573" spans="1:9" ht="13" x14ac:dyDescent="0.15">
      <c r="A573" s="17"/>
      <c r="B573" s="17"/>
      <c r="C573" s="17"/>
      <c r="D573" s="17"/>
      <c r="E573" s="17"/>
      <c r="F573" s="17"/>
      <c r="G573" s="17"/>
      <c r="H573" s="16"/>
      <c r="I573" s="3" t="str">
        <f t="shared" si="16"/>
        <v/>
      </c>
    </row>
    <row r="574" spans="1:9" ht="13" x14ac:dyDescent="0.15">
      <c r="A574" s="17"/>
      <c r="B574" s="17"/>
      <c r="C574" s="17"/>
      <c r="D574" s="17"/>
      <c r="E574" s="17"/>
      <c r="F574" s="17"/>
      <c r="G574" s="17"/>
      <c r="H574" s="16"/>
      <c r="I574" s="3" t="str">
        <f t="shared" si="16"/>
        <v/>
      </c>
    </row>
    <row r="575" spans="1:9" ht="13" x14ac:dyDescent="0.15">
      <c r="A575" s="17"/>
      <c r="B575" s="17"/>
      <c r="C575" s="17"/>
      <c r="D575" s="17"/>
      <c r="E575" s="17"/>
      <c r="F575" s="17"/>
      <c r="G575" s="17"/>
      <c r="H575" s="16"/>
      <c r="I575" s="3" t="str">
        <f t="shared" si="16"/>
        <v/>
      </c>
    </row>
    <row r="576" spans="1:9" ht="13" x14ac:dyDescent="0.15">
      <c r="A576" s="17"/>
      <c r="B576" s="17"/>
      <c r="C576" s="17"/>
      <c r="D576" s="17"/>
      <c r="E576" s="17"/>
      <c r="F576" s="17"/>
      <c r="G576" s="17"/>
      <c r="H576" s="16"/>
      <c r="I576" s="3" t="str">
        <f t="shared" si="16"/>
        <v/>
      </c>
    </row>
    <row r="577" spans="1:9" ht="13" x14ac:dyDescent="0.15">
      <c r="A577" s="17"/>
      <c r="B577" s="17"/>
      <c r="C577" s="17"/>
      <c r="D577" s="17"/>
      <c r="E577" s="17"/>
      <c r="F577" s="17"/>
      <c r="G577" s="17"/>
      <c r="H577" s="16"/>
      <c r="I577" s="3" t="str">
        <f t="shared" si="16"/>
        <v/>
      </c>
    </row>
    <row r="578" spans="1:9" ht="13" x14ac:dyDescent="0.15">
      <c r="A578" s="17"/>
      <c r="B578" s="17"/>
      <c r="C578" s="17"/>
      <c r="D578" s="17"/>
      <c r="E578" s="17"/>
      <c r="F578" s="17"/>
      <c r="G578" s="17"/>
      <c r="H578" s="16"/>
      <c r="I578" s="3" t="str">
        <f t="shared" ref="I578:I641" si="17">IF(ISNUMBER(H578),IF(ABS(H578-$L$14)&gt;$M$16,"OUT",""),"")</f>
        <v/>
      </c>
    </row>
    <row r="579" spans="1:9" ht="13" x14ac:dyDescent="0.15">
      <c r="A579" s="17"/>
      <c r="B579" s="17"/>
      <c r="C579" s="17"/>
      <c r="D579" s="17"/>
      <c r="E579" s="17"/>
      <c r="F579" s="17"/>
      <c r="G579" s="17"/>
      <c r="H579" s="16"/>
      <c r="I579" s="3" t="str">
        <f t="shared" si="17"/>
        <v/>
      </c>
    </row>
    <row r="580" spans="1:9" ht="13" x14ac:dyDescent="0.15">
      <c r="A580" s="17"/>
      <c r="B580" s="17"/>
      <c r="C580" s="17"/>
      <c r="D580" s="17"/>
      <c r="E580" s="17"/>
      <c r="F580" s="17"/>
      <c r="G580" s="17"/>
      <c r="H580" s="16"/>
      <c r="I580" s="3" t="str">
        <f t="shared" si="17"/>
        <v/>
      </c>
    </row>
    <row r="581" spans="1:9" ht="13" x14ac:dyDescent="0.15">
      <c r="A581" s="17"/>
      <c r="B581" s="17"/>
      <c r="C581" s="17"/>
      <c r="D581" s="17"/>
      <c r="E581" s="17"/>
      <c r="F581" s="17"/>
      <c r="G581" s="17"/>
      <c r="H581" s="16"/>
      <c r="I581" s="3" t="str">
        <f t="shared" si="17"/>
        <v/>
      </c>
    </row>
    <row r="582" spans="1:9" ht="13" x14ac:dyDescent="0.15">
      <c r="A582" s="17"/>
      <c r="B582" s="17"/>
      <c r="C582" s="17"/>
      <c r="D582" s="17"/>
      <c r="E582" s="17"/>
      <c r="F582" s="17"/>
      <c r="G582" s="17"/>
      <c r="H582" s="16"/>
      <c r="I582" s="3" t="str">
        <f t="shared" si="17"/>
        <v/>
      </c>
    </row>
    <row r="583" spans="1:9" ht="13" x14ac:dyDescent="0.15">
      <c r="A583" s="17"/>
      <c r="B583" s="17"/>
      <c r="C583" s="17"/>
      <c r="D583" s="17"/>
      <c r="E583" s="17"/>
      <c r="F583" s="17"/>
      <c r="G583" s="17"/>
      <c r="H583" s="16"/>
      <c r="I583" s="3" t="str">
        <f t="shared" si="17"/>
        <v/>
      </c>
    </row>
    <row r="584" spans="1:9" ht="13" x14ac:dyDescent="0.15">
      <c r="A584" s="17"/>
      <c r="B584" s="17"/>
      <c r="C584" s="17"/>
      <c r="D584" s="17"/>
      <c r="E584" s="17"/>
      <c r="F584" s="17"/>
      <c r="G584" s="17"/>
      <c r="H584" s="16"/>
      <c r="I584" s="3" t="str">
        <f t="shared" si="17"/>
        <v/>
      </c>
    </row>
    <row r="585" spans="1:9" ht="13" x14ac:dyDescent="0.15">
      <c r="A585" s="17"/>
      <c r="B585" s="17"/>
      <c r="C585" s="17"/>
      <c r="D585" s="17"/>
      <c r="E585" s="17"/>
      <c r="F585" s="17"/>
      <c r="G585" s="17"/>
      <c r="H585" s="16"/>
      <c r="I585" s="3" t="str">
        <f t="shared" si="17"/>
        <v/>
      </c>
    </row>
    <row r="586" spans="1:9" ht="13" x14ac:dyDescent="0.15">
      <c r="A586" s="17"/>
      <c r="B586" s="17"/>
      <c r="C586" s="17"/>
      <c r="D586" s="17"/>
      <c r="E586" s="17"/>
      <c r="F586" s="17"/>
      <c r="G586" s="17"/>
      <c r="H586" s="16"/>
      <c r="I586" s="3" t="str">
        <f t="shared" si="17"/>
        <v/>
      </c>
    </row>
    <row r="587" spans="1:9" ht="13" x14ac:dyDescent="0.15">
      <c r="A587" s="17"/>
      <c r="B587" s="17"/>
      <c r="C587" s="17"/>
      <c r="D587" s="17"/>
      <c r="E587" s="17"/>
      <c r="F587" s="17"/>
      <c r="G587" s="17"/>
      <c r="H587" s="16"/>
      <c r="I587" s="3" t="str">
        <f t="shared" si="17"/>
        <v/>
      </c>
    </row>
    <row r="588" spans="1:9" ht="13" x14ac:dyDescent="0.15">
      <c r="A588" s="17"/>
      <c r="B588" s="17"/>
      <c r="C588" s="17"/>
      <c r="D588" s="17"/>
      <c r="E588" s="17"/>
      <c r="F588" s="17"/>
      <c r="G588" s="17"/>
      <c r="H588" s="16"/>
      <c r="I588" s="3" t="str">
        <f t="shared" si="17"/>
        <v/>
      </c>
    </row>
    <row r="589" spans="1:9" ht="13" x14ac:dyDescent="0.15">
      <c r="A589" s="17"/>
      <c r="B589" s="17"/>
      <c r="C589" s="17"/>
      <c r="D589" s="17"/>
      <c r="E589" s="17"/>
      <c r="F589" s="17"/>
      <c r="G589" s="17"/>
      <c r="H589" s="16"/>
      <c r="I589" s="3" t="str">
        <f t="shared" si="17"/>
        <v/>
      </c>
    </row>
    <row r="590" spans="1:9" ht="13" x14ac:dyDescent="0.15">
      <c r="A590" s="17"/>
      <c r="B590" s="17"/>
      <c r="C590" s="17"/>
      <c r="D590" s="17"/>
      <c r="E590" s="17"/>
      <c r="F590" s="17"/>
      <c r="G590" s="17"/>
      <c r="H590" s="16"/>
      <c r="I590" s="3" t="str">
        <f t="shared" si="17"/>
        <v/>
      </c>
    </row>
    <row r="591" spans="1:9" ht="13" x14ac:dyDescent="0.15">
      <c r="A591" s="17"/>
      <c r="B591" s="17"/>
      <c r="C591" s="17"/>
      <c r="D591" s="17"/>
      <c r="E591" s="17"/>
      <c r="F591" s="17"/>
      <c r="G591" s="17"/>
      <c r="H591" s="16"/>
      <c r="I591" s="3" t="str">
        <f t="shared" si="17"/>
        <v/>
      </c>
    </row>
    <row r="592" spans="1:9" ht="13" x14ac:dyDescent="0.15">
      <c r="A592" s="17"/>
      <c r="B592" s="17"/>
      <c r="C592" s="17"/>
      <c r="D592" s="17"/>
      <c r="E592" s="17"/>
      <c r="F592" s="17"/>
      <c r="G592" s="17"/>
      <c r="H592" s="16"/>
      <c r="I592" s="3" t="str">
        <f t="shared" si="17"/>
        <v/>
      </c>
    </row>
    <row r="593" spans="1:9" ht="13" x14ac:dyDescent="0.15">
      <c r="A593" s="17"/>
      <c r="B593" s="17"/>
      <c r="C593" s="17"/>
      <c r="D593" s="17"/>
      <c r="E593" s="17"/>
      <c r="F593" s="17"/>
      <c r="G593" s="17"/>
      <c r="H593" s="16"/>
      <c r="I593" s="3" t="str">
        <f t="shared" si="17"/>
        <v/>
      </c>
    </row>
    <row r="594" spans="1:9" ht="13" x14ac:dyDescent="0.15">
      <c r="A594" s="17"/>
      <c r="B594" s="17"/>
      <c r="C594" s="17"/>
      <c r="D594" s="17"/>
      <c r="E594" s="17"/>
      <c r="F594" s="17"/>
      <c r="G594" s="17"/>
      <c r="H594" s="16"/>
      <c r="I594" s="3" t="str">
        <f t="shared" si="17"/>
        <v/>
      </c>
    </row>
    <row r="595" spans="1:9" ht="13" x14ac:dyDescent="0.15">
      <c r="A595" s="17"/>
      <c r="B595" s="17"/>
      <c r="C595" s="17"/>
      <c r="D595" s="17"/>
      <c r="E595" s="17"/>
      <c r="F595" s="17"/>
      <c r="G595" s="17"/>
      <c r="H595" s="16"/>
      <c r="I595" s="3" t="str">
        <f t="shared" si="17"/>
        <v/>
      </c>
    </row>
    <row r="596" spans="1:9" ht="13" x14ac:dyDescent="0.15">
      <c r="A596" s="17"/>
      <c r="B596" s="17"/>
      <c r="C596" s="17"/>
      <c r="D596" s="17"/>
      <c r="E596" s="17"/>
      <c r="F596" s="17"/>
      <c r="G596" s="17"/>
      <c r="H596" s="16"/>
      <c r="I596" s="3" t="str">
        <f t="shared" si="17"/>
        <v/>
      </c>
    </row>
    <row r="597" spans="1:9" ht="13" x14ac:dyDescent="0.15">
      <c r="A597" s="17"/>
      <c r="B597" s="17"/>
      <c r="C597" s="17"/>
      <c r="D597" s="17"/>
      <c r="E597" s="17"/>
      <c r="F597" s="17"/>
      <c r="G597" s="17"/>
      <c r="H597" s="16"/>
      <c r="I597" s="3" t="str">
        <f t="shared" si="17"/>
        <v/>
      </c>
    </row>
    <row r="598" spans="1:9" ht="13" x14ac:dyDescent="0.15">
      <c r="A598" s="17"/>
      <c r="B598" s="17"/>
      <c r="C598" s="17"/>
      <c r="D598" s="17"/>
      <c r="E598" s="17"/>
      <c r="F598" s="17"/>
      <c r="G598" s="17"/>
      <c r="H598" s="16"/>
      <c r="I598" s="3" t="str">
        <f t="shared" si="17"/>
        <v/>
      </c>
    </row>
    <row r="599" spans="1:9" ht="13" x14ac:dyDescent="0.15">
      <c r="A599" s="17"/>
      <c r="B599" s="17"/>
      <c r="C599" s="17"/>
      <c r="D599" s="17"/>
      <c r="E599" s="17"/>
      <c r="F599" s="17"/>
      <c r="G599" s="17"/>
      <c r="H599" s="16"/>
      <c r="I599" s="3" t="str">
        <f t="shared" si="17"/>
        <v/>
      </c>
    </row>
    <row r="600" spans="1:9" ht="13" x14ac:dyDescent="0.15">
      <c r="A600" s="17"/>
      <c r="B600" s="17"/>
      <c r="C600" s="17"/>
      <c r="D600" s="17"/>
      <c r="E600" s="17"/>
      <c r="F600" s="17"/>
      <c r="G600" s="17"/>
      <c r="H600" s="16"/>
      <c r="I600" s="3" t="str">
        <f t="shared" si="17"/>
        <v/>
      </c>
    </row>
    <row r="601" spans="1:9" ht="13" x14ac:dyDescent="0.15">
      <c r="A601" s="17"/>
      <c r="B601" s="17"/>
      <c r="C601" s="17"/>
      <c r="D601" s="17"/>
      <c r="E601" s="17"/>
      <c r="F601" s="17"/>
      <c r="G601" s="17"/>
      <c r="H601" s="16"/>
      <c r="I601" s="3" t="str">
        <f t="shared" si="17"/>
        <v/>
      </c>
    </row>
    <row r="602" spans="1:9" ht="13" x14ac:dyDescent="0.15">
      <c r="A602" s="17"/>
      <c r="B602" s="17"/>
      <c r="C602" s="17"/>
      <c r="D602" s="17"/>
      <c r="E602" s="17"/>
      <c r="F602" s="17"/>
      <c r="G602" s="17"/>
      <c r="H602" s="16"/>
      <c r="I602" s="3" t="str">
        <f t="shared" si="17"/>
        <v/>
      </c>
    </row>
    <row r="603" spans="1:9" ht="13" x14ac:dyDescent="0.15">
      <c r="A603" s="17"/>
      <c r="B603" s="17"/>
      <c r="C603" s="17"/>
      <c r="D603" s="17"/>
      <c r="E603" s="17"/>
      <c r="F603" s="17"/>
      <c r="G603" s="17"/>
      <c r="H603" s="16"/>
      <c r="I603" s="3" t="str">
        <f t="shared" si="17"/>
        <v/>
      </c>
    </row>
    <row r="604" spans="1:9" ht="13" x14ac:dyDescent="0.15">
      <c r="A604" s="17"/>
      <c r="B604" s="17"/>
      <c r="C604" s="17"/>
      <c r="D604" s="17"/>
      <c r="E604" s="17"/>
      <c r="F604" s="17"/>
      <c r="G604" s="17"/>
      <c r="H604" s="16"/>
      <c r="I604" s="3" t="str">
        <f t="shared" si="17"/>
        <v/>
      </c>
    </row>
    <row r="605" spans="1:9" ht="13" x14ac:dyDescent="0.15">
      <c r="A605" s="17"/>
      <c r="B605" s="17"/>
      <c r="C605" s="17"/>
      <c r="D605" s="17"/>
      <c r="E605" s="17"/>
      <c r="F605" s="17"/>
      <c r="G605" s="17"/>
      <c r="H605" s="16"/>
      <c r="I605" s="3" t="str">
        <f t="shared" si="17"/>
        <v/>
      </c>
    </row>
    <row r="606" spans="1:9" ht="13" x14ac:dyDescent="0.15">
      <c r="A606" s="17"/>
      <c r="B606" s="17"/>
      <c r="C606" s="17"/>
      <c r="D606" s="17"/>
      <c r="E606" s="17"/>
      <c r="F606" s="17"/>
      <c r="G606" s="17"/>
      <c r="H606" s="16"/>
      <c r="I606" s="3" t="str">
        <f t="shared" si="17"/>
        <v/>
      </c>
    </row>
    <row r="607" spans="1:9" ht="13" x14ac:dyDescent="0.15">
      <c r="A607" s="17"/>
      <c r="B607" s="17"/>
      <c r="C607" s="17"/>
      <c r="D607" s="17"/>
      <c r="E607" s="17"/>
      <c r="F607" s="17"/>
      <c r="G607" s="17"/>
      <c r="H607" s="16"/>
      <c r="I607" s="3" t="str">
        <f t="shared" si="17"/>
        <v/>
      </c>
    </row>
    <row r="608" spans="1:9" ht="13" x14ac:dyDescent="0.15">
      <c r="A608" s="17"/>
      <c r="B608" s="17"/>
      <c r="C608" s="17"/>
      <c r="D608" s="17"/>
      <c r="E608" s="17"/>
      <c r="F608" s="17"/>
      <c r="G608" s="17"/>
      <c r="H608" s="16"/>
      <c r="I608" s="3" t="str">
        <f t="shared" si="17"/>
        <v/>
      </c>
    </row>
    <row r="609" spans="1:9" ht="13" x14ac:dyDescent="0.15">
      <c r="A609" s="17"/>
      <c r="B609" s="17"/>
      <c r="C609" s="17"/>
      <c r="D609" s="17"/>
      <c r="E609" s="17"/>
      <c r="F609" s="17"/>
      <c r="G609" s="17"/>
      <c r="H609" s="16"/>
      <c r="I609" s="3" t="str">
        <f t="shared" si="17"/>
        <v/>
      </c>
    </row>
    <row r="610" spans="1:9" ht="13" x14ac:dyDescent="0.15">
      <c r="A610" s="17"/>
      <c r="B610" s="17"/>
      <c r="C610" s="17"/>
      <c r="D610" s="17"/>
      <c r="E610" s="17"/>
      <c r="F610" s="17"/>
      <c r="G610" s="17"/>
      <c r="H610" s="16"/>
      <c r="I610" s="3" t="str">
        <f t="shared" si="17"/>
        <v/>
      </c>
    </row>
    <row r="611" spans="1:9" ht="13" x14ac:dyDescent="0.15">
      <c r="A611" s="17"/>
      <c r="B611" s="17"/>
      <c r="C611" s="17"/>
      <c r="D611" s="17"/>
      <c r="E611" s="17"/>
      <c r="F611" s="17"/>
      <c r="G611" s="17"/>
      <c r="H611" s="16"/>
      <c r="I611" s="3" t="str">
        <f t="shared" si="17"/>
        <v/>
      </c>
    </row>
    <row r="612" spans="1:9" ht="13" x14ac:dyDescent="0.15">
      <c r="A612" s="17"/>
      <c r="B612" s="17"/>
      <c r="C612" s="17"/>
      <c r="D612" s="17"/>
      <c r="E612" s="17"/>
      <c r="F612" s="17"/>
      <c r="G612" s="17"/>
      <c r="H612" s="16"/>
      <c r="I612" s="3" t="str">
        <f t="shared" si="17"/>
        <v/>
      </c>
    </row>
    <row r="613" spans="1:9" ht="13" x14ac:dyDescent="0.15">
      <c r="A613" s="17"/>
      <c r="B613" s="17"/>
      <c r="C613" s="17"/>
      <c r="D613" s="17"/>
      <c r="E613" s="17"/>
      <c r="F613" s="17"/>
      <c r="G613" s="17"/>
      <c r="H613" s="16"/>
      <c r="I613" s="3" t="str">
        <f t="shared" si="17"/>
        <v/>
      </c>
    </row>
    <row r="614" spans="1:9" ht="13" x14ac:dyDescent="0.15">
      <c r="A614" s="17"/>
      <c r="B614" s="17"/>
      <c r="C614" s="17"/>
      <c r="D614" s="17"/>
      <c r="E614" s="17"/>
      <c r="F614" s="17"/>
      <c r="G614" s="17"/>
      <c r="H614" s="16"/>
      <c r="I614" s="3" t="str">
        <f t="shared" si="17"/>
        <v/>
      </c>
    </row>
    <row r="615" spans="1:9" ht="13" x14ac:dyDescent="0.15">
      <c r="A615" s="17"/>
      <c r="B615" s="17"/>
      <c r="C615" s="17"/>
      <c r="D615" s="17"/>
      <c r="E615" s="17"/>
      <c r="F615" s="17"/>
      <c r="G615" s="17"/>
      <c r="H615" s="16"/>
      <c r="I615" s="3" t="str">
        <f t="shared" si="17"/>
        <v/>
      </c>
    </row>
    <row r="616" spans="1:9" ht="13" x14ac:dyDescent="0.15">
      <c r="A616" s="17"/>
      <c r="B616" s="17"/>
      <c r="C616" s="17"/>
      <c r="D616" s="17"/>
      <c r="E616" s="17"/>
      <c r="F616" s="17"/>
      <c r="G616" s="17"/>
      <c r="H616" s="16"/>
      <c r="I616" s="3" t="str">
        <f t="shared" si="17"/>
        <v/>
      </c>
    </row>
    <row r="617" spans="1:9" ht="13" x14ac:dyDescent="0.15">
      <c r="A617" s="17"/>
      <c r="B617" s="17"/>
      <c r="C617" s="17"/>
      <c r="D617" s="17"/>
      <c r="E617" s="17"/>
      <c r="F617" s="17"/>
      <c r="G617" s="17"/>
      <c r="H617" s="16"/>
      <c r="I617" s="3" t="str">
        <f t="shared" si="17"/>
        <v/>
      </c>
    </row>
    <row r="618" spans="1:9" ht="13" x14ac:dyDescent="0.15">
      <c r="A618" s="17"/>
      <c r="B618" s="17"/>
      <c r="C618" s="17"/>
      <c r="D618" s="17"/>
      <c r="E618" s="17"/>
      <c r="F618" s="17"/>
      <c r="G618" s="17"/>
      <c r="H618" s="16"/>
      <c r="I618" s="3" t="str">
        <f t="shared" si="17"/>
        <v/>
      </c>
    </row>
    <row r="619" spans="1:9" ht="13" x14ac:dyDescent="0.15">
      <c r="A619" s="17"/>
      <c r="B619" s="17"/>
      <c r="C619" s="17"/>
      <c r="D619" s="17"/>
      <c r="E619" s="17"/>
      <c r="F619" s="17"/>
      <c r="G619" s="17"/>
      <c r="H619" s="16"/>
      <c r="I619" s="3" t="str">
        <f t="shared" si="17"/>
        <v/>
      </c>
    </row>
    <row r="620" spans="1:9" ht="13" x14ac:dyDescent="0.15">
      <c r="A620" s="17"/>
      <c r="B620" s="17"/>
      <c r="C620" s="17"/>
      <c r="D620" s="17"/>
      <c r="E620" s="17"/>
      <c r="F620" s="17"/>
      <c r="G620" s="17"/>
      <c r="H620" s="16"/>
      <c r="I620" s="3" t="str">
        <f t="shared" si="17"/>
        <v/>
      </c>
    </row>
    <row r="621" spans="1:9" ht="13" x14ac:dyDescent="0.15">
      <c r="A621" s="17"/>
      <c r="B621" s="17"/>
      <c r="C621" s="17"/>
      <c r="D621" s="17"/>
      <c r="E621" s="17"/>
      <c r="F621" s="17"/>
      <c r="G621" s="17"/>
      <c r="H621" s="16"/>
      <c r="I621" s="3" t="str">
        <f t="shared" si="17"/>
        <v/>
      </c>
    </row>
    <row r="622" spans="1:9" ht="13" x14ac:dyDescent="0.15">
      <c r="A622" s="17"/>
      <c r="B622" s="17"/>
      <c r="C622" s="17"/>
      <c r="D622" s="17"/>
      <c r="E622" s="17"/>
      <c r="F622" s="17"/>
      <c r="G622" s="17"/>
      <c r="H622" s="16"/>
      <c r="I622" s="3" t="str">
        <f t="shared" si="17"/>
        <v/>
      </c>
    </row>
    <row r="623" spans="1:9" ht="13" x14ac:dyDescent="0.15">
      <c r="A623" s="17"/>
      <c r="B623" s="17"/>
      <c r="C623" s="17"/>
      <c r="D623" s="17"/>
      <c r="E623" s="17"/>
      <c r="F623" s="17"/>
      <c r="G623" s="17"/>
      <c r="H623" s="16"/>
      <c r="I623" s="3" t="str">
        <f t="shared" si="17"/>
        <v/>
      </c>
    </row>
    <row r="624" spans="1:9" ht="13" x14ac:dyDescent="0.15">
      <c r="A624" s="17"/>
      <c r="B624" s="17"/>
      <c r="C624" s="17"/>
      <c r="D624" s="17"/>
      <c r="E624" s="17"/>
      <c r="F624" s="17"/>
      <c r="G624" s="17"/>
      <c r="H624" s="16"/>
      <c r="I624" s="3" t="str">
        <f t="shared" si="17"/>
        <v/>
      </c>
    </row>
    <row r="625" spans="1:9" ht="13" x14ac:dyDescent="0.15">
      <c r="A625" s="17"/>
      <c r="B625" s="17"/>
      <c r="C625" s="17"/>
      <c r="D625" s="17"/>
      <c r="E625" s="17"/>
      <c r="F625" s="17"/>
      <c r="G625" s="17"/>
      <c r="H625" s="16"/>
      <c r="I625" s="3" t="str">
        <f t="shared" si="17"/>
        <v/>
      </c>
    </row>
    <row r="626" spans="1:9" ht="13" x14ac:dyDescent="0.15">
      <c r="A626" s="17"/>
      <c r="B626" s="17"/>
      <c r="C626" s="17"/>
      <c r="D626" s="17"/>
      <c r="E626" s="17"/>
      <c r="F626" s="17"/>
      <c r="G626" s="17"/>
      <c r="H626" s="16"/>
      <c r="I626" s="3" t="str">
        <f t="shared" si="17"/>
        <v/>
      </c>
    </row>
    <row r="627" spans="1:9" ht="13" x14ac:dyDescent="0.15">
      <c r="A627" s="17"/>
      <c r="B627" s="17"/>
      <c r="C627" s="17"/>
      <c r="D627" s="17"/>
      <c r="E627" s="17"/>
      <c r="F627" s="17"/>
      <c r="G627" s="17"/>
      <c r="H627" s="16"/>
      <c r="I627" s="3" t="str">
        <f t="shared" si="17"/>
        <v/>
      </c>
    </row>
    <row r="628" spans="1:9" ht="13" x14ac:dyDescent="0.15">
      <c r="A628" s="17"/>
      <c r="B628" s="17"/>
      <c r="C628" s="17"/>
      <c r="D628" s="17"/>
      <c r="E628" s="17"/>
      <c r="F628" s="17"/>
      <c r="G628" s="17"/>
      <c r="H628" s="16"/>
      <c r="I628" s="3" t="str">
        <f t="shared" si="17"/>
        <v/>
      </c>
    </row>
    <row r="629" spans="1:9" ht="13" x14ac:dyDescent="0.15">
      <c r="A629" s="17"/>
      <c r="B629" s="17"/>
      <c r="C629" s="17"/>
      <c r="D629" s="17"/>
      <c r="E629" s="17"/>
      <c r="F629" s="17"/>
      <c r="G629" s="17"/>
      <c r="H629" s="16"/>
      <c r="I629" s="3" t="str">
        <f t="shared" si="17"/>
        <v/>
      </c>
    </row>
    <row r="630" spans="1:9" ht="13" x14ac:dyDescent="0.15">
      <c r="A630" s="17"/>
      <c r="B630" s="17"/>
      <c r="C630" s="17"/>
      <c r="D630" s="17"/>
      <c r="E630" s="17"/>
      <c r="F630" s="17"/>
      <c r="G630" s="17"/>
      <c r="H630" s="16"/>
      <c r="I630" s="3" t="str">
        <f t="shared" si="17"/>
        <v/>
      </c>
    </row>
    <row r="631" spans="1:9" ht="13" x14ac:dyDescent="0.15">
      <c r="A631" s="17"/>
      <c r="B631" s="17"/>
      <c r="C631" s="17"/>
      <c r="D631" s="17"/>
      <c r="E631" s="17"/>
      <c r="F631" s="17"/>
      <c r="G631" s="17"/>
      <c r="H631" s="16"/>
      <c r="I631" s="3" t="str">
        <f t="shared" si="17"/>
        <v/>
      </c>
    </row>
    <row r="632" spans="1:9" ht="13" x14ac:dyDescent="0.15">
      <c r="A632" s="17"/>
      <c r="B632" s="17"/>
      <c r="C632" s="17"/>
      <c r="D632" s="17"/>
      <c r="E632" s="17"/>
      <c r="F632" s="17"/>
      <c r="G632" s="17"/>
      <c r="H632" s="16"/>
      <c r="I632" s="3" t="str">
        <f t="shared" si="17"/>
        <v/>
      </c>
    </row>
    <row r="633" spans="1:9" ht="13" x14ac:dyDescent="0.15">
      <c r="A633" s="17"/>
      <c r="B633" s="17"/>
      <c r="C633" s="17"/>
      <c r="D633" s="17"/>
      <c r="E633" s="17"/>
      <c r="F633" s="17"/>
      <c r="G633" s="17"/>
      <c r="H633" s="16"/>
      <c r="I633" s="3" t="str">
        <f t="shared" si="17"/>
        <v/>
      </c>
    </row>
    <row r="634" spans="1:9" ht="13" x14ac:dyDescent="0.15">
      <c r="A634" s="17"/>
      <c r="B634" s="17"/>
      <c r="C634" s="17"/>
      <c r="D634" s="17"/>
      <c r="E634" s="17"/>
      <c r="F634" s="17"/>
      <c r="G634" s="17"/>
      <c r="H634" s="16"/>
      <c r="I634" s="3" t="str">
        <f t="shared" si="17"/>
        <v/>
      </c>
    </row>
    <row r="635" spans="1:9" ht="13" x14ac:dyDescent="0.15">
      <c r="A635" s="17"/>
      <c r="B635" s="17"/>
      <c r="C635" s="17"/>
      <c r="D635" s="17"/>
      <c r="E635" s="17"/>
      <c r="F635" s="17"/>
      <c r="G635" s="17"/>
      <c r="H635" s="16"/>
      <c r="I635" s="3" t="str">
        <f t="shared" si="17"/>
        <v/>
      </c>
    </row>
    <row r="636" spans="1:9" ht="13" x14ac:dyDescent="0.15">
      <c r="A636" s="17"/>
      <c r="B636" s="17"/>
      <c r="C636" s="17"/>
      <c r="D636" s="17"/>
      <c r="E636" s="17"/>
      <c r="F636" s="17"/>
      <c r="G636" s="17"/>
      <c r="H636" s="16"/>
      <c r="I636" s="3" t="str">
        <f t="shared" si="17"/>
        <v/>
      </c>
    </row>
    <row r="637" spans="1:9" ht="13" x14ac:dyDescent="0.15">
      <c r="A637" s="17"/>
      <c r="B637" s="17"/>
      <c r="C637" s="17"/>
      <c r="D637" s="17"/>
      <c r="E637" s="17"/>
      <c r="F637" s="17"/>
      <c r="G637" s="17"/>
      <c r="H637" s="16"/>
      <c r="I637" s="3" t="str">
        <f t="shared" si="17"/>
        <v/>
      </c>
    </row>
    <row r="638" spans="1:9" ht="13" x14ac:dyDescent="0.15">
      <c r="A638" s="17"/>
      <c r="B638" s="17"/>
      <c r="C638" s="17"/>
      <c r="D638" s="17"/>
      <c r="E638" s="17"/>
      <c r="F638" s="17"/>
      <c r="G638" s="17"/>
      <c r="H638" s="16"/>
      <c r="I638" s="3" t="str">
        <f t="shared" si="17"/>
        <v/>
      </c>
    </row>
    <row r="639" spans="1:9" ht="13" x14ac:dyDescent="0.15">
      <c r="A639" s="17"/>
      <c r="B639" s="17"/>
      <c r="C639" s="17"/>
      <c r="D639" s="17"/>
      <c r="E639" s="17"/>
      <c r="F639" s="17"/>
      <c r="G639" s="17"/>
      <c r="H639" s="16"/>
      <c r="I639" s="3" t="str">
        <f t="shared" si="17"/>
        <v/>
      </c>
    </row>
    <row r="640" spans="1:9" ht="13" x14ac:dyDescent="0.15">
      <c r="A640" s="17"/>
      <c r="B640" s="17"/>
      <c r="C640" s="17"/>
      <c r="D640" s="17"/>
      <c r="E640" s="17"/>
      <c r="F640" s="17"/>
      <c r="G640" s="17"/>
      <c r="H640" s="16"/>
      <c r="I640" s="3" t="str">
        <f t="shared" si="17"/>
        <v/>
      </c>
    </row>
    <row r="641" spans="1:9" ht="13" x14ac:dyDescent="0.15">
      <c r="A641" s="17"/>
      <c r="B641" s="17"/>
      <c r="C641" s="17"/>
      <c r="D641" s="17"/>
      <c r="E641" s="17"/>
      <c r="F641" s="17"/>
      <c r="G641" s="17"/>
      <c r="H641" s="16"/>
      <c r="I641" s="3" t="str">
        <f t="shared" si="17"/>
        <v/>
      </c>
    </row>
    <row r="642" spans="1:9" ht="13" x14ac:dyDescent="0.15">
      <c r="A642" s="17"/>
      <c r="B642" s="17"/>
      <c r="C642" s="17"/>
      <c r="D642" s="17"/>
      <c r="E642" s="17"/>
      <c r="F642" s="17"/>
      <c r="G642" s="17"/>
      <c r="H642" s="16"/>
      <c r="I642" s="3" t="str">
        <f t="shared" ref="I642:I705" si="18">IF(ISNUMBER(H642),IF(ABS(H642-$L$14)&gt;$M$16,"OUT",""),"")</f>
        <v/>
      </c>
    </row>
    <row r="643" spans="1:9" ht="13" x14ac:dyDescent="0.15">
      <c r="A643" s="17"/>
      <c r="B643" s="17"/>
      <c r="C643" s="17"/>
      <c r="D643" s="17"/>
      <c r="E643" s="17"/>
      <c r="F643" s="17"/>
      <c r="G643" s="17"/>
      <c r="H643" s="16"/>
      <c r="I643" s="3" t="str">
        <f t="shared" si="18"/>
        <v/>
      </c>
    </row>
    <row r="644" spans="1:9" ht="13" x14ac:dyDescent="0.15">
      <c r="A644" s="17"/>
      <c r="B644" s="17"/>
      <c r="C644" s="17"/>
      <c r="D644" s="17"/>
      <c r="E644" s="17"/>
      <c r="F644" s="17"/>
      <c r="G644" s="17"/>
      <c r="H644" s="16"/>
      <c r="I644" s="3" t="str">
        <f t="shared" si="18"/>
        <v/>
      </c>
    </row>
    <row r="645" spans="1:9" ht="13" x14ac:dyDescent="0.15">
      <c r="A645" s="17"/>
      <c r="B645" s="17"/>
      <c r="C645" s="17"/>
      <c r="D645" s="17"/>
      <c r="E645" s="17"/>
      <c r="F645" s="17"/>
      <c r="G645" s="17"/>
      <c r="H645" s="16"/>
      <c r="I645" s="3" t="str">
        <f t="shared" si="18"/>
        <v/>
      </c>
    </row>
    <row r="646" spans="1:9" ht="13" x14ac:dyDescent="0.15">
      <c r="A646" s="17"/>
      <c r="B646" s="17"/>
      <c r="C646" s="17"/>
      <c r="D646" s="17"/>
      <c r="E646" s="17"/>
      <c r="F646" s="17"/>
      <c r="G646" s="17"/>
      <c r="H646" s="16"/>
      <c r="I646" s="3" t="str">
        <f t="shared" si="18"/>
        <v/>
      </c>
    </row>
    <row r="647" spans="1:9" ht="13" x14ac:dyDescent="0.15">
      <c r="A647" s="17"/>
      <c r="B647" s="17"/>
      <c r="C647" s="17"/>
      <c r="D647" s="17"/>
      <c r="E647" s="17"/>
      <c r="F647" s="17"/>
      <c r="G647" s="17"/>
      <c r="H647" s="16"/>
      <c r="I647" s="3" t="str">
        <f t="shared" si="18"/>
        <v/>
      </c>
    </row>
    <row r="648" spans="1:9" ht="13" x14ac:dyDescent="0.15">
      <c r="A648" s="17"/>
      <c r="B648" s="17"/>
      <c r="C648" s="17"/>
      <c r="D648" s="17"/>
      <c r="E648" s="17"/>
      <c r="F648" s="17"/>
      <c r="G648" s="17"/>
      <c r="H648" s="16"/>
      <c r="I648" s="3" t="str">
        <f t="shared" si="18"/>
        <v/>
      </c>
    </row>
    <row r="649" spans="1:9" ht="13" x14ac:dyDescent="0.15">
      <c r="A649" s="17"/>
      <c r="B649" s="17"/>
      <c r="C649" s="17"/>
      <c r="D649" s="17"/>
      <c r="E649" s="17"/>
      <c r="F649" s="17"/>
      <c r="G649" s="17"/>
      <c r="H649" s="16"/>
      <c r="I649" s="3" t="str">
        <f t="shared" si="18"/>
        <v/>
      </c>
    </row>
    <row r="650" spans="1:9" ht="13" x14ac:dyDescent="0.15">
      <c r="A650" s="17"/>
      <c r="B650" s="17"/>
      <c r="C650" s="17"/>
      <c r="D650" s="17"/>
      <c r="E650" s="17"/>
      <c r="F650" s="17"/>
      <c r="G650" s="17"/>
      <c r="H650" s="16"/>
      <c r="I650" s="3" t="str">
        <f t="shared" si="18"/>
        <v/>
      </c>
    </row>
    <row r="651" spans="1:9" ht="13" x14ac:dyDescent="0.15">
      <c r="A651" s="17"/>
      <c r="B651" s="17"/>
      <c r="C651" s="17"/>
      <c r="D651" s="17"/>
      <c r="E651" s="17"/>
      <c r="F651" s="17"/>
      <c r="G651" s="17"/>
      <c r="H651" s="16"/>
      <c r="I651" s="3" t="str">
        <f t="shared" si="18"/>
        <v/>
      </c>
    </row>
    <row r="652" spans="1:9" ht="13" x14ac:dyDescent="0.15">
      <c r="A652" s="17"/>
      <c r="B652" s="17"/>
      <c r="C652" s="17"/>
      <c r="D652" s="17"/>
      <c r="E652" s="17"/>
      <c r="F652" s="17"/>
      <c r="G652" s="17"/>
      <c r="H652" s="16"/>
      <c r="I652" s="3" t="str">
        <f t="shared" si="18"/>
        <v/>
      </c>
    </row>
    <row r="653" spans="1:9" ht="13" x14ac:dyDescent="0.15">
      <c r="A653" s="17"/>
      <c r="B653" s="17"/>
      <c r="C653" s="17"/>
      <c r="D653" s="17"/>
      <c r="E653" s="17"/>
      <c r="F653" s="17"/>
      <c r="G653" s="17"/>
      <c r="H653" s="16"/>
      <c r="I653" s="3" t="str">
        <f t="shared" si="18"/>
        <v/>
      </c>
    </row>
    <row r="654" spans="1:9" ht="13" x14ac:dyDescent="0.15">
      <c r="A654" s="17"/>
      <c r="B654" s="17"/>
      <c r="C654" s="17"/>
      <c r="D654" s="17"/>
      <c r="E654" s="17"/>
      <c r="F654" s="17"/>
      <c r="G654" s="17"/>
      <c r="H654" s="16"/>
      <c r="I654" s="3" t="str">
        <f t="shared" si="18"/>
        <v/>
      </c>
    </row>
    <row r="655" spans="1:9" ht="13" x14ac:dyDescent="0.15">
      <c r="A655" s="17"/>
      <c r="B655" s="17"/>
      <c r="C655" s="17"/>
      <c r="D655" s="17"/>
      <c r="E655" s="17"/>
      <c r="F655" s="17"/>
      <c r="G655" s="17"/>
      <c r="H655" s="16"/>
      <c r="I655" s="3" t="str">
        <f t="shared" si="18"/>
        <v/>
      </c>
    </row>
    <row r="656" spans="1:9" ht="13" x14ac:dyDescent="0.15">
      <c r="A656" s="17"/>
      <c r="B656" s="17"/>
      <c r="C656" s="17"/>
      <c r="D656" s="17"/>
      <c r="E656" s="17"/>
      <c r="F656" s="17"/>
      <c r="G656" s="17"/>
      <c r="H656" s="16"/>
      <c r="I656" s="3" t="str">
        <f t="shared" si="18"/>
        <v/>
      </c>
    </row>
    <row r="657" spans="1:9" ht="13" x14ac:dyDescent="0.15">
      <c r="A657" s="17"/>
      <c r="B657" s="17"/>
      <c r="C657" s="17"/>
      <c r="D657" s="17"/>
      <c r="E657" s="17"/>
      <c r="F657" s="17"/>
      <c r="G657" s="17"/>
      <c r="H657" s="16"/>
      <c r="I657" s="3" t="str">
        <f t="shared" si="18"/>
        <v/>
      </c>
    </row>
    <row r="658" spans="1:9" ht="13" x14ac:dyDescent="0.15">
      <c r="A658" s="17"/>
      <c r="B658" s="17"/>
      <c r="C658" s="17"/>
      <c r="D658" s="17"/>
      <c r="E658" s="17"/>
      <c r="F658" s="17"/>
      <c r="G658" s="17"/>
      <c r="H658" s="16"/>
      <c r="I658" s="3" t="str">
        <f t="shared" si="18"/>
        <v/>
      </c>
    </row>
    <row r="659" spans="1:9" ht="13" x14ac:dyDescent="0.15">
      <c r="A659" s="17"/>
      <c r="B659" s="17"/>
      <c r="C659" s="17"/>
      <c r="D659" s="17"/>
      <c r="E659" s="17"/>
      <c r="F659" s="17"/>
      <c r="G659" s="17"/>
      <c r="H659" s="16"/>
      <c r="I659" s="3" t="str">
        <f t="shared" si="18"/>
        <v/>
      </c>
    </row>
    <row r="660" spans="1:9" ht="13" x14ac:dyDescent="0.15">
      <c r="A660" s="17"/>
      <c r="B660" s="17"/>
      <c r="C660" s="17"/>
      <c r="D660" s="17"/>
      <c r="E660" s="17"/>
      <c r="F660" s="17"/>
      <c r="G660" s="17"/>
      <c r="H660" s="16"/>
      <c r="I660" s="3" t="str">
        <f t="shared" si="18"/>
        <v/>
      </c>
    </row>
    <row r="661" spans="1:9" ht="13" x14ac:dyDescent="0.15">
      <c r="A661" s="17"/>
      <c r="B661" s="17"/>
      <c r="C661" s="17"/>
      <c r="D661" s="17"/>
      <c r="E661" s="17"/>
      <c r="F661" s="17"/>
      <c r="G661" s="17"/>
      <c r="H661" s="16"/>
      <c r="I661" s="3" t="str">
        <f t="shared" si="18"/>
        <v/>
      </c>
    </row>
    <row r="662" spans="1:9" ht="13" x14ac:dyDescent="0.15">
      <c r="A662" s="17"/>
      <c r="B662" s="17"/>
      <c r="C662" s="17"/>
      <c r="D662" s="17"/>
      <c r="E662" s="17"/>
      <c r="F662" s="17"/>
      <c r="G662" s="17"/>
      <c r="H662" s="16"/>
      <c r="I662" s="3" t="str">
        <f t="shared" si="18"/>
        <v/>
      </c>
    </row>
    <row r="663" spans="1:9" ht="13" x14ac:dyDescent="0.15">
      <c r="A663" s="17"/>
      <c r="B663" s="17"/>
      <c r="C663" s="17"/>
      <c r="D663" s="17"/>
      <c r="E663" s="17"/>
      <c r="F663" s="17"/>
      <c r="G663" s="17"/>
      <c r="H663" s="16"/>
      <c r="I663" s="3" t="str">
        <f t="shared" si="18"/>
        <v/>
      </c>
    </row>
    <row r="664" spans="1:9" ht="13" x14ac:dyDescent="0.15">
      <c r="A664" s="17"/>
      <c r="B664" s="17"/>
      <c r="C664" s="17"/>
      <c r="D664" s="17"/>
      <c r="E664" s="17"/>
      <c r="F664" s="17"/>
      <c r="G664" s="17"/>
      <c r="H664" s="16"/>
      <c r="I664" s="3" t="str">
        <f t="shared" si="18"/>
        <v/>
      </c>
    </row>
    <row r="665" spans="1:9" ht="13" x14ac:dyDescent="0.15">
      <c r="A665" s="17"/>
      <c r="B665" s="17"/>
      <c r="C665" s="17"/>
      <c r="D665" s="17"/>
      <c r="E665" s="17"/>
      <c r="F665" s="17"/>
      <c r="G665" s="17"/>
      <c r="H665" s="16"/>
      <c r="I665" s="3" t="str">
        <f t="shared" si="18"/>
        <v/>
      </c>
    </row>
    <row r="666" spans="1:9" ht="13" x14ac:dyDescent="0.15">
      <c r="A666" s="17"/>
      <c r="B666" s="17"/>
      <c r="C666" s="17"/>
      <c r="D666" s="17"/>
      <c r="E666" s="17"/>
      <c r="F666" s="17"/>
      <c r="G666" s="17"/>
      <c r="H666" s="16"/>
      <c r="I666" s="3" t="str">
        <f t="shared" si="18"/>
        <v/>
      </c>
    </row>
    <row r="667" spans="1:9" ht="13" x14ac:dyDescent="0.15">
      <c r="A667" s="17"/>
      <c r="B667" s="17"/>
      <c r="C667" s="17"/>
      <c r="D667" s="17"/>
      <c r="E667" s="17"/>
      <c r="F667" s="17"/>
      <c r="G667" s="17"/>
      <c r="H667" s="16"/>
      <c r="I667" s="3" t="str">
        <f t="shared" si="18"/>
        <v/>
      </c>
    </row>
    <row r="668" spans="1:9" ht="13" x14ac:dyDescent="0.15">
      <c r="A668" s="17"/>
      <c r="B668" s="17"/>
      <c r="C668" s="17"/>
      <c r="D668" s="17"/>
      <c r="E668" s="17"/>
      <c r="F668" s="17"/>
      <c r="G668" s="17"/>
      <c r="H668" s="16"/>
      <c r="I668" s="3" t="str">
        <f t="shared" si="18"/>
        <v/>
      </c>
    </row>
    <row r="669" spans="1:9" ht="13" x14ac:dyDescent="0.15">
      <c r="A669" s="17"/>
      <c r="B669" s="17"/>
      <c r="C669" s="17"/>
      <c r="D669" s="17"/>
      <c r="E669" s="17"/>
      <c r="F669" s="17"/>
      <c r="G669" s="17"/>
      <c r="H669" s="16"/>
      <c r="I669" s="3" t="str">
        <f t="shared" si="18"/>
        <v/>
      </c>
    </row>
    <row r="670" spans="1:9" ht="13" x14ac:dyDescent="0.15">
      <c r="A670" s="17"/>
      <c r="B670" s="17"/>
      <c r="C670" s="17"/>
      <c r="D670" s="17"/>
      <c r="E670" s="17"/>
      <c r="F670" s="17"/>
      <c r="G670" s="17"/>
      <c r="H670" s="16"/>
      <c r="I670" s="3" t="str">
        <f t="shared" si="18"/>
        <v/>
      </c>
    </row>
    <row r="671" spans="1:9" ht="13" x14ac:dyDescent="0.15">
      <c r="A671" s="17"/>
      <c r="B671" s="17"/>
      <c r="C671" s="17"/>
      <c r="D671" s="17"/>
      <c r="E671" s="17"/>
      <c r="F671" s="17"/>
      <c r="G671" s="17"/>
      <c r="H671" s="16"/>
      <c r="I671" s="3" t="str">
        <f t="shared" si="18"/>
        <v/>
      </c>
    </row>
    <row r="672" spans="1:9" ht="13" x14ac:dyDescent="0.15">
      <c r="A672" s="17"/>
      <c r="B672" s="17"/>
      <c r="C672" s="17"/>
      <c r="D672" s="17"/>
      <c r="E672" s="17"/>
      <c r="F672" s="17"/>
      <c r="G672" s="17"/>
      <c r="H672" s="16"/>
      <c r="I672" s="3" t="str">
        <f t="shared" si="18"/>
        <v/>
      </c>
    </row>
    <row r="673" spans="1:9" ht="13" x14ac:dyDescent="0.15">
      <c r="A673" s="17"/>
      <c r="B673" s="17"/>
      <c r="C673" s="17"/>
      <c r="D673" s="17"/>
      <c r="E673" s="17"/>
      <c r="F673" s="17"/>
      <c r="G673" s="17"/>
      <c r="H673" s="16"/>
      <c r="I673" s="3" t="str">
        <f t="shared" si="18"/>
        <v/>
      </c>
    </row>
    <row r="674" spans="1:9" ht="13" x14ac:dyDescent="0.15">
      <c r="A674" s="17"/>
      <c r="B674" s="17"/>
      <c r="C674" s="17"/>
      <c r="D674" s="17"/>
      <c r="E674" s="17"/>
      <c r="F674" s="17"/>
      <c r="G674" s="17"/>
      <c r="H674" s="16"/>
      <c r="I674" s="3" t="str">
        <f t="shared" si="18"/>
        <v/>
      </c>
    </row>
    <row r="675" spans="1:9" ht="13" x14ac:dyDescent="0.15">
      <c r="A675" s="17"/>
      <c r="B675" s="17"/>
      <c r="C675" s="17"/>
      <c r="D675" s="17"/>
      <c r="E675" s="17"/>
      <c r="F675" s="17"/>
      <c r="G675" s="17"/>
      <c r="H675" s="16"/>
      <c r="I675" s="3" t="str">
        <f t="shared" si="18"/>
        <v/>
      </c>
    </row>
    <row r="676" spans="1:9" ht="13" x14ac:dyDescent="0.15">
      <c r="A676" s="17"/>
      <c r="B676" s="17"/>
      <c r="C676" s="17"/>
      <c r="D676" s="17"/>
      <c r="E676" s="17"/>
      <c r="F676" s="17"/>
      <c r="G676" s="17"/>
      <c r="H676" s="16"/>
      <c r="I676" s="3" t="str">
        <f t="shared" si="18"/>
        <v/>
      </c>
    </row>
    <row r="677" spans="1:9" ht="13" x14ac:dyDescent="0.15">
      <c r="A677" s="17"/>
      <c r="B677" s="17"/>
      <c r="C677" s="17"/>
      <c r="D677" s="17"/>
      <c r="E677" s="17"/>
      <c r="F677" s="17"/>
      <c r="G677" s="17"/>
      <c r="H677" s="16"/>
      <c r="I677" s="3" t="str">
        <f t="shared" si="18"/>
        <v/>
      </c>
    </row>
    <row r="678" spans="1:9" ht="13" x14ac:dyDescent="0.15">
      <c r="A678" s="17"/>
      <c r="B678" s="17"/>
      <c r="C678" s="17"/>
      <c r="D678" s="17"/>
      <c r="E678" s="17"/>
      <c r="F678" s="17"/>
      <c r="G678" s="17"/>
      <c r="H678" s="16"/>
      <c r="I678" s="3" t="str">
        <f t="shared" si="18"/>
        <v/>
      </c>
    </row>
    <row r="679" spans="1:9" ht="13" x14ac:dyDescent="0.15">
      <c r="A679" s="17"/>
      <c r="B679" s="17"/>
      <c r="C679" s="17"/>
      <c r="D679" s="17"/>
      <c r="E679" s="17"/>
      <c r="F679" s="17"/>
      <c r="G679" s="17"/>
      <c r="H679" s="16"/>
      <c r="I679" s="3" t="str">
        <f t="shared" si="18"/>
        <v/>
      </c>
    </row>
    <row r="680" spans="1:9" ht="13" x14ac:dyDescent="0.15">
      <c r="A680" s="17"/>
      <c r="B680" s="17"/>
      <c r="C680" s="17"/>
      <c r="D680" s="17"/>
      <c r="E680" s="17"/>
      <c r="F680" s="17"/>
      <c r="G680" s="17"/>
      <c r="H680" s="16"/>
      <c r="I680" s="3" t="str">
        <f t="shared" si="18"/>
        <v/>
      </c>
    </row>
    <row r="681" spans="1:9" ht="13" x14ac:dyDescent="0.15">
      <c r="A681" s="17"/>
      <c r="B681" s="17"/>
      <c r="C681" s="17"/>
      <c r="D681" s="17"/>
      <c r="E681" s="17"/>
      <c r="F681" s="17"/>
      <c r="G681" s="17"/>
      <c r="H681" s="16"/>
      <c r="I681" s="3" t="str">
        <f t="shared" si="18"/>
        <v/>
      </c>
    </row>
    <row r="682" spans="1:9" ht="13" x14ac:dyDescent="0.15">
      <c r="A682" s="17"/>
      <c r="B682" s="17"/>
      <c r="C682" s="17"/>
      <c r="D682" s="17"/>
      <c r="E682" s="17"/>
      <c r="F682" s="17"/>
      <c r="G682" s="17"/>
      <c r="H682" s="16"/>
      <c r="I682" s="3" t="str">
        <f t="shared" si="18"/>
        <v/>
      </c>
    </row>
    <row r="683" spans="1:9" ht="13" x14ac:dyDescent="0.15">
      <c r="A683" s="17"/>
      <c r="B683" s="17"/>
      <c r="C683" s="17"/>
      <c r="D683" s="17"/>
      <c r="E683" s="17"/>
      <c r="F683" s="17"/>
      <c r="G683" s="17"/>
      <c r="H683" s="16"/>
      <c r="I683" s="3" t="str">
        <f t="shared" si="18"/>
        <v/>
      </c>
    </row>
    <row r="684" spans="1:9" ht="13" x14ac:dyDescent="0.15">
      <c r="A684" s="17"/>
      <c r="B684" s="17"/>
      <c r="C684" s="17"/>
      <c r="D684" s="17"/>
      <c r="E684" s="17"/>
      <c r="F684" s="17"/>
      <c r="G684" s="17"/>
      <c r="H684" s="16"/>
      <c r="I684" s="3" t="str">
        <f t="shared" si="18"/>
        <v/>
      </c>
    </row>
    <row r="685" spans="1:9" ht="13" x14ac:dyDescent="0.15">
      <c r="A685" s="17"/>
      <c r="B685" s="17"/>
      <c r="C685" s="17"/>
      <c r="D685" s="17"/>
      <c r="E685" s="17"/>
      <c r="F685" s="17"/>
      <c r="G685" s="17"/>
      <c r="H685" s="16"/>
      <c r="I685" s="3" t="str">
        <f t="shared" si="18"/>
        <v/>
      </c>
    </row>
    <row r="686" spans="1:9" ht="13" x14ac:dyDescent="0.15">
      <c r="A686" s="17"/>
      <c r="B686" s="17"/>
      <c r="C686" s="17"/>
      <c r="D686" s="17"/>
      <c r="E686" s="17"/>
      <c r="F686" s="17"/>
      <c r="G686" s="17"/>
      <c r="H686" s="16"/>
      <c r="I686" s="3" t="str">
        <f t="shared" si="18"/>
        <v/>
      </c>
    </row>
    <row r="687" spans="1:9" ht="13" x14ac:dyDescent="0.15">
      <c r="A687" s="17"/>
      <c r="B687" s="17"/>
      <c r="C687" s="17"/>
      <c r="D687" s="17"/>
      <c r="E687" s="17"/>
      <c r="F687" s="17"/>
      <c r="G687" s="17"/>
      <c r="H687" s="16"/>
      <c r="I687" s="3" t="str">
        <f t="shared" si="18"/>
        <v/>
      </c>
    </row>
    <row r="688" spans="1:9" ht="13" x14ac:dyDescent="0.15">
      <c r="A688" s="17"/>
      <c r="B688" s="17"/>
      <c r="C688" s="17"/>
      <c r="D688" s="17"/>
      <c r="E688" s="17"/>
      <c r="F688" s="17"/>
      <c r="G688" s="17"/>
      <c r="H688" s="16"/>
      <c r="I688" s="3" t="str">
        <f t="shared" si="18"/>
        <v/>
      </c>
    </row>
    <row r="689" spans="1:9" ht="13" x14ac:dyDescent="0.15">
      <c r="A689" s="17"/>
      <c r="B689" s="17"/>
      <c r="C689" s="17"/>
      <c r="D689" s="17"/>
      <c r="E689" s="17"/>
      <c r="F689" s="17"/>
      <c r="G689" s="17"/>
      <c r="H689" s="16"/>
      <c r="I689" s="3" t="str">
        <f t="shared" si="18"/>
        <v/>
      </c>
    </row>
    <row r="690" spans="1:9" ht="13" x14ac:dyDescent="0.15">
      <c r="A690" s="17"/>
      <c r="B690" s="17"/>
      <c r="C690" s="17"/>
      <c r="D690" s="17"/>
      <c r="E690" s="17"/>
      <c r="F690" s="17"/>
      <c r="G690" s="17"/>
      <c r="H690" s="16"/>
      <c r="I690" s="3" t="str">
        <f t="shared" si="18"/>
        <v/>
      </c>
    </row>
    <row r="691" spans="1:9" ht="13" x14ac:dyDescent="0.15">
      <c r="A691" s="17"/>
      <c r="B691" s="17"/>
      <c r="C691" s="17"/>
      <c r="D691" s="17"/>
      <c r="E691" s="17"/>
      <c r="F691" s="17"/>
      <c r="G691" s="17"/>
      <c r="H691" s="16"/>
      <c r="I691" s="3" t="str">
        <f t="shared" si="18"/>
        <v/>
      </c>
    </row>
    <row r="692" spans="1:9" ht="13" x14ac:dyDescent="0.15">
      <c r="A692" s="17"/>
      <c r="B692" s="17"/>
      <c r="C692" s="17"/>
      <c r="D692" s="17"/>
      <c r="E692" s="17"/>
      <c r="F692" s="17"/>
      <c r="G692" s="17"/>
      <c r="H692" s="16"/>
      <c r="I692" s="3" t="str">
        <f t="shared" si="18"/>
        <v/>
      </c>
    </row>
    <row r="693" spans="1:9" ht="13" x14ac:dyDescent="0.15">
      <c r="A693" s="17"/>
      <c r="B693" s="17"/>
      <c r="C693" s="17"/>
      <c r="D693" s="17"/>
      <c r="E693" s="17"/>
      <c r="F693" s="17"/>
      <c r="G693" s="17"/>
      <c r="H693" s="16"/>
      <c r="I693" s="3" t="str">
        <f t="shared" si="18"/>
        <v/>
      </c>
    </row>
    <row r="694" spans="1:9" ht="13" x14ac:dyDescent="0.15">
      <c r="A694" s="17"/>
      <c r="B694" s="17"/>
      <c r="C694" s="17"/>
      <c r="D694" s="17"/>
      <c r="E694" s="17"/>
      <c r="F694" s="17"/>
      <c r="G694" s="17"/>
      <c r="H694" s="16"/>
      <c r="I694" s="3" t="str">
        <f t="shared" si="18"/>
        <v/>
      </c>
    </row>
    <row r="695" spans="1:9" ht="13" x14ac:dyDescent="0.15">
      <c r="A695" s="17"/>
      <c r="B695" s="17"/>
      <c r="C695" s="17"/>
      <c r="D695" s="17"/>
      <c r="E695" s="17"/>
      <c r="F695" s="17"/>
      <c r="G695" s="17"/>
      <c r="H695" s="16"/>
      <c r="I695" s="3" t="str">
        <f t="shared" si="18"/>
        <v/>
      </c>
    </row>
    <row r="696" spans="1:9" ht="13" x14ac:dyDescent="0.15">
      <c r="A696" s="17"/>
      <c r="B696" s="17"/>
      <c r="C696" s="17"/>
      <c r="D696" s="17"/>
      <c r="E696" s="17"/>
      <c r="F696" s="17"/>
      <c r="G696" s="17"/>
      <c r="H696" s="16"/>
      <c r="I696" s="3" t="str">
        <f t="shared" si="18"/>
        <v/>
      </c>
    </row>
    <row r="697" spans="1:9" ht="13" x14ac:dyDescent="0.15">
      <c r="A697" s="17"/>
      <c r="B697" s="17"/>
      <c r="C697" s="17"/>
      <c r="D697" s="17"/>
      <c r="E697" s="17"/>
      <c r="F697" s="17"/>
      <c r="G697" s="17"/>
      <c r="H697" s="16"/>
      <c r="I697" s="3" t="str">
        <f t="shared" si="18"/>
        <v/>
      </c>
    </row>
    <row r="698" spans="1:9" ht="13" x14ac:dyDescent="0.15">
      <c r="A698" s="17"/>
      <c r="B698" s="17"/>
      <c r="C698" s="17"/>
      <c r="D698" s="17"/>
      <c r="E698" s="17"/>
      <c r="F698" s="17"/>
      <c r="G698" s="17"/>
      <c r="H698" s="16"/>
      <c r="I698" s="3" t="str">
        <f t="shared" si="18"/>
        <v/>
      </c>
    </row>
    <row r="699" spans="1:9" ht="13" x14ac:dyDescent="0.15">
      <c r="A699" s="17"/>
      <c r="B699" s="17"/>
      <c r="C699" s="17"/>
      <c r="D699" s="17"/>
      <c r="E699" s="17"/>
      <c r="F699" s="17"/>
      <c r="G699" s="17"/>
      <c r="H699" s="16"/>
      <c r="I699" s="3" t="str">
        <f t="shared" si="18"/>
        <v/>
      </c>
    </row>
    <row r="700" spans="1:9" ht="13" x14ac:dyDescent="0.15">
      <c r="A700" s="17"/>
      <c r="B700" s="17"/>
      <c r="C700" s="17"/>
      <c r="D700" s="17"/>
      <c r="E700" s="17"/>
      <c r="F700" s="17"/>
      <c r="G700" s="17"/>
      <c r="H700" s="16"/>
      <c r="I700" s="3" t="str">
        <f t="shared" si="18"/>
        <v/>
      </c>
    </row>
    <row r="701" spans="1:9" ht="13" x14ac:dyDescent="0.15">
      <c r="A701" s="17"/>
      <c r="B701" s="17"/>
      <c r="C701" s="17"/>
      <c r="D701" s="17"/>
      <c r="E701" s="17"/>
      <c r="F701" s="17"/>
      <c r="G701" s="17"/>
      <c r="H701" s="16"/>
      <c r="I701" s="3" t="str">
        <f t="shared" si="18"/>
        <v/>
      </c>
    </row>
    <row r="702" spans="1:9" ht="13" x14ac:dyDescent="0.15">
      <c r="A702" s="17"/>
      <c r="B702" s="17"/>
      <c r="C702" s="17"/>
      <c r="D702" s="17"/>
      <c r="E702" s="17"/>
      <c r="F702" s="17"/>
      <c r="G702" s="17"/>
      <c r="H702" s="16"/>
      <c r="I702" s="3" t="str">
        <f t="shared" si="18"/>
        <v/>
      </c>
    </row>
    <row r="703" spans="1:9" ht="13" x14ac:dyDescent="0.15">
      <c r="A703" s="17"/>
      <c r="B703" s="17"/>
      <c r="C703" s="17"/>
      <c r="D703" s="17"/>
      <c r="E703" s="17"/>
      <c r="F703" s="17"/>
      <c r="G703" s="17"/>
      <c r="H703" s="16"/>
      <c r="I703" s="3" t="str">
        <f t="shared" si="18"/>
        <v/>
      </c>
    </row>
    <row r="704" spans="1:9" ht="13" x14ac:dyDescent="0.15">
      <c r="A704" s="17"/>
      <c r="B704" s="17"/>
      <c r="C704" s="17"/>
      <c r="D704" s="17"/>
      <c r="E704" s="17"/>
      <c r="F704" s="17"/>
      <c r="G704" s="17"/>
      <c r="H704" s="16"/>
      <c r="I704" s="3" t="str">
        <f t="shared" si="18"/>
        <v/>
      </c>
    </row>
    <row r="705" spans="1:9" ht="13" x14ac:dyDescent="0.15">
      <c r="A705" s="17"/>
      <c r="B705" s="17"/>
      <c r="C705" s="17"/>
      <c r="D705" s="17"/>
      <c r="E705" s="17"/>
      <c r="F705" s="17"/>
      <c r="G705" s="17"/>
      <c r="H705" s="16"/>
      <c r="I705" s="3" t="str">
        <f t="shared" si="18"/>
        <v/>
      </c>
    </row>
    <row r="706" spans="1:9" ht="13" x14ac:dyDescent="0.15">
      <c r="A706" s="17"/>
      <c r="B706" s="17"/>
      <c r="C706" s="17"/>
      <c r="D706" s="17"/>
      <c r="E706" s="17"/>
      <c r="F706" s="17"/>
      <c r="G706" s="17"/>
      <c r="H706" s="16"/>
      <c r="I706" s="3" t="str">
        <f t="shared" ref="I706:I769" si="19">IF(ISNUMBER(H706),IF(ABS(H706-$L$14)&gt;$M$16,"OUT",""),"")</f>
        <v/>
      </c>
    </row>
    <row r="707" spans="1:9" ht="13" x14ac:dyDescent="0.15">
      <c r="A707" s="17"/>
      <c r="B707" s="17"/>
      <c r="C707" s="17"/>
      <c r="D707" s="17"/>
      <c r="E707" s="17"/>
      <c r="F707" s="17"/>
      <c r="G707" s="17"/>
      <c r="H707" s="16"/>
      <c r="I707" s="3" t="str">
        <f t="shared" si="19"/>
        <v/>
      </c>
    </row>
    <row r="708" spans="1:9" ht="13" x14ac:dyDescent="0.15">
      <c r="A708" s="17"/>
      <c r="B708" s="17"/>
      <c r="C708" s="17"/>
      <c r="D708" s="17"/>
      <c r="E708" s="17"/>
      <c r="F708" s="17"/>
      <c r="G708" s="17"/>
      <c r="H708" s="16"/>
      <c r="I708" s="3" t="str">
        <f t="shared" si="19"/>
        <v/>
      </c>
    </row>
    <row r="709" spans="1:9" ht="13" x14ac:dyDescent="0.15">
      <c r="A709" s="17"/>
      <c r="B709" s="17"/>
      <c r="C709" s="17"/>
      <c r="D709" s="17"/>
      <c r="E709" s="17"/>
      <c r="F709" s="17"/>
      <c r="G709" s="17"/>
      <c r="H709" s="16"/>
      <c r="I709" s="3" t="str">
        <f t="shared" si="19"/>
        <v/>
      </c>
    </row>
    <row r="710" spans="1:9" ht="13" x14ac:dyDescent="0.15">
      <c r="A710" s="17"/>
      <c r="B710" s="17"/>
      <c r="C710" s="17"/>
      <c r="D710" s="17"/>
      <c r="E710" s="17"/>
      <c r="F710" s="17"/>
      <c r="G710" s="17"/>
      <c r="H710" s="16"/>
      <c r="I710" s="3" t="str">
        <f t="shared" si="19"/>
        <v/>
      </c>
    </row>
    <row r="711" spans="1:9" ht="13" x14ac:dyDescent="0.15">
      <c r="A711" s="17"/>
      <c r="B711" s="17"/>
      <c r="C711" s="17"/>
      <c r="D711" s="17"/>
      <c r="E711" s="17"/>
      <c r="F711" s="17"/>
      <c r="G711" s="17"/>
      <c r="H711" s="16"/>
      <c r="I711" s="3" t="str">
        <f t="shared" si="19"/>
        <v/>
      </c>
    </row>
    <row r="712" spans="1:9" ht="13" x14ac:dyDescent="0.15">
      <c r="A712" s="17"/>
      <c r="B712" s="17"/>
      <c r="C712" s="17"/>
      <c r="D712" s="17"/>
      <c r="E712" s="17"/>
      <c r="F712" s="17"/>
      <c r="G712" s="17"/>
      <c r="H712" s="16"/>
      <c r="I712" s="3" t="str">
        <f t="shared" si="19"/>
        <v/>
      </c>
    </row>
    <row r="713" spans="1:9" ht="13" x14ac:dyDescent="0.15">
      <c r="A713" s="17"/>
      <c r="B713" s="17"/>
      <c r="C713" s="17"/>
      <c r="D713" s="17"/>
      <c r="E713" s="17"/>
      <c r="F713" s="17"/>
      <c r="G713" s="17"/>
      <c r="H713" s="16"/>
      <c r="I713" s="3" t="str">
        <f t="shared" si="19"/>
        <v/>
      </c>
    </row>
    <row r="714" spans="1:9" ht="13" x14ac:dyDescent="0.15">
      <c r="A714" s="17"/>
      <c r="B714" s="17"/>
      <c r="C714" s="17"/>
      <c r="D714" s="17"/>
      <c r="E714" s="17"/>
      <c r="F714" s="17"/>
      <c r="G714" s="17"/>
      <c r="H714" s="16"/>
      <c r="I714" s="3" t="str">
        <f t="shared" si="19"/>
        <v/>
      </c>
    </row>
    <row r="715" spans="1:9" ht="13" x14ac:dyDescent="0.15">
      <c r="A715" s="17"/>
      <c r="B715" s="17"/>
      <c r="C715" s="17"/>
      <c r="D715" s="17"/>
      <c r="E715" s="17"/>
      <c r="F715" s="17"/>
      <c r="G715" s="17"/>
      <c r="H715" s="16"/>
      <c r="I715" s="3" t="str">
        <f t="shared" si="19"/>
        <v/>
      </c>
    </row>
    <row r="716" spans="1:9" ht="13" x14ac:dyDescent="0.15">
      <c r="A716" s="17"/>
      <c r="B716" s="17"/>
      <c r="C716" s="17"/>
      <c r="D716" s="17"/>
      <c r="E716" s="17"/>
      <c r="F716" s="17"/>
      <c r="G716" s="17"/>
      <c r="H716" s="16"/>
      <c r="I716" s="3" t="str">
        <f t="shared" si="19"/>
        <v/>
      </c>
    </row>
    <row r="717" spans="1:9" ht="13" x14ac:dyDescent="0.15">
      <c r="A717" s="17"/>
      <c r="B717" s="17"/>
      <c r="C717" s="17"/>
      <c r="D717" s="17"/>
      <c r="E717" s="17"/>
      <c r="F717" s="17"/>
      <c r="G717" s="17"/>
      <c r="H717" s="16"/>
      <c r="I717" s="3" t="str">
        <f t="shared" si="19"/>
        <v/>
      </c>
    </row>
    <row r="718" spans="1:9" ht="13" x14ac:dyDescent="0.15">
      <c r="A718" s="17"/>
      <c r="B718" s="17"/>
      <c r="C718" s="17"/>
      <c r="D718" s="17"/>
      <c r="E718" s="17"/>
      <c r="F718" s="17"/>
      <c r="G718" s="17"/>
      <c r="H718" s="16"/>
      <c r="I718" s="3" t="str">
        <f t="shared" si="19"/>
        <v/>
      </c>
    </row>
    <row r="719" spans="1:9" ht="13" x14ac:dyDescent="0.15">
      <c r="A719" s="17"/>
      <c r="B719" s="17"/>
      <c r="C719" s="17"/>
      <c r="D719" s="17"/>
      <c r="E719" s="17"/>
      <c r="F719" s="17"/>
      <c r="G719" s="17"/>
      <c r="H719" s="16"/>
      <c r="I719" s="3" t="str">
        <f t="shared" si="19"/>
        <v/>
      </c>
    </row>
    <row r="720" spans="1:9" ht="13" x14ac:dyDescent="0.15">
      <c r="A720" s="17"/>
      <c r="B720" s="17"/>
      <c r="C720" s="17"/>
      <c r="D720" s="17"/>
      <c r="E720" s="17"/>
      <c r="F720" s="17"/>
      <c r="G720" s="17"/>
      <c r="H720" s="16"/>
      <c r="I720" s="3" t="str">
        <f t="shared" si="19"/>
        <v/>
      </c>
    </row>
    <row r="721" spans="1:9" ht="13" x14ac:dyDescent="0.15">
      <c r="A721" s="17"/>
      <c r="B721" s="17"/>
      <c r="C721" s="17"/>
      <c r="D721" s="17"/>
      <c r="E721" s="17"/>
      <c r="F721" s="17"/>
      <c r="G721" s="17"/>
      <c r="H721" s="16"/>
      <c r="I721" s="3" t="str">
        <f t="shared" si="19"/>
        <v/>
      </c>
    </row>
    <row r="722" spans="1:9" ht="13" x14ac:dyDescent="0.15">
      <c r="A722" s="17"/>
      <c r="B722" s="17"/>
      <c r="C722" s="17"/>
      <c r="D722" s="17"/>
      <c r="E722" s="17"/>
      <c r="F722" s="17"/>
      <c r="G722" s="17"/>
      <c r="H722" s="16"/>
      <c r="I722" s="3" t="str">
        <f t="shared" si="19"/>
        <v/>
      </c>
    </row>
    <row r="723" spans="1:9" ht="13" x14ac:dyDescent="0.15">
      <c r="A723" s="17"/>
      <c r="B723" s="17"/>
      <c r="C723" s="17"/>
      <c r="D723" s="17"/>
      <c r="E723" s="17"/>
      <c r="F723" s="17"/>
      <c r="G723" s="17"/>
      <c r="H723" s="16"/>
      <c r="I723" s="3" t="str">
        <f t="shared" si="19"/>
        <v/>
      </c>
    </row>
    <row r="724" spans="1:9" ht="13" x14ac:dyDescent="0.15">
      <c r="A724" s="17"/>
      <c r="B724" s="17"/>
      <c r="C724" s="17"/>
      <c r="D724" s="17"/>
      <c r="E724" s="17"/>
      <c r="F724" s="17"/>
      <c r="G724" s="17"/>
      <c r="H724" s="16"/>
      <c r="I724" s="3" t="str">
        <f t="shared" si="19"/>
        <v/>
      </c>
    </row>
    <row r="725" spans="1:9" ht="13" x14ac:dyDescent="0.15">
      <c r="A725" s="17"/>
      <c r="B725" s="17"/>
      <c r="C725" s="17"/>
      <c r="D725" s="17"/>
      <c r="E725" s="17"/>
      <c r="F725" s="17"/>
      <c r="G725" s="17"/>
      <c r="H725" s="16"/>
      <c r="I725" s="3" t="str">
        <f t="shared" si="19"/>
        <v/>
      </c>
    </row>
    <row r="726" spans="1:9" ht="13" x14ac:dyDescent="0.15">
      <c r="A726" s="17"/>
      <c r="B726" s="17"/>
      <c r="C726" s="17"/>
      <c r="D726" s="17"/>
      <c r="E726" s="17"/>
      <c r="F726" s="17"/>
      <c r="G726" s="17"/>
      <c r="H726" s="16"/>
      <c r="I726" s="3" t="str">
        <f t="shared" si="19"/>
        <v/>
      </c>
    </row>
    <row r="727" spans="1:9" ht="13" x14ac:dyDescent="0.15">
      <c r="A727" s="17"/>
      <c r="B727" s="17"/>
      <c r="C727" s="17"/>
      <c r="D727" s="17"/>
      <c r="E727" s="17"/>
      <c r="F727" s="17"/>
      <c r="G727" s="17"/>
      <c r="H727" s="16"/>
      <c r="I727" s="3" t="str">
        <f t="shared" si="19"/>
        <v/>
      </c>
    </row>
    <row r="728" spans="1:9" ht="13" x14ac:dyDescent="0.15">
      <c r="A728" s="17"/>
      <c r="B728" s="17"/>
      <c r="C728" s="17"/>
      <c r="D728" s="17"/>
      <c r="E728" s="17"/>
      <c r="F728" s="17"/>
      <c r="G728" s="17"/>
      <c r="H728" s="16"/>
      <c r="I728" s="3" t="str">
        <f t="shared" si="19"/>
        <v/>
      </c>
    </row>
    <row r="729" spans="1:9" ht="13" x14ac:dyDescent="0.15">
      <c r="A729" s="17"/>
      <c r="B729" s="17"/>
      <c r="C729" s="17"/>
      <c r="D729" s="17"/>
      <c r="E729" s="17"/>
      <c r="F729" s="17"/>
      <c r="G729" s="17"/>
      <c r="H729" s="16"/>
      <c r="I729" s="3" t="str">
        <f t="shared" si="19"/>
        <v/>
      </c>
    </row>
    <row r="730" spans="1:9" ht="13" x14ac:dyDescent="0.15">
      <c r="A730" s="17"/>
      <c r="B730" s="17"/>
      <c r="C730" s="17"/>
      <c r="D730" s="17"/>
      <c r="E730" s="17"/>
      <c r="F730" s="17"/>
      <c r="G730" s="17"/>
      <c r="H730" s="16"/>
      <c r="I730" s="3" t="str">
        <f t="shared" si="19"/>
        <v/>
      </c>
    </row>
    <row r="731" spans="1:9" ht="13" x14ac:dyDescent="0.15">
      <c r="A731" s="17"/>
      <c r="B731" s="17"/>
      <c r="C731" s="17"/>
      <c r="D731" s="17"/>
      <c r="E731" s="17"/>
      <c r="F731" s="17"/>
      <c r="G731" s="17"/>
      <c r="H731" s="16"/>
      <c r="I731" s="3" t="str">
        <f t="shared" si="19"/>
        <v/>
      </c>
    </row>
    <row r="732" spans="1:9" ht="13" x14ac:dyDescent="0.15">
      <c r="A732" s="17"/>
      <c r="B732" s="17"/>
      <c r="C732" s="17"/>
      <c r="D732" s="17"/>
      <c r="E732" s="17"/>
      <c r="F732" s="17"/>
      <c r="G732" s="17"/>
      <c r="H732" s="16"/>
      <c r="I732" s="3" t="str">
        <f t="shared" si="19"/>
        <v/>
      </c>
    </row>
    <row r="733" spans="1:9" ht="13" x14ac:dyDescent="0.15">
      <c r="A733" s="17"/>
      <c r="B733" s="17"/>
      <c r="C733" s="17"/>
      <c r="D733" s="17"/>
      <c r="E733" s="17"/>
      <c r="F733" s="17"/>
      <c r="G733" s="17"/>
      <c r="H733" s="16"/>
      <c r="I733" s="3" t="str">
        <f t="shared" si="19"/>
        <v/>
      </c>
    </row>
    <row r="734" spans="1:9" ht="13" x14ac:dyDescent="0.15">
      <c r="A734" s="17"/>
      <c r="B734" s="17"/>
      <c r="C734" s="17"/>
      <c r="D734" s="17"/>
      <c r="E734" s="17"/>
      <c r="F734" s="17"/>
      <c r="G734" s="17"/>
      <c r="H734" s="16"/>
      <c r="I734" s="3" t="str">
        <f t="shared" si="19"/>
        <v/>
      </c>
    </row>
    <row r="735" spans="1:9" ht="13" x14ac:dyDescent="0.15">
      <c r="A735" s="17"/>
      <c r="B735" s="17"/>
      <c r="C735" s="17"/>
      <c r="D735" s="17"/>
      <c r="E735" s="17"/>
      <c r="F735" s="17"/>
      <c r="G735" s="17"/>
      <c r="H735" s="16"/>
      <c r="I735" s="3" t="str">
        <f t="shared" si="19"/>
        <v/>
      </c>
    </row>
    <row r="736" spans="1:9" ht="13" x14ac:dyDescent="0.15">
      <c r="A736" s="17"/>
      <c r="B736" s="17"/>
      <c r="C736" s="17"/>
      <c r="D736" s="17"/>
      <c r="E736" s="17"/>
      <c r="F736" s="17"/>
      <c r="G736" s="17"/>
      <c r="H736" s="16"/>
      <c r="I736" s="3" t="str">
        <f t="shared" si="19"/>
        <v/>
      </c>
    </row>
    <row r="737" spans="1:9" ht="13" x14ac:dyDescent="0.15">
      <c r="A737" s="17"/>
      <c r="B737" s="17"/>
      <c r="C737" s="17"/>
      <c r="D737" s="17"/>
      <c r="E737" s="17"/>
      <c r="F737" s="17"/>
      <c r="G737" s="17"/>
      <c r="H737" s="16"/>
      <c r="I737" s="3" t="str">
        <f t="shared" si="19"/>
        <v/>
      </c>
    </row>
    <row r="738" spans="1:9" ht="13" x14ac:dyDescent="0.15">
      <c r="A738" s="17"/>
      <c r="B738" s="17"/>
      <c r="C738" s="17"/>
      <c r="D738" s="17"/>
      <c r="E738" s="17"/>
      <c r="F738" s="17"/>
      <c r="G738" s="17"/>
      <c r="H738" s="16"/>
      <c r="I738" s="3" t="str">
        <f t="shared" si="19"/>
        <v/>
      </c>
    </row>
    <row r="739" spans="1:9" ht="13" x14ac:dyDescent="0.15">
      <c r="A739" s="17"/>
      <c r="B739" s="17"/>
      <c r="C739" s="17"/>
      <c r="D739" s="17"/>
      <c r="E739" s="17"/>
      <c r="F739" s="17"/>
      <c r="G739" s="17"/>
      <c r="H739" s="16"/>
      <c r="I739" s="3" t="str">
        <f t="shared" si="19"/>
        <v/>
      </c>
    </row>
    <row r="740" spans="1:9" ht="13" x14ac:dyDescent="0.15">
      <c r="A740" s="17"/>
      <c r="B740" s="17"/>
      <c r="C740" s="17"/>
      <c r="D740" s="17"/>
      <c r="E740" s="17"/>
      <c r="F740" s="17"/>
      <c r="G740" s="17"/>
      <c r="H740" s="16"/>
      <c r="I740" s="3" t="str">
        <f t="shared" si="19"/>
        <v/>
      </c>
    </row>
    <row r="741" spans="1:9" ht="13" x14ac:dyDescent="0.15">
      <c r="A741" s="17"/>
      <c r="B741" s="17"/>
      <c r="C741" s="17"/>
      <c r="D741" s="17"/>
      <c r="E741" s="17"/>
      <c r="F741" s="17"/>
      <c r="G741" s="17"/>
      <c r="H741" s="16"/>
      <c r="I741" s="3" t="str">
        <f t="shared" si="19"/>
        <v/>
      </c>
    </row>
    <row r="742" spans="1:9" ht="13" x14ac:dyDescent="0.15">
      <c r="A742" s="17"/>
      <c r="B742" s="17"/>
      <c r="C742" s="17"/>
      <c r="D742" s="17"/>
      <c r="E742" s="17"/>
      <c r="F742" s="17"/>
      <c r="G742" s="17"/>
      <c r="H742" s="16"/>
      <c r="I742" s="3" t="str">
        <f t="shared" si="19"/>
        <v/>
      </c>
    </row>
    <row r="743" spans="1:9" ht="13" x14ac:dyDescent="0.15">
      <c r="A743" s="17"/>
      <c r="B743" s="17"/>
      <c r="C743" s="17"/>
      <c r="D743" s="17"/>
      <c r="E743" s="17"/>
      <c r="F743" s="17"/>
      <c r="G743" s="17"/>
      <c r="H743" s="16"/>
      <c r="I743" s="3" t="str">
        <f t="shared" si="19"/>
        <v/>
      </c>
    </row>
    <row r="744" spans="1:9" ht="13" x14ac:dyDescent="0.15">
      <c r="A744" s="17"/>
      <c r="B744" s="17"/>
      <c r="C744" s="17"/>
      <c r="D744" s="17"/>
      <c r="E744" s="17"/>
      <c r="F744" s="17"/>
      <c r="G744" s="17"/>
      <c r="H744" s="16"/>
      <c r="I744" s="3" t="str">
        <f t="shared" si="19"/>
        <v/>
      </c>
    </row>
    <row r="745" spans="1:9" ht="13" x14ac:dyDescent="0.15">
      <c r="A745" s="17"/>
      <c r="B745" s="17"/>
      <c r="C745" s="17"/>
      <c r="D745" s="17"/>
      <c r="E745" s="17"/>
      <c r="F745" s="17"/>
      <c r="G745" s="17"/>
      <c r="H745" s="16"/>
      <c r="I745" s="3" t="str">
        <f t="shared" si="19"/>
        <v/>
      </c>
    </row>
    <row r="746" spans="1:9" ht="13" x14ac:dyDescent="0.15">
      <c r="A746" s="17"/>
      <c r="B746" s="17"/>
      <c r="C746" s="17"/>
      <c r="D746" s="17"/>
      <c r="E746" s="17"/>
      <c r="F746" s="17"/>
      <c r="G746" s="17"/>
      <c r="H746" s="16"/>
      <c r="I746" s="3" t="str">
        <f t="shared" si="19"/>
        <v/>
      </c>
    </row>
    <row r="747" spans="1:9" ht="13" x14ac:dyDescent="0.15">
      <c r="A747" s="17"/>
      <c r="B747" s="17"/>
      <c r="C747" s="17"/>
      <c r="D747" s="17"/>
      <c r="E747" s="17"/>
      <c r="F747" s="17"/>
      <c r="G747" s="17"/>
      <c r="H747" s="16"/>
      <c r="I747" s="3" t="str">
        <f t="shared" si="19"/>
        <v/>
      </c>
    </row>
    <row r="748" spans="1:9" ht="13" x14ac:dyDescent="0.15">
      <c r="A748" s="17"/>
      <c r="B748" s="17"/>
      <c r="C748" s="17"/>
      <c r="D748" s="17"/>
      <c r="E748" s="17"/>
      <c r="F748" s="17"/>
      <c r="G748" s="17"/>
      <c r="H748" s="16"/>
      <c r="I748" s="3" t="str">
        <f t="shared" si="19"/>
        <v/>
      </c>
    </row>
    <row r="749" spans="1:9" ht="13" x14ac:dyDescent="0.15">
      <c r="A749" s="17"/>
      <c r="B749" s="17"/>
      <c r="C749" s="17"/>
      <c r="D749" s="17"/>
      <c r="E749" s="17"/>
      <c r="F749" s="17"/>
      <c r="G749" s="17"/>
      <c r="H749" s="16"/>
      <c r="I749" s="3" t="str">
        <f t="shared" si="19"/>
        <v/>
      </c>
    </row>
    <row r="750" spans="1:9" ht="13" x14ac:dyDescent="0.15">
      <c r="A750" s="17"/>
      <c r="B750" s="17"/>
      <c r="C750" s="17"/>
      <c r="D750" s="17"/>
      <c r="E750" s="17"/>
      <c r="F750" s="17"/>
      <c r="G750" s="17"/>
      <c r="H750" s="16"/>
      <c r="I750" s="3" t="str">
        <f t="shared" si="19"/>
        <v/>
      </c>
    </row>
    <row r="751" spans="1:9" ht="13" x14ac:dyDescent="0.15">
      <c r="A751" s="17"/>
      <c r="B751" s="17"/>
      <c r="C751" s="17"/>
      <c r="D751" s="17"/>
      <c r="E751" s="17"/>
      <c r="F751" s="17"/>
      <c r="G751" s="17"/>
      <c r="H751" s="16"/>
      <c r="I751" s="3" t="str">
        <f t="shared" si="19"/>
        <v/>
      </c>
    </row>
    <row r="752" spans="1:9" ht="13" x14ac:dyDescent="0.15">
      <c r="A752" s="17"/>
      <c r="B752" s="17"/>
      <c r="C752" s="17"/>
      <c r="D752" s="17"/>
      <c r="E752" s="17"/>
      <c r="F752" s="17"/>
      <c r="G752" s="17"/>
      <c r="H752" s="16"/>
      <c r="I752" s="3" t="str">
        <f t="shared" si="19"/>
        <v/>
      </c>
    </row>
    <row r="753" spans="1:9" ht="13" x14ac:dyDescent="0.15">
      <c r="A753" s="17"/>
      <c r="B753" s="17"/>
      <c r="C753" s="17"/>
      <c r="D753" s="17"/>
      <c r="E753" s="17"/>
      <c r="F753" s="17"/>
      <c r="G753" s="17"/>
      <c r="H753" s="16"/>
      <c r="I753" s="3" t="str">
        <f t="shared" si="19"/>
        <v/>
      </c>
    </row>
    <row r="754" spans="1:9" ht="13" x14ac:dyDescent="0.15">
      <c r="A754" s="17"/>
      <c r="B754" s="17"/>
      <c r="C754" s="17"/>
      <c r="D754" s="17"/>
      <c r="E754" s="17"/>
      <c r="F754" s="17"/>
      <c r="G754" s="17"/>
      <c r="H754" s="16"/>
      <c r="I754" s="3" t="str">
        <f t="shared" si="19"/>
        <v/>
      </c>
    </row>
    <row r="755" spans="1:9" ht="13" x14ac:dyDescent="0.15">
      <c r="A755" s="17"/>
      <c r="B755" s="17"/>
      <c r="C755" s="17"/>
      <c r="D755" s="17"/>
      <c r="E755" s="17"/>
      <c r="F755" s="17"/>
      <c r="G755" s="17"/>
      <c r="H755" s="16"/>
      <c r="I755" s="3" t="str">
        <f t="shared" si="19"/>
        <v/>
      </c>
    </row>
    <row r="756" spans="1:9" ht="13" x14ac:dyDescent="0.15">
      <c r="A756" s="17"/>
      <c r="B756" s="17"/>
      <c r="C756" s="17"/>
      <c r="D756" s="17"/>
      <c r="E756" s="17"/>
      <c r="F756" s="17"/>
      <c r="G756" s="17"/>
      <c r="H756" s="16"/>
      <c r="I756" s="3" t="str">
        <f t="shared" si="19"/>
        <v/>
      </c>
    </row>
    <row r="757" spans="1:9" ht="13" x14ac:dyDescent="0.15">
      <c r="A757" s="17"/>
      <c r="B757" s="17"/>
      <c r="C757" s="17"/>
      <c r="D757" s="17"/>
      <c r="E757" s="17"/>
      <c r="F757" s="17"/>
      <c r="G757" s="17"/>
      <c r="H757" s="16"/>
      <c r="I757" s="3" t="str">
        <f t="shared" si="19"/>
        <v/>
      </c>
    </row>
    <row r="758" spans="1:9" ht="13" x14ac:dyDescent="0.15">
      <c r="A758" s="17"/>
      <c r="B758" s="17"/>
      <c r="C758" s="17"/>
      <c r="D758" s="17"/>
      <c r="E758" s="17"/>
      <c r="F758" s="17"/>
      <c r="G758" s="17"/>
      <c r="H758" s="16"/>
      <c r="I758" s="3" t="str">
        <f t="shared" si="19"/>
        <v/>
      </c>
    </row>
    <row r="759" spans="1:9" ht="13" x14ac:dyDescent="0.15">
      <c r="A759" s="17"/>
      <c r="B759" s="17"/>
      <c r="C759" s="17"/>
      <c r="D759" s="17"/>
      <c r="E759" s="17"/>
      <c r="F759" s="17"/>
      <c r="G759" s="17"/>
      <c r="H759" s="16"/>
      <c r="I759" s="3" t="str">
        <f t="shared" si="19"/>
        <v/>
      </c>
    </row>
    <row r="760" spans="1:9" ht="13" x14ac:dyDescent="0.15">
      <c r="A760" s="17"/>
      <c r="B760" s="17"/>
      <c r="C760" s="17"/>
      <c r="D760" s="17"/>
      <c r="E760" s="17"/>
      <c r="F760" s="17"/>
      <c r="G760" s="17"/>
      <c r="H760" s="16"/>
      <c r="I760" s="3" t="str">
        <f t="shared" si="19"/>
        <v/>
      </c>
    </row>
    <row r="761" spans="1:9" ht="13" x14ac:dyDescent="0.15">
      <c r="A761" s="17"/>
      <c r="B761" s="17"/>
      <c r="C761" s="17"/>
      <c r="D761" s="17"/>
      <c r="E761" s="17"/>
      <c r="F761" s="17"/>
      <c r="G761" s="17"/>
      <c r="H761" s="16"/>
      <c r="I761" s="3" t="str">
        <f t="shared" si="19"/>
        <v/>
      </c>
    </row>
    <row r="762" spans="1:9" ht="13" x14ac:dyDescent="0.15">
      <c r="A762" s="17"/>
      <c r="B762" s="17"/>
      <c r="C762" s="17"/>
      <c r="D762" s="17"/>
      <c r="E762" s="17"/>
      <c r="F762" s="17"/>
      <c r="G762" s="17"/>
      <c r="H762" s="16"/>
      <c r="I762" s="3" t="str">
        <f t="shared" si="19"/>
        <v/>
      </c>
    </row>
    <row r="763" spans="1:9" ht="13" x14ac:dyDescent="0.15">
      <c r="A763" s="17"/>
      <c r="B763" s="17"/>
      <c r="C763" s="17"/>
      <c r="D763" s="17"/>
      <c r="E763" s="17"/>
      <c r="F763" s="17"/>
      <c r="G763" s="17"/>
      <c r="H763" s="16"/>
      <c r="I763" s="3" t="str">
        <f t="shared" si="19"/>
        <v/>
      </c>
    </row>
    <row r="764" spans="1:9" ht="13" x14ac:dyDescent="0.15">
      <c r="A764" s="17"/>
      <c r="B764" s="17"/>
      <c r="C764" s="17"/>
      <c r="D764" s="17"/>
      <c r="E764" s="17"/>
      <c r="F764" s="17"/>
      <c r="G764" s="17"/>
      <c r="H764" s="16"/>
      <c r="I764" s="3" t="str">
        <f t="shared" si="19"/>
        <v/>
      </c>
    </row>
    <row r="765" spans="1:9" ht="13" x14ac:dyDescent="0.15">
      <c r="A765" s="17"/>
      <c r="B765" s="17"/>
      <c r="C765" s="17"/>
      <c r="D765" s="17"/>
      <c r="E765" s="17"/>
      <c r="F765" s="17"/>
      <c r="G765" s="17"/>
      <c r="H765" s="16"/>
      <c r="I765" s="3" t="str">
        <f t="shared" si="19"/>
        <v/>
      </c>
    </row>
    <row r="766" spans="1:9" ht="13" x14ac:dyDescent="0.15">
      <c r="A766" s="17"/>
      <c r="B766" s="17"/>
      <c r="C766" s="17"/>
      <c r="D766" s="17"/>
      <c r="E766" s="17"/>
      <c r="F766" s="17"/>
      <c r="G766" s="17"/>
      <c r="H766" s="16"/>
      <c r="I766" s="3" t="str">
        <f t="shared" si="19"/>
        <v/>
      </c>
    </row>
    <row r="767" spans="1:9" ht="13" x14ac:dyDescent="0.15">
      <c r="A767" s="17"/>
      <c r="B767" s="17"/>
      <c r="C767" s="17"/>
      <c r="D767" s="17"/>
      <c r="E767" s="17"/>
      <c r="F767" s="17"/>
      <c r="G767" s="17"/>
      <c r="H767" s="16"/>
      <c r="I767" s="3" t="str">
        <f t="shared" si="19"/>
        <v/>
      </c>
    </row>
    <row r="768" spans="1:9" ht="13" x14ac:dyDescent="0.15">
      <c r="A768" s="17"/>
      <c r="B768" s="17"/>
      <c r="C768" s="17"/>
      <c r="D768" s="17"/>
      <c r="E768" s="17"/>
      <c r="F768" s="17"/>
      <c r="G768" s="17"/>
      <c r="H768" s="16"/>
      <c r="I768" s="3" t="str">
        <f t="shared" si="19"/>
        <v/>
      </c>
    </row>
    <row r="769" spans="1:9" ht="13" x14ac:dyDescent="0.15">
      <c r="A769" s="17"/>
      <c r="B769" s="17"/>
      <c r="C769" s="17"/>
      <c r="D769" s="17"/>
      <c r="E769" s="17"/>
      <c r="F769" s="17"/>
      <c r="G769" s="17"/>
      <c r="H769" s="16"/>
      <c r="I769" s="3" t="str">
        <f t="shared" si="19"/>
        <v/>
      </c>
    </row>
    <row r="770" spans="1:9" ht="13" x14ac:dyDescent="0.15">
      <c r="A770" s="17"/>
      <c r="B770" s="17"/>
      <c r="C770" s="17"/>
      <c r="D770" s="17"/>
      <c r="E770" s="17"/>
      <c r="F770" s="17"/>
      <c r="G770" s="17"/>
      <c r="H770" s="16"/>
      <c r="I770" s="3" t="str">
        <f t="shared" ref="I770:I833" si="20">IF(ISNUMBER(H770),IF(ABS(H770-$L$14)&gt;$M$16,"OUT",""),"")</f>
        <v/>
      </c>
    </row>
    <row r="771" spans="1:9" ht="13" x14ac:dyDescent="0.15">
      <c r="A771" s="17"/>
      <c r="B771" s="17"/>
      <c r="C771" s="17"/>
      <c r="D771" s="17"/>
      <c r="E771" s="17"/>
      <c r="F771" s="17"/>
      <c r="G771" s="17"/>
      <c r="H771" s="16"/>
      <c r="I771" s="3" t="str">
        <f t="shared" si="20"/>
        <v/>
      </c>
    </row>
    <row r="772" spans="1:9" ht="13" x14ac:dyDescent="0.15">
      <c r="A772" s="17"/>
      <c r="B772" s="17"/>
      <c r="C772" s="17"/>
      <c r="D772" s="17"/>
      <c r="E772" s="17"/>
      <c r="F772" s="17"/>
      <c r="G772" s="17"/>
      <c r="H772" s="16"/>
      <c r="I772" s="3" t="str">
        <f t="shared" si="20"/>
        <v/>
      </c>
    </row>
    <row r="773" spans="1:9" ht="13" x14ac:dyDescent="0.15">
      <c r="A773" s="17"/>
      <c r="B773" s="17"/>
      <c r="C773" s="17"/>
      <c r="D773" s="17"/>
      <c r="E773" s="17"/>
      <c r="F773" s="17"/>
      <c r="G773" s="17"/>
      <c r="H773" s="16"/>
      <c r="I773" s="3" t="str">
        <f t="shared" si="20"/>
        <v/>
      </c>
    </row>
    <row r="774" spans="1:9" ht="13" x14ac:dyDescent="0.15">
      <c r="A774" s="17"/>
      <c r="B774" s="17"/>
      <c r="C774" s="17"/>
      <c r="D774" s="17"/>
      <c r="E774" s="17"/>
      <c r="F774" s="17"/>
      <c r="G774" s="17"/>
      <c r="H774" s="16"/>
      <c r="I774" s="3" t="str">
        <f t="shared" si="20"/>
        <v/>
      </c>
    </row>
    <row r="775" spans="1:9" ht="13" x14ac:dyDescent="0.15">
      <c r="A775" s="17"/>
      <c r="B775" s="17"/>
      <c r="C775" s="17"/>
      <c r="D775" s="17"/>
      <c r="E775" s="17"/>
      <c r="F775" s="17"/>
      <c r="G775" s="17"/>
      <c r="H775" s="16"/>
      <c r="I775" s="3" t="str">
        <f t="shared" si="20"/>
        <v/>
      </c>
    </row>
    <row r="776" spans="1:9" ht="13" x14ac:dyDescent="0.15">
      <c r="A776" s="17"/>
      <c r="B776" s="17"/>
      <c r="C776" s="17"/>
      <c r="D776" s="17"/>
      <c r="E776" s="17"/>
      <c r="F776" s="17"/>
      <c r="G776" s="17"/>
      <c r="H776" s="16"/>
      <c r="I776" s="3" t="str">
        <f t="shared" si="20"/>
        <v/>
      </c>
    </row>
    <row r="777" spans="1:9" ht="13" x14ac:dyDescent="0.15">
      <c r="A777" s="17"/>
      <c r="B777" s="17"/>
      <c r="C777" s="17"/>
      <c r="D777" s="17"/>
      <c r="E777" s="17"/>
      <c r="F777" s="17"/>
      <c r="G777" s="17"/>
      <c r="H777" s="16"/>
      <c r="I777" s="3" t="str">
        <f t="shared" si="20"/>
        <v/>
      </c>
    </row>
    <row r="778" spans="1:9" ht="13" x14ac:dyDescent="0.15">
      <c r="A778" s="17"/>
      <c r="B778" s="17"/>
      <c r="C778" s="17"/>
      <c r="D778" s="17"/>
      <c r="E778" s="17"/>
      <c r="F778" s="17"/>
      <c r="G778" s="17"/>
      <c r="H778" s="16"/>
      <c r="I778" s="3" t="str">
        <f t="shared" si="20"/>
        <v/>
      </c>
    </row>
    <row r="779" spans="1:9" ht="13" x14ac:dyDescent="0.15">
      <c r="A779" s="17"/>
      <c r="B779" s="17"/>
      <c r="C779" s="17"/>
      <c r="D779" s="17"/>
      <c r="E779" s="17"/>
      <c r="F779" s="17"/>
      <c r="G779" s="17"/>
      <c r="H779" s="16"/>
      <c r="I779" s="3" t="str">
        <f t="shared" si="20"/>
        <v/>
      </c>
    </row>
    <row r="780" spans="1:9" ht="13" x14ac:dyDescent="0.15">
      <c r="A780" s="17"/>
      <c r="B780" s="17"/>
      <c r="C780" s="17"/>
      <c r="D780" s="17"/>
      <c r="E780" s="17"/>
      <c r="F780" s="17"/>
      <c r="G780" s="17"/>
      <c r="H780" s="16"/>
      <c r="I780" s="3" t="str">
        <f t="shared" si="20"/>
        <v/>
      </c>
    </row>
    <row r="781" spans="1:9" ht="13" x14ac:dyDescent="0.15">
      <c r="A781" s="17"/>
      <c r="B781" s="17"/>
      <c r="C781" s="17"/>
      <c r="D781" s="17"/>
      <c r="E781" s="17"/>
      <c r="F781" s="17"/>
      <c r="G781" s="17"/>
      <c r="H781" s="16"/>
      <c r="I781" s="3" t="str">
        <f t="shared" si="20"/>
        <v/>
      </c>
    </row>
    <row r="782" spans="1:9" ht="13" x14ac:dyDescent="0.15">
      <c r="A782" s="17"/>
      <c r="B782" s="17"/>
      <c r="C782" s="17"/>
      <c r="D782" s="17"/>
      <c r="E782" s="17"/>
      <c r="F782" s="17"/>
      <c r="G782" s="17"/>
      <c r="H782" s="16"/>
      <c r="I782" s="3" t="str">
        <f t="shared" si="20"/>
        <v/>
      </c>
    </row>
    <row r="783" spans="1:9" ht="13" x14ac:dyDescent="0.15">
      <c r="A783" s="17"/>
      <c r="B783" s="17"/>
      <c r="C783" s="17"/>
      <c r="D783" s="17"/>
      <c r="E783" s="17"/>
      <c r="F783" s="17"/>
      <c r="G783" s="17"/>
      <c r="H783" s="16"/>
      <c r="I783" s="3" t="str">
        <f t="shared" si="20"/>
        <v/>
      </c>
    </row>
    <row r="784" spans="1:9" ht="13" x14ac:dyDescent="0.15">
      <c r="A784" s="17"/>
      <c r="B784" s="17"/>
      <c r="C784" s="17"/>
      <c r="D784" s="17"/>
      <c r="E784" s="17"/>
      <c r="F784" s="17"/>
      <c r="G784" s="17"/>
      <c r="H784" s="16"/>
      <c r="I784" s="3" t="str">
        <f t="shared" si="20"/>
        <v/>
      </c>
    </row>
    <row r="785" spans="1:9" ht="13" x14ac:dyDescent="0.15">
      <c r="A785" s="17"/>
      <c r="B785" s="17"/>
      <c r="C785" s="17"/>
      <c r="D785" s="17"/>
      <c r="E785" s="17"/>
      <c r="F785" s="17"/>
      <c r="G785" s="17"/>
      <c r="H785" s="16"/>
      <c r="I785" s="3" t="str">
        <f t="shared" si="20"/>
        <v/>
      </c>
    </row>
    <row r="786" spans="1:9" ht="13" x14ac:dyDescent="0.15">
      <c r="A786" s="17"/>
      <c r="B786" s="17"/>
      <c r="C786" s="17"/>
      <c r="D786" s="17"/>
      <c r="E786" s="17"/>
      <c r="F786" s="17"/>
      <c r="G786" s="17"/>
      <c r="H786" s="16"/>
      <c r="I786" s="3" t="str">
        <f t="shared" si="20"/>
        <v/>
      </c>
    </row>
    <row r="787" spans="1:9" ht="13" x14ac:dyDescent="0.15">
      <c r="A787" s="17"/>
      <c r="B787" s="17"/>
      <c r="C787" s="17"/>
      <c r="D787" s="17"/>
      <c r="E787" s="17"/>
      <c r="F787" s="17"/>
      <c r="G787" s="17"/>
      <c r="H787" s="16"/>
      <c r="I787" s="3" t="str">
        <f t="shared" si="20"/>
        <v/>
      </c>
    </row>
    <row r="788" spans="1:9" ht="13" x14ac:dyDescent="0.15">
      <c r="A788" s="17"/>
      <c r="B788" s="17"/>
      <c r="C788" s="17"/>
      <c r="D788" s="17"/>
      <c r="E788" s="17"/>
      <c r="F788" s="17"/>
      <c r="G788" s="17"/>
      <c r="H788" s="16"/>
      <c r="I788" s="3" t="str">
        <f t="shared" si="20"/>
        <v/>
      </c>
    </row>
    <row r="789" spans="1:9" ht="13" x14ac:dyDescent="0.15">
      <c r="A789" s="17"/>
      <c r="B789" s="17"/>
      <c r="C789" s="17"/>
      <c r="D789" s="17"/>
      <c r="E789" s="17"/>
      <c r="F789" s="17"/>
      <c r="G789" s="17"/>
      <c r="H789" s="16"/>
      <c r="I789" s="3" t="str">
        <f t="shared" si="20"/>
        <v/>
      </c>
    </row>
    <row r="790" spans="1:9" ht="13" x14ac:dyDescent="0.15">
      <c r="A790" s="17"/>
      <c r="B790" s="17"/>
      <c r="C790" s="17"/>
      <c r="D790" s="17"/>
      <c r="E790" s="17"/>
      <c r="F790" s="17"/>
      <c r="G790" s="17"/>
      <c r="H790" s="16"/>
      <c r="I790" s="3" t="str">
        <f t="shared" si="20"/>
        <v/>
      </c>
    </row>
    <row r="791" spans="1:9" ht="13" x14ac:dyDescent="0.15">
      <c r="A791" s="17"/>
      <c r="B791" s="17"/>
      <c r="C791" s="17"/>
      <c r="D791" s="17"/>
      <c r="E791" s="17"/>
      <c r="F791" s="17"/>
      <c r="G791" s="17"/>
      <c r="H791" s="16"/>
      <c r="I791" s="3" t="str">
        <f t="shared" si="20"/>
        <v/>
      </c>
    </row>
    <row r="792" spans="1:9" ht="13" x14ac:dyDescent="0.15">
      <c r="A792" s="17"/>
      <c r="B792" s="17"/>
      <c r="C792" s="17"/>
      <c r="D792" s="17"/>
      <c r="E792" s="17"/>
      <c r="F792" s="17"/>
      <c r="G792" s="17"/>
      <c r="H792" s="16"/>
      <c r="I792" s="3" t="str">
        <f t="shared" si="20"/>
        <v/>
      </c>
    </row>
    <row r="793" spans="1:9" ht="13" x14ac:dyDescent="0.15">
      <c r="A793" s="17"/>
      <c r="B793" s="17"/>
      <c r="C793" s="17"/>
      <c r="D793" s="17"/>
      <c r="E793" s="17"/>
      <c r="F793" s="17"/>
      <c r="G793" s="17"/>
      <c r="H793" s="16"/>
      <c r="I793" s="3" t="str">
        <f t="shared" si="20"/>
        <v/>
      </c>
    </row>
    <row r="794" spans="1:9" ht="13" x14ac:dyDescent="0.15">
      <c r="A794" s="17"/>
      <c r="B794" s="17"/>
      <c r="C794" s="17"/>
      <c r="D794" s="17"/>
      <c r="E794" s="17"/>
      <c r="F794" s="17"/>
      <c r="G794" s="17"/>
      <c r="H794" s="16"/>
      <c r="I794" s="3" t="str">
        <f t="shared" si="20"/>
        <v/>
      </c>
    </row>
    <row r="795" spans="1:9" ht="13" x14ac:dyDescent="0.15">
      <c r="A795" s="17"/>
      <c r="B795" s="17"/>
      <c r="C795" s="17"/>
      <c r="D795" s="17"/>
      <c r="E795" s="17"/>
      <c r="F795" s="17"/>
      <c r="G795" s="17"/>
      <c r="H795" s="16"/>
      <c r="I795" s="3" t="str">
        <f t="shared" si="20"/>
        <v/>
      </c>
    </row>
    <row r="796" spans="1:9" ht="13" x14ac:dyDescent="0.15">
      <c r="A796" s="17"/>
      <c r="B796" s="17"/>
      <c r="C796" s="17"/>
      <c r="D796" s="17"/>
      <c r="E796" s="17"/>
      <c r="F796" s="17"/>
      <c r="G796" s="17"/>
      <c r="H796" s="16"/>
      <c r="I796" s="3" t="str">
        <f t="shared" si="20"/>
        <v/>
      </c>
    </row>
    <row r="797" spans="1:9" ht="13" x14ac:dyDescent="0.15">
      <c r="A797" s="17"/>
      <c r="B797" s="17"/>
      <c r="C797" s="17"/>
      <c r="D797" s="17"/>
      <c r="E797" s="17"/>
      <c r="F797" s="17"/>
      <c r="G797" s="17"/>
      <c r="H797" s="16"/>
      <c r="I797" s="3" t="str">
        <f t="shared" si="20"/>
        <v/>
      </c>
    </row>
    <row r="798" spans="1:9" ht="13" x14ac:dyDescent="0.15">
      <c r="A798" s="17"/>
      <c r="B798" s="17"/>
      <c r="C798" s="17"/>
      <c r="D798" s="17"/>
      <c r="E798" s="17"/>
      <c r="F798" s="17"/>
      <c r="G798" s="17"/>
      <c r="H798" s="16"/>
      <c r="I798" s="3" t="str">
        <f t="shared" si="20"/>
        <v/>
      </c>
    </row>
    <row r="799" spans="1:9" ht="13" x14ac:dyDescent="0.15">
      <c r="A799" s="17"/>
      <c r="B799" s="17"/>
      <c r="C799" s="17"/>
      <c r="D799" s="17"/>
      <c r="E799" s="17"/>
      <c r="F799" s="17"/>
      <c r="G799" s="17"/>
      <c r="H799" s="16"/>
      <c r="I799" s="3" t="str">
        <f t="shared" si="20"/>
        <v/>
      </c>
    </row>
    <row r="800" spans="1:9" ht="13" x14ac:dyDescent="0.15">
      <c r="A800" s="17"/>
      <c r="B800" s="17"/>
      <c r="C800" s="17"/>
      <c r="D800" s="17"/>
      <c r="E800" s="17"/>
      <c r="F800" s="17"/>
      <c r="G800" s="17"/>
      <c r="H800" s="16"/>
      <c r="I800" s="3" t="str">
        <f t="shared" si="20"/>
        <v/>
      </c>
    </row>
    <row r="801" spans="1:9" ht="13" x14ac:dyDescent="0.15">
      <c r="A801" s="17"/>
      <c r="B801" s="17"/>
      <c r="C801" s="17"/>
      <c r="D801" s="17"/>
      <c r="E801" s="17"/>
      <c r="F801" s="17"/>
      <c r="G801" s="17"/>
      <c r="H801" s="16"/>
      <c r="I801" s="3" t="str">
        <f t="shared" si="20"/>
        <v/>
      </c>
    </row>
    <row r="802" spans="1:9" ht="13" x14ac:dyDescent="0.15">
      <c r="A802" s="17"/>
      <c r="B802" s="17"/>
      <c r="C802" s="17"/>
      <c r="D802" s="17"/>
      <c r="E802" s="17"/>
      <c r="F802" s="17"/>
      <c r="G802" s="17"/>
      <c r="H802" s="16"/>
      <c r="I802" s="3" t="str">
        <f t="shared" si="20"/>
        <v/>
      </c>
    </row>
    <row r="803" spans="1:9" ht="13" x14ac:dyDescent="0.15">
      <c r="A803" s="17"/>
      <c r="B803" s="17"/>
      <c r="C803" s="17"/>
      <c r="D803" s="17"/>
      <c r="E803" s="17"/>
      <c r="F803" s="17"/>
      <c r="G803" s="17"/>
      <c r="H803" s="16"/>
      <c r="I803" s="3" t="str">
        <f t="shared" si="20"/>
        <v/>
      </c>
    </row>
    <row r="804" spans="1:9" ht="13" x14ac:dyDescent="0.15">
      <c r="A804" s="17"/>
      <c r="B804" s="17"/>
      <c r="C804" s="17"/>
      <c r="D804" s="17"/>
      <c r="E804" s="17"/>
      <c r="F804" s="17"/>
      <c r="G804" s="17"/>
      <c r="H804" s="16"/>
      <c r="I804" s="3" t="str">
        <f t="shared" si="20"/>
        <v/>
      </c>
    </row>
    <row r="805" spans="1:9" ht="13" x14ac:dyDescent="0.15">
      <c r="A805" s="17"/>
      <c r="B805" s="17"/>
      <c r="C805" s="17"/>
      <c r="D805" s="17"/>
      <c r="E805" s="17"/>
      <c r="F805" s="17"/>
      <c r="G805" s="17"/>
      <c r="H805" s="16"/>
      <c r="I805" s="3" t="str">
        <f t="shared" si="20"/>
        <v/>
      </c>
    </row>
    <row r="806" spans="1:9" ht="13" x14ac:dyDescent="0.15">
      <c r="A806" s="17"/>
      <c r="B806" s="17"/>
      <c r="C806" s="17"/>
      <c r="D806" s="17"/>
      <c r="E806" s="17"/>
      <c r="F806" s="17"/>
      <c r="G806" s="17"/>
      <c r="H806" s="16"/>
      <c r="I806" s="3" t="str">
        <f t="shared" si="20"/>
        <v/>
      </c>
    </row>
    <row r="807" spans="1:9" ht="13" x14ac:dyDescent="0.15">
      <c r="A807" s="17"/>
      <c r="B807" s="17"/>
      <c r="C807" s="17"/>
      <c r="D807" s="17"/>
      <c r="E807" s="17"/>
      <c r="F807" s="17"/>
      <c r="G807" s="17"/>
      <c r="H807" s="16"/>
      <c r="I807" s="3" t="str">
        <f t="shared" si="20"/>
        <v/>
      </c>
    </row>
    <row r="808" spans="1:9" ht="13" x14ac:dyDescent="0.15">
      <c r="A808" s="17"/>
      <c r="B808" s="17"/>
      <c r="C808" s="17"/>
      <c r="D808" s="17"/>
      <c r="E808" s="17"/>
      <c r="F808" s="17"/>
      <c r="G808" s="17"/>
      <c r="H808" s="16"/>
      <c r="I808" s="3" t="str">
        <f t="shared" si="20"/>
        <v/>
      </c>
    </row>
    <row r="809" spans="1:9" ht="13" x14ac:dyDescent="0.15">
      <c r="A809" s="17"/>
      <c r="B809" s="17"/>
      <c r="C809" s="17"/>
      <c r="D809" s="17"/>
      <c r="E809" s="17"/>
      <c r="F809" s="17"/>
      <c r="G809" s="17"/>
      <c r="H809" s="16"/>
      <c r="I809" s="3" t="str">
        <f t="shared" si="20"/>
        <v/>
      </c>
    </row>
    <row r="810" spans="1:9" ht="13" x14ac:dyDescent="0.15">
      <c r="A810" s="17"/>
      <c r="B810" s="17"/>
      <c r="C810" s="17"/>
      <c r="D810" s="17"/>
      <c r="E810" s="17"/>
      <c r="F810" s="17"/>
      <c r="G810" s="17"/>
      <c r="H810" s="16"/>
      <c r="I810" s="3" t="str">
        <f t="shared" si="20"/>
        <v/>
      </c>
    </row>
    <row r="811" spans="1:9" ht="13" x14ac:dyDescent="0.15">
      <c r="A811" s="17"/>
      <c r="B811" s="17"/>
      <c r="C811" s="17"/>
      <c r="D811" s="17"/>
      <c r="E811" s="17"/>
      <c r="F811" s="17"/>
      <c r="G811" s="17"/>
      <c r="H811" s="16"/>
      <c r="I811" s="3" t="str">
        <f t="shared" si="20"/>
        <v/>
      </c>
    </row>
    <row r="812" spans="1:9" ht="13" x14ac:dyDescent="0.15">
      <c r="A812" s="17"/>
      <c r="B812" s="17"/>
      <c r="C812" s="17"/>
      <c r="D812" s="17"/>
      <c r="E812" s="17"/>
      <c r="F812" s="17"/>
      <c r="G812" s="17"/>
      <c r="H812" s="16"/>
      <c r="I812" s="3" t="str">
        <f t="shared" si="20"/>
        <v/>
      </c>
    </row>
    <row r="813" spans="1:9" ht="13" x14ac:dyDescent="0.15">
      <c r="A813" s="17"/>
      <c r="B813" s="17"/>
      <c r="C813" s="17"/>
      <c r="D813" s="17"/>
      <c r="E813" s="17"/>
      <c r="F813" s="17"/>
      <c r="G813" s="17"/>
      <c r="H813" s="16"/>
      <c r="I813" s="3" t="str">
        <f t="shared" si="20"/>
        <v/>
      </c>
    </row>
    <row r="814" spans="1:9" ht="13" x14ac:dyDescent="0.15">
      <c r="A814" s="17"/>
      <c r="B814" s="17"/>
      <c r="C814" s="17"/>
      <c r="D814" s="17"/>
      <c r="E814" s="17"/>
      <c r="F814" s="17"/>
      <c r="G814" s="17"/>
      <c r="H814" s="16"/>
      <c r="I814" s="3" t="str">
        <f t="shared" si="20"/>
        <v/>
      </c>
    </row>
    <row r="815" spans="1:9" ht="13" x14ac:dyDescent="0.15">
      <c r="A815" s="17"/>
      <c r="B815" s="17"/>
      <c r="C815" s="17"/>
      <c r="D815" s="17"/>
      <c r="E815" s="17"/>
      <c r="F815" s="17"/>
      <c r="G815" s="17"/>
      <c r="H815" s="16"/>
      <c r="I815" s="3" t="str">
        <f t="shared" si="20"/>
        <v/>
      </c>
    </row>
    <row r="816" spans="1:9" ht="13" x14ac:dyDescent="0.15">
      <c r="A816" s="17"/>
      <c r="B816" s="17"/>
      <c r="C816" s="17"/>
      <c r="D816" s="17"/>
      <c r="E816" s="17"/>
      <c r="F816" s="17"/>
      <c r="G816" s="17"/>
      <c r="H816" s="16"/>
      <c r="I816" s="3" t="str">
        <f t="shared" si="20"/>
        <v/>
      </c>
    </row>
    <row r="817" spans="1:9" ht="13" x14ac:dyDescent="0.15">
      <c r="A817" s="17"/>
      <c r="B817" s="17"/>
      <c r="C817" s="17"/>
      <c r="D817" s="17"/>
      <c r="E817" s="17"/>
      <c r="F817" s="17"/>
      <c r="G817" s="17"/>
      <c r="H817" s="16"/>
      <c r="I817" s="3" t="str">
        <f t="shared" si="20"/>
        <v/>
      </c>
    </row>
    <row r="818" spans="1:9" ht="13" x14ac:dyDescent="0.15">
      <c r="A818" s="17"/>
      <c r="B818" s="17"/>
      <c r="C818" s="17"/>
      <c r="D818" s="17"/>
      <c r="E818" s="17"/>
      <c r="F818" s="17"/>
      <c r="G818" s="17"/>
      <c r="H818" s="16"/>
      <c r="I818" s="3" t="str">
        <f t="shared" si="20"/>
        <v/>
      </c>
    </row>
    <row r="819" spans="1:9" ht="13" x14ac:dyDescent="0.15">
      <c r="A819" s="17"/>
      <c r="B819" s="17"/>
      <c r="C819" s="17"/>
      <c r="D819" s="17"/>
      <c r="E819" s="17"/>
      <c r="F819" s="17"/>
      <c r="G819" s="17"/>
      <c r="H819" s="16"/>
      <c r="I819" s="3" t="str">
        <f t="shared" si="20"/>
        <v/>
      </c>
    </row>
    <row r="820" spans="1:9" ht="13" x14ac:dyDescent="0.15">
      <c r="A820" s="17"/>
      <c r="B820" s="17"/>
      <c r="C820" s="17"/>
      <c r="D820" s="17"/>
      <c r="E820" s="17"/>
      <c r="F820" s="17"/>
      <c r="G820" s="17"/>
      <c r="H820" s="16"/>
      <c r="I820" s="3" t="str">
        <f t="shared" si="20"/>
        <v/>
      </c>
    </row>
    <row r="821" spans="1:9" ht="13" x14ac:dyDescent="0.15">
      <c r="A821" s="17"/>
      <c r="B821" s="17"/>
      <c r="C821" s="17"/>
      <c r="D821" s="17"/>
      <c r="E821" s="17"/>
      <c r="F821" s="17"/>
      <c r="G821" s="17"/>
      <c r="H821" s="16"/>
      <c r="I821" s="3" t="str">
        <f t="shared" si="20"/>
        <v/>
      </c>
    </row>
    <row r="822" spans="1:9" ht="13" x14ac:dyDescent="0.15">
      <c r="A822" s="17"/>
      <c r="B822" s="17"/>
      <c r="C822" s="17"/>
      <c r="D822" s="17"/>
      <c r="E822" s="17"/>
      <c r="F822" s="17"/>
      <c r="G822" s="17"/>
      <c r="H822" s="16"/>
      <c r="I822" s="3" t="str">
        <f t="shared" si="20"/>
        <v/>
      </c>
    </row>
    <row r="823" spans="1:9" ht="13" x14ac:dyDescent="0.15">
      <c r="A823" s="17"/>
      <c r="B823" s="17"/>
      <c r="C823" s="17"/>
      <c r="D823" s="17"/>
      <c r="E823" s="17"/>
      <c r="F823" s="17"/>
      <c r="G823" s="17"/>
      <c r="H823" s="16"/>
      <c r="I823" s="3" t="str">
        <f t="shared" si="20"/>
        <v/>
      </c>
    </row>
    <row r="824" spans="1:9" ht="13" x14ac:dyDescent="0.15">
      <c r="A824" s="17"/>
      <c r="B824" s="17"/>
      <c r="C824" s="17"/>
      <c r="D824" s="17"/>
      <c r="E824" s="17"/>
      <c r="F824" s="17"/>
      <c r="G824" s="17"/>
      <c r="H824" s="16"/>
      <c r="I824" s="3" t="str">
        <f t="shared" si="20"/>
        <v/>
      </c>
    </row>
    <row r="825" spans="1:9" ht="13" x14ac:dyDescent="0.15">
      <c r="A825" s="17"/>
      <c r="B825" s="17"/>
      <c r="C825" s="17"/>
      <c r="D825" s="17"/>
      <c r="E825" s="17"/>
      <c r="F825" s="17"/>
      <c r="G825" s="17"/>
      <c r="H825" s="16"/>
      <c r="I825" s="3" t="str">
        <f t="shared" si="20"/>
        <v/>
      </c>
    </row>
    <row r="826" spans="1:9" ht="13" x14ac:dyDescent="0.15">
      <c r="A826" s="17"/>
      <c r="B826" s="17"/>
      <c r="C826" s="17"/>
      <c r="D826" s="17"/>
      <c r="E826" s="17"/>
      <c r="F826" s="17"/>
      <c r="G826" s="17"/>
      <c r="H826" s="16"/>
      <c r="I826" s="3" t="str">
        <f t="shared" si="20"/>
        <v/>
      </c>
    </row>
    <row r="827" spans="1:9" ht="13" x14ac:dyDescent="0.15">
      <c r="A827" s="17"/>
      <c r="B827" s="17"/>
      <c r="C827" s="17"/>
      <c r="D827" s="17"/>
      <c r="E827" s="17"/>
      <c r="F827" s="17"/>
      <c r="G827" s="17"/>
      <c r="H827" s="16"/>
      <c r="I827" s="3" t="str">
        <f t="shared" si="20"/>
        <v/>
      </c>
    </row>
    <row r="828" spans="1:9" ht="13" x14ac:dyDescent="0.15">
      <c r="A828" s="17"/>
      <c r="B828" s="17"/>
      <c r="C828" s="17"/>
      <c r="D828" s="17"/>
      <c r="E828" s="17"/>
      <c r="F828" s="17"/>
      <c r="G828" s="17"/>
      <c r="H828" s="16"/>
      <c r="I828" s="3" t="str">
        <f t="shared" si="20"/>
        <v/>
      </c>
    </row>
    <row r="829" spans="1:9" ht="13" x14ac:dyDescent="0.15">
      <c r="A829" s="17"/>
      <c r="B829" s="17"/>
      <c r="C829" s="17"/>
      <c r="D829" s="17"/>
      <c r="E829" s="17"/>
      <c r="F829" s="17"/>
      <c r="G829" s="17"/>
      <c r="H829" s="16"/>
      <c r="I829" s="3" t="str">
        <f t="shared" si="20"/>
        <v/>
      </c>
    </row>
    <row r="830" spans="1:9" ht="13" x14ac:dyDescent="0.15">
      <c r="A830" s="17"/>
      <c r="B830" s="17"/>
      <c r="C830" s="17"/>
      <c r="D830" s="17"/>
      <c r="E830" s="17"/>
      <c r="F830" s="17"/>
      <c r="G830" s="17"/>
      <c r="H830" s="16"/>
      <c r="I830" s="3" t="str">
        <f t="shared" si="20"/>
        <v/>
      </c>
    </row>
    <row r="831" spans="1:9" ht="13" x14ac:dyDescent="0.15">
      <c r="A831" s="17"/>
      <c r="B831" s="17"/>
      <c r="C831" s="17"/>
      <c r="D831" s="17"/>
      <c r="E831" s="17"/>
      <c r="F831" s="17"/>
      <c r="G831" s="17"/>
      <c r="H831" s="16"/>
      <c r="I831" s="3" t="str">
        <f t="shared" si="20"/>
        <v/>
      </c>
    </row>
    <row r="832" spans="1:9" ht="13" x14ac:dyDescent="0.15">
      <c r="A832" s="17"/>
      <c r="B832" s="17"/>
      <c r="C832" s="17"/>
      <c r="D832" s="17"/>
      <c r="E832" s="17"/>
      <c r="F832" s="17"/>
      <c r="G832" s="17"/>
      <c r="H832" s="16"/>
      <c r="I832" s="3" t="str">
        <f t="shared" si="20"/>
        <v/>
      </c>
    </row>
    <row r="833" spans="1:9" ht="13" x14ac:dyDescent="0.15">
      <c r="A833" s="17"/>
      <c r="B833" s="17"/>
      <c r="C833" s="17"/>
      <c r="D833" s="17"/>
      <c r="E833" s="17"/>
      <c r="F833" s="17"/>
      <c r="G833" s="17"/>
      <c r="H833" s="16"/>
      <c r="I833" s="3" t="str">
        <f t="shared" si="20"/>
        <v/>
      </c>
    </row>
    <row r="834" spans="1:9" ht="13" x14ac:dyDescent="0.15">
      <c r="A834" s="17"/>
      <c r="B834" s="17"/>
      <c r="C834" s="17"/>
      <c r="D834" s="17"/>
      <c r="E834" s="17"/>
      <c r="F834" s="17"/>
      <c r="G834" s="17"/>
      <c r="H834" s="16"/>
      <c r="I834" s="3" t="str">
        <f t="shared" ref="I834:I897" si="21">IF(ISNUMBER(H834),IF(ABS(H834-$L$14)&gt;$M$16,"OUT",""),"")</f>
        <v/>
      </c>
    </row>
    <row r="835" spans="1:9" ht="13" x14ac:dyDescent="0.15">
      <c r="A835" s="17"/>
      <c r="B835" s="17"/>
      <c r="C835" s="17"/>
      <c r="D835" s="17"/>
      <c r="E835" s="17"/>
      <c r="F835" s="17"/>
      <c r="G835" s="17"/>
      <c r="H835" s="16"/>
      <c r="I835" s="3" t="str">
        <f t="shared" si="21"/>
        <v/>
      </c>
    </row>
    <row r="836" spans="1:9" ht="13" x14ac:dyDescent="0.15">
      <c r="A836" s="17"/>
      <c r="B836" s="17"/>
      <c r="C836" s="17"/>
      <c r="D836" s="17"/>
      <c r="E836" s="17"/>
      <c r="F836" s="17"/>
      <c r="G836" s="17"/>
      <c r="H836" s="16"/>
      <c r="I836" s="3" t="str">
        <f t="shared" si="21"/>
        <v/>
      </c>
    </row>
    <row r="837" spans="1:9" ht="13" x14ac:dyDescent="0.15">
      <c r="A837" s="17"/>
      <c r="B837" s="17"/>
      <c r="C837" s="17"/>
      <c r="D837" s="17"/>
      <c r="E837" s="17"/>
      <c r="F837" s="17"/>
      <c r="G837" s="17"/>
      <c r="H837" s="16"/>
      <c r="I837" s="3" t="str">
        <f t="shared" si="21"/>
        <v/>
      </c>
    </row>
    <row r="838" spans="1:9" ht="13" x14ac:dyDescent="0.15">
      <c r="A838" s="17"/>
      <c r="B838" s="17"/>
      <c r="C838" s="17"/>
      <c r="D838" s="17"/>
      <c r="E838" s="17"/>
      <c r="F838" s="17"/>
      <c r="G838" s="17"/>
      <c r="H838" s="16"/>
      <c r="I838" s="3" t="str">
        <f t="shared" si="21"/>
        <v/>
      </c>
    </row>
    <row r="839" spans="1:9" ht="13" x14ac:dyDescent="0.15">
      <c r="A839" s="17"/>
      <c r="B839" s="17"/>
      <c r="C839" s="17"/>
      <c r="D839" s="17"/>
      <c r="E839" s="17"/>
      <c r="F839" s="17"/>
      <c r="G839" s="17"/>
      <c r="H839" s="16"/>
      <c r="I839" s="3" t="str">
        <f t="shared" si="21"/>
        <v/>
      </c>
    </row>
    <row r="840" spans="1:9" ht="13" x14ac:dyDescent="0.15">
      <c r="A840" s="17"/>
      <c r="B840" s="17"/>
      <c r="C840" s="17"/>
      <c r="D840" s="17"/>
      <c r="E840" s="17"/>
      <c r="F840" s="17"/>
      <c r="G840" s="17"/>
      <c r="H840" s="16"/>
      <c r="I840" s="3" t="str">
        <f t="shared" si="21"/>
        <v/>
      </c>
    </row>
    <row r="841" spans="1:9" ht="13" x14ac:dyDescent="0.15">
      <c r="A841" s="17"/>
      <c r="B841" s="17"/>
      <c r="C841" s="17"/>
      <c r="D841" s="17"/>
      <c r="E841" s="17"/>
      <c r="F841" s="17"/>
      <c r="G841" s="17"/>
      <c r="H841" s="16"/>
      <c r="I841" s="3" t="str">
        <f t="shared" si="21"/>
        <v/>
      </c>
    </row>
    <row r="842" spans="1:9" ht="13" x14ac:dyDescent="0.15">
      <c r="A842" s="17"/>
      <c r="B842" s="17"/>
      <c r="C842" s="17"/>
      <c r="D842" s="17"/>
      <c r="E842" s="17"/>
      <c r="F842" s="17"/>
      <c r="G842" s="17"/>
      <c r="H842" s="16"/>
      <c r="I842" s="3" t="str">
        <f t="shared" si="21"/>
        <v/>
      </c>
    </row>
    <row r="843" spans="1:9" ht="13" x14ac:dyDescent="0.15">
      <c r="A843" s="17"/>
      <c r="B843" s="17"/>
      <c r="C843" s="17"/>
      <c r="D843" s="17"/>
      <c r="E843" s="17"/>
      <c r="F843" s="17"/>
      <c r="G843" s="17"/>
      <c r="H843" s="16"/>
      <c r="I843" s="3" t="str">
        <f t="shared" si="21"/>
        <v/>
      </c>
    </row>
    <row r="844" spans="1:9" ht="13" x14ac:dyDescent="0.15">
      <c r="A844" s="17"/>
      <c r="B844" s="17"/>
      <c r="C844" s="17"/>
      <c r="D844" s="17"/>
      <c r="E844" s="17"/>
      <c r="F844" s="17"/>
      <c r="G844" s="17"/>
      <c r="H844" s="16"/>
      <c r="I844" s="3" t="str">
        <f t="shared" si="21"/>
        <v/>
      </c>
    </row>
    <row r="845" spans="1:9" ht="13" x14ac:dyDescent="0.15">
      <c r="A845" s="17"/>
      <c r="B845" s="17"/>
      <c r="C845" s="17"/>
      <c r="D845" s="17"/>
      <c r="E845" s="17"/>
      <c r="F845" s="17"/>
      <c r="G845" s="17"/>
      <c r="H845" s="16"/>
      <c r="I845" s="3" t="str">
        <f t="shared" si="21"/>
        <v/>
      </c>
    </row>
    <row r="846" spans="1:9" ht="13" x14ac:dyDescent="0.15">
      <c r="A846" s="17"/>
      <c r="B846" s="17"/>
      <c r="C846" s="17"/>
      <c r="D846" s="17"/>
      <c r="E846" s="17"/>
      <c r="F846" s="17"/>
      <c r="G846" s="17"/>
      <c r="H846" s="16"/>
      <c r="I846" s="3" t="str">
        <f t="shared" si="21"/>
        <v/>
      </c>
    </row>
    <row r="847" spans="1:9" ht="13" x14ac:dyDescent="0.15">
      <c r="A847" s="17"/>
      <c r="B847" s="17"/>
      <c r="C847" s="17"/>
      <c r="D847" s="17"/>
      <c r="E847" s="17"/>
      <c r="F847" s="17"/>
      <c r="G847" s="17"/>
      <c r="H847" s="16"/>
      <c r="I847" s="3" t="str">
        <f t="shared" si="21"/>
        <v/>
      </c>
    </row>
    <row r="848" spans="1:9" ht="13" x14ac:dyDescent="0.15">
      <c r="A848" s="17"/>
      <c r="B848" s="17"/>
      <c r="C848" s="17"/>
      <c r="D848" s="17"/>
      <c r="E848" s="17"/>
      <c r="F848" s="17"/>
      <c r="G848" s="17"/>
      <c r="H848" s="16"/>
      <c r="I848" s="3" t="str">
        <f t="shared" si="21"/>
        <v/>
      </c>
    </row>
    <row r="849" spans="1:9" ht="13" x14ac:dyDescent="0.15">
      <c r="A849" s="17"/>
      <c r="B849" s="17"/>
      <c r="C849" s="17"/>
      <c r="D849" s="17"/>
      <c r="E849" s="17"/>
      <c r="F849" s="17"/>
      <c r="G849" s="17"/>
      <c r="H849" s="16"/>
      <c r="I849" s="3" t="str">
        <f t="shared" si="21"/>
        <v/>
      </c>
    </row>
    <row r="850" spans="1:9" ht="13" x14ac:dyDescent="0.15">
      <c r="A850" s="17"/>
      <c r="B850" s="17"/>
      <c r="C850" s="17"/>
      <c r="D850" s="17"/>
      <c r="E850" s="17"/>
      <c r="F850" s="17"/>
      <c r="G850" s="17"/>
      <c r="H850" s="16"/>
      <c r="I850" s="3" t="str">
        <f t="shared" si="21"/>
        <v/>
      </c>
    </row>
    <row r="851" spans="1:9" ht="13" x14ac:dyDescent="0.15">
      <c r="A851" s="17"/>
      <c r="B851" s="17"/>
      <c r="C851" s="17"/>
      <c r="D851" s="17"/>
      <c r="E851" s="17"/>
      <c r="F851" s="17"/>
      <c r="G851" s="17"/>
      <c r="H851" s="16"/>
      <c r="I851" s="3" t="str">
        <f t="shared" si="21"/>
        <v/>
      </c>
    </row>
    <row r="852" spans="1:9" ht="13" x14ac:dyDescent="0.15">
      <c r="A852" s="17"/>
      <c r="B852" s="17"/>
      <c r="C852" s="17"/>
      <c r="D852" s="17"/>
      <c r="E852" s="17"/>
      <c r="F852" s="17"/>
      <c r="G852" s="17"/>
      <c r="H852" s="16"/>
      <c r="I852" s="3" t="str">
        <f t="shared" si="21"/>
        <v/>
      </c>
    </row>
    <row r="853" spans="1:9" ht="13" x14ac:dyDescent="0.15">
      <c r="A853" s="17"/>
      <c r="B853" s="17"/>
      <c r="C853" s="17"/>
      <c r="D853" s="17"/>
      <c r="E853" s="17"/>
      <c r="F853" s="17"/>
      <c r="G853" s="17"/>
      <c r="H853" s="16"/>
      <c r="I853" s="3" t="str">
        <f t="shared" si="21"/>
        <v/>
      </c>
    </row>
    <row r="854" spans="1:9" ht="13" x14ac:dyDescent="0.15">
      <c r="A854" s="17"/>
      <c r="B854" s="17"/>
      <c r="C854" s="17"/>
      <c r="D854" s="17"/>
      <c r="E854" s="17"/>
      <c r="F854" s="17"/>
      <c r="G854" s="17"/>
      <c r="H854" s="16"/>
      <c r="I854" s="3" t="str">
        <f t="shared" si="21"/>
        <v/>
      </c>
    </row>
    <row r="855" spans="1:9" ht="13" x14ac:dyDescent="0.15">
      <c r="A855" s="17"/>
      <c r="B855" s="17"/>
      <c r="C855" s="17"/>
      <c r="D855" s="17"/>
      <c r="E855" s="17"/>
      <c r="F855" s="17"/>
      <c r="G855" s="17"/>
      <c r="H855" s="16"/>
      <c r="I855" s="3" t="str">
        <f t="shared" si="21"/>
        <v/>
      </c>
    </row>
    <row r="856" spans="1:9" ht="13" x14ac:dyDescent="0.15">
      <c r="A856" s="17"/>
      <c r="B856" s="17"/>
      <c r="C856" s="17"/>
      <c r="D856" s="17"/>
      <c r="E856" s="17"/>
      <c r="F856" s="17"/>
      <c r="G856" s="17"/>
      <c r="H856" s="16"/>
      <c r="I856" s="3" t="str">
        <f t="shared" si="21"/>
        <v/>
      </c>
    </row>
    <row r="857" spans="1:9" ht="13" x14ac:dyDescent="0.15">
      <c r="A857" s="17"/>
      <c r="B857" s="17"/>
      <c r="C857" s="17"/>
      <c r="D857" s="17"/>
      <c r="E857" s="17"/>
      <c r="F857" s="17"/>
      <c r="G857" s="17"/>
      <c r="H857" s="16"/>
      <c r="I857" s="3" t="str">
        <f t="shared" si="21"/>
        <v/>
      </c>
    </row>
    <row r="858" spans="1:9" ht="13" x14ac:dyDescent="0.15">
      <c r="A858" s="17"/>
      <c r="B858" s="17"/>
      <c r="C858" s="17"/>
      <c r="D858" s="17"/>
      <c r="E858" s="17"/>
      <c r="F858" s="17"/>
      <c r="G858" s="17"/>
      <c r="H858" s="16"/>
      <c r="I858" s="3" t="str">
        <f t="shared" si="21"/>
        <v/>
      </c>
    </row>
    <row r="859" spans="1:9" ht="13" x14ac:dyDescent="0.15">
      <c r="A859" s="17"/>
      <c r="B859" s="17"/>
      <c r="C859" s="17"/>
      <c r="D859" s="17"/>
      <c r="E859" s="17"/>
      <c r="F859" s="17"/>
      <c r="G859" s="17"/>
      <c r="H859" s="16"/>
      <c r="I859" s="3" t="str">
        <f t="shared" si="21"/>
        <v/>
      </c>
    </row>
    <row r="860" spans="1:9" ht="13" x14ac:dyDescent="0.15">
      <c r="A860" s="17"/>
      <c r="B860" s="17"/>
      <c r="C860" s="17"/>
      <c r="D860" s="17"/>
      <c r="E860" s="17"/>
      <c r="F860" s="17"/>
      <c r="G860" s="17"/>
      <c r="H860" s="16"/>
      <c r="I860" s="3" t="str">
        <f t="shared" si="21"/>
        <v/>
      </c>
    </row>
    <row r="861" spans="1:9" ht="13" x14ac:dyDescent="0.15">
      <c r="A861" s="17"/>
      <c r="B861" s="17"/>
      <c r="C861" s="17"/>
      <c r="D861" s="17"/>
      <c r="E861" s="17"/>
      <c r="F861" s="17"/>
      <c r="G861" s="17"/>
      <c r="H861" s="16"/>
      <c r="I861" s="3" t="str">
        <f t="shared" si="21"/>
        <v/>
      </c>
    </row>
    <row r="862" spans="1:9" ht="13" x14ac:dyDescent="0.15">
      <c r="A862" s="17"/>
      <c r="B862" s="17"/>
      <c r="C862" s="17"/>
      <c r="D862" s="17"/>
      <c r="E862" s="17"/>
      <c r="F862" s="17"/>
      <c r="G862" s="17"/>
      <c r="H862" s="16"/>
      <c r="I862" s="3" t="str">
        <f t="shared" si="21"/>
        <v/>
      </c>
    </row>
    <row r="863" spans="1:9" ht="13" x14ac:dyDescent="0.15">
      <c r="A863" s="17"/>
      <c r="B863" s="17"/>
      <c r="C863" s="17"/>
      <c r="D863" s="17"/>
      <c r="E863" s="17"/>
      <c r="F863" s="17"/>
      <c r="G863" s="17"/>
      <c r="H863" s="16"/>
      <c r="I863" s="3" t="str">
        <f t="shared" si="21"/>
        <v/>
      </c>
    </row>
    <row r="864" spans="1:9" ht="13" x14ac:dyDescent="0.15">
      <c r="A864" s="17"/>
      <c r="B864" s="17"/>
      <c r="C864" s="17"/>
      <c r="D864" s="17"/>
      <c r="E864" s="17"/>
      <c r="F864" s="17"/>
      <c r="G864" s="17"/>
      <c r="H864" s="16"/>
      <c r="I864" s="3" t="str">
        <f t="shared" si="21"/>
        <v/>
      </c>
    </row>
    <row r="865" spans="1:9" ht="13" x14ac:dyDescent="0.15">
      <c r="A865" s="17"/>
      <c r="B865" s="17"/>
      <c r="C865" s="17"/>
      <c r="D865" s="17"/>
      <c r="E865" s="17"/>
      <c r="F865" s="17"/>
      <c r="G865" s="17"/>
      <c r="H865" s="16"/>
      <c r="I865" s="3" t="str">
        <f t="shared" si="21"/>
        <v/>
      </c>
    </row>
    <row r="866" spans="1:9" ht="13" x14ac:dyDescent="0.15">
      <c r="A866" s="17"/>
      <c r="B866" s="17"/>
      <c r="C866" s="17"/>
      <c r="D866" s="17"/>
      <c r="E866" s="17"/>
      <c r="F866" s="17"/>
      <c r="G866" s="17"/>
      <c r="H866" s="16"/>
      <c r="I866" s="3" t="str">
        <f t="shared" si="21"/>
        <v/>
      </c>
    </row>
    <row r="867" spans="1:9" ht="13" x14ac:dyDescent="0.15">
      <c r="A867" s="17"/>
      <c r="B867" s="17"/>
      <c r="C867" s="17"/>
      <c r="D867" s="17"/>
      <c r="E867" s="17"/>
      <c r="F867" s="17"/>
      <c r="G867" s="17"/>
      <c r="H867" s="16"/>
      <c r="I867" s="3" t="str">
        <f t="shared" si="21"/>
        <v/>
      </c>
    </row>
    <row r="868" spans="1:9" ht="13" x14ac:dyDescent="0.15">
      <c r="A868" s="17"/>
      <c r="B868" s="17"/>
      <c r="C868" s="17"/>
      <c r="D868" s="17"/>
      <c r="E868" s="17"/>
      <c r="F868" s="17"/>
      <c r="G868" s="17"/>
      <c r="H868" s="16"/>
      <c r="I868" s="3" t="str">
        <f t="shared" si="21"/>
        <v/>
      </c>
    </row>
    <row r="869" spans="1:9" ht="13" x14ac:dyDescent="0.15">
      <c r="A869" s="17"/>
      <c r="B869" s="17"/>
      <c r="C869" s="17"/>
      <c r="D869" s="17"/>
      <c r="E869" s="17"/>
      <c r="F869" s="17"/>
      <c r="G869" s="17"/>
      <c r="H869" s="16"/>
      <c r="I869" s="3" t="str">
        <f t="shared" si="21"/>
        <v/>
      </c>
    </row>
    <row r="870" spans="1:9" ht="13" x14ac:dyDescent="0.15">
      <c r="A870" s="17"/>
      <c r="B870" s="17"/>
      <c r="C870" s="17"/>
      <c r="D870" s="17"/>
      <c r="E870" s="17"/>
      <c r="F870" s="17"/>
      <c r="G870" s="17"/>
      <c r="H870" s="16"/>
      <c r="I870" s="3" t="str">
        <f t="shared" si="21"/>
        <v/>
      </c>
    </row>
    <row r="871" spans="1:9" ht="13" x14ac:dyDescent="0.15">
      <c r="A871" s="17"/>
      <c r="B871" s="17"/>
      <c r="C871" s="17"/>
      <c r="D871" s="17"/>
      <c r="E871" s="17"/>
      <c r="F871" s="17"/>
      <c r="G871" s="17"/>
      <c r="H871" s="16"/>
      <c r="I871" s="3" t="str">
        <f t="shared" si="21"/>
        <v/>
      </c>
    </row>
    <row r="872" spans="1:9" ht="13" x14ac:dyDescent="0.15">
      <c r="A872" s="17"/>
      <c r="B872" s="17"/>
      <c r="C872" s="17"/>
      <c r="D872" s="17"/>
      <c r="E872" s="17"/>
      <c r="F872" s="17"/>
      <c r="G872" s="17"/>
      <c r="H872" s="16"/>
      <c r="I872" s="3" t="str">
        <f t="shared" si="21"/>
        <v/>
      </c>
    </row>
    <row r="873" spans="1:9" ht="13" x14ac:dyDescent="0.15">
      <c r="A873" s="17"/>
      <c r="B873" s="17"/>
      <c r="C873" s="17"/>
      <c r="D873" s="17"/>
      <c r="E873" s="17"/>
      <c r="F873" s="17"/>
      <c r="G873" s="17"/>
      <c r="H873" s="16"/>
      <c r="I873" s="3" t="str">
        <f t="shared" si="21"/>
        <v/>
      </c>
    </row>
    <row r="874" spans="1:9" ht="13" x14ac:dyDescent="0.15">
      <c r="A874" s="17"/>
      <c r="B874" s="17"/>
      <c r="C874" s="17"/>
      <c r="D874" s="17"/>
      <c r="E874" s="17"/>
      <c r="F874" s="17"/>
      <c r="G874" s="17"/>
      <c r="H874" s="16"/>
      <c r="I874" s="3" t="str">
        <f t="shared" si="21"/>
        <v/>
      </c>
    </row>
    <row r="875" spans="1:9" ht="13" x14ac:dyDescent="0.15">
      <c r="A875" s="17"/>
      <c r="B875" s="17"/>
      <c r="C875" s="17"/>
      <c r="D875" s="17"/>
      <c r="E875" s="17"/>
      <c r="F875" s="17"/>
      <c r="G875" s="17"/>
      <c r="H875" s="16"/>
      <c r="I875" s="3" t="str">
        <f t="shared" si="21"/>
        <v/>
      </c>
    </row>
    <row r="876" spans="1:9" ht="13" x14ac:dyDescent="0.15">
      <c r="A876" s="17"/>
      <c r="B876" s="17"/>
      <c r="C876" s="17"/>
      <c r="D876" s="17"/>
      <c r="E876" s="17"/>
      <c r="F876" s="17"/>
      <c r="G876" s="17"/>
      <c r="H876" s="16"/>
      <c r="I876" s="3" t="str">
        <f t="shared" si="21"/>
        <v/>
      </c>
    </row>
    <row r="877" spans="1:9" ht="13" x14ac:dyDescent="0.15">
      <c r="A877" s="17"/>
      <c r="B877" s="17"/>
      <c r="C877" s="17"/>
      <c r="D877" s="17"/>
      <c r="E877" s="17"/>
      <c r="F877" s="17"/>
      <c r="G877" s="17"/>
      <c r="H877" s="16"/>
      <c r="I877" s="3" t="str">
        <f t="shared" si="21"/>
        <v/>
      </c>
    </row>
    <row r="878" spans="1:9" ht="13" x14ac:dyDescent="0.15">
      <c r="A878" s="17"/>
      <c r="B878" s="17"/>
      <c r="C878" s="17"/>
      <c r="D878" s="17"/>
      <c r="E878" s="17"/>
      <c r="F878" s="17"/>
      <c r="G878" s="17"/>
      <c r="H878" s="16"/>
      <c r="I878" s="3" t="str">
        <f t="shared" si="21"/>
        <v/>
      </c>
    </row>
    <row r="879" spans="1:9" ht="13" x14ac:dyDescent="0.15">
      <c r="A879" s="17"/>
      <c r="B879" s="17"/>
      <c r="C879" s="17"/>
      <c r="D879" s="17"/>
      <c r="E879" s="17"/>
      <c r="F879" s="17"/>
      <c r="G879" s="17"/>
      <c r="H879" s="16"/>
      <c r="I879" s="3" t="str">
        <f t="shared" si="21"/>
        <v/>
      </c>
    </row>
    <row r="880" spans="1:9" ht="13" x14ac:dyDescent="0.15">
      <c r="A880" s="17"/>
      <c r="B880" s="17"/>
      <c r="C880" s="17"/>
      <c r="D880" s="17"/>
      <c r="E880" s="17"/>
      <c r="F880" s="17"/>
      <c r="G880" s="17"/>
      <c r="H880" s="16"/>
      <c r="I880" s="3" t="str">
        <f t="shared" si="21"/>
        <v/>
      </c>
    </row>
    <row r="881" spans="1:9" ht="13" x14ac:dyDescent="0.15">
      <c r="A881" s="17"/>
      <c r="B881" s="17"/>
      <c r="C881" s="17"/>
      <c r="D881" s="17"/>
      <c r="E881" s="17"/>
      <c r="F881" s="17"/>
      <c r="G881" s="17"/>
      <c r="H881" s="16"/>
      <c r="I881" s="3" t="str">
        <f t="shared" si="21"/>
        <v/>
      </c>
    </row>
    <row r="882" spans="1:9" ht="13" x14ac:dyDescent="0.15">
      <c r="A882" s="17"/>
      <c r="B882" s="17"/>
      <c r="C882" s="17"/>
      <c r="D882" s="17"/>
      <c r="E882" s="17"/>
      <c r="F882" s="17"/>
      <c r="G882" s="17"/>
      <c r="H882" s="16"/>
      <c r="I882" s="3" t="str">
        <f t="shared" si="21"/>
        <v/>
      </c>
    </row>
    <row r="883" spans="1:9" ht="13" x14ac:dyDescent="0.15">
      <c r="A883" s="17"/>
      <c r="B883" s="17"/>
      <c r="C883" s="17"/>
      <c r="D883" s="17"/>
      <c r="E883" s="17"/>
      <c r="F883" s="17"/>
      <c r="G883" s="17"/>
      <c r="H883" s="16"/>
      <c r="I883" s="3" t="str">
        <f t="shared" si="21"/>
        <v/>
      </c>
    </row>
    <row r="884" spans="1:9" ht="13" x14ac:dyDescent="0.15">
      <c r="A884" s="17"/>
      <c r="B884" s="17"/>
      <c r="C884" s="17"/>
      <c r="D884" s="17"/>
      <c r="E884" s="17"/>
      <c r="F884" s="17"/>
      <c r="G884" s="17"/>
      <c r="H884" s="16"/>
      <c r="I884" s="3" t="str">
        <f t="shared" si="21"/>
        <v/>
      </c>
    </row>
    <row r="885" spans="1:9" ht="13" x14ac:dyDescent="0.15">
      <c r="A885" s="17"/>
      <c r="B885" s="17"/>
      <c r="C885" s="17"/>
      <c r="D885" s="17"/>
      <c r="E885" s="17"/>
      <c r="F885" s="17"/>
      <c r="G885" s="17"/>
      <c r="H885" s="16"/>
      <c r="I885" s="3" t="str">
        <f t="shared" si="21"/>
        <v/>
      </c>
    </row>
    <row r="886" spans="1:9" ht="13" x14ac:dyDescent="0.15">
      <c r="A886" s="17"/>
      <c r="B886" s="17"/>
      <c r="C886" s="17"/>
      <c r="D886" s="17"/>
      <c r="E886" s="17"/>
      <c r="F886" s="17"/>
      <c r="G886" s="17"/>
      <c r="H886" s="16"/>
      <c r="I886" s="3" t="str">
        <f t="shared" si="21"/>
        <v/>
      </c>
    </row>
    <row r="887" spans="1:9" ht="13" x14ac:dyDescent="0.15">
      <c r="A887" s="17"/>
      <c r="B887" s="17"/>
      <c r="C887" s="17"/>
      <c r="D887" s="17"/>
      <c r="E887" s="17"/>
      <c r="F887" s="17"/>
      <c r="G887" s="17"/>
      <c r="H887" s="16"/>
      <c r="I887" s="3" t="str">
        <f t="shared" si="21"/>
        <v/>
      </c>
    </row>
    <row r="888" spans="1:9" ht="13" x14ac:dyDescent="0.15">
      <c r="A888" s="17"/>
      <c r="B888" s="17"/>
      <c r="C888" s="17"/>
      <c r="D888" s="17"/>
      <c r="E888" s="17"/>
      <c r="F888" s="17"/>
      <c r="G888" s="17"/>
      <c r="H888" s="16"/>
      <c r="I888" s="3" t="str">
        <f t="shared" si="21"/>
        <v/>
      </c>
    </row>
    <row r="889" spans="1:9" ht="13" x14ac:dyDescent="0.15">
      <c r="A889" s="17"/>
      <c r="B889" s="17"/>
      <c r="C889" s="17"/>
      <c r="D889" s="17"/>
      <c r="E889" s="17"/>
      <c r="F889" s="17"/>
      <c r="G889" s="17"/>
      <c r="H889" s="16"/>
      <c r="I889" s="3" t="str">
        <f t="shared" si="21"/>
        <v/>
      </c>
    </row>
    <row r="890" spans="1:9" ht="13" x14ac:dyDescent="0.15">
      <c r="A890" s="17"/>
      <c r="B890" s="17"/>
      <c r="C890" s="17"/>
      <c r="D890" s="17"/>
      <c r="E890" s="17"/>
      <c r="F890" s="17"/>
      <c r="G890" s="17"/>
      <c r="H890" s="16"/>
      <c r="I890" s="3" t="str">
        <f t="shared" si="21"/>
        <v/>
      </c>
    </row>
    <row r="891" spans="1:9" ht="13" x14ac:dyDescent="0.15">
      <c r="A891" s="17"/>
      <c r="B891" s="17"/>
      <c r="C891" s="17"/>
      <c r="D891" s="17"/>
      <c r="E891" s="17"/>
      <c r="F891" s="17"/>
      <c r="G891" s="17"/>
      <c r="H891" s="16"/>
      <c r="I891" s="3" t="str">
        <f t="shared" si="21"/>
        <v/>
      </c>
    </row>
    <row r="892" spans="1:9" ht="13" x14ac:dyDescent="0.15">
      <c r="A892" s="17"/>
      <c r="B892" s="17"/>
      <c r="C892" s="17"/>
      <c r="D892" s="17"/>
      <c r="E892" s="17"/>
      <c r="F892" s="17"/>
      <c r="G892" s="17"/>
      <c r="H892" s="16"/>
      <c r="I892" s="3" t="str">
        <f t="shared" si="21"/>
        <v/>
      </c>
    </row>
    <row r="893" spans="1:9" ht="13" x14ac:dyDescent="0.15">
      <c r="A893" s="17"/>
      <c r="B893" s="17"/>
      <c r="C893" s="17"/>
      <c r="D893" s="17"/>
      <c r="E893" s="17"/>
      <c r="F893" s="17"/>
      <c r="G893" s="17"/>
      <c r="H893" s="16"/>
      <c r="I893" s="3" t="str">
        <f t="shared" si="21"/>
        <v/>
      </c>
    </row>
    <row r="894" spans="1:9" ht="13" x14ac:dyDescent="0.15">
      <c r="A894" s="17"/>
      <c r="B894" s="17"/>
      <c r="C894" s="17"/>
      <c r="D894" s="17"/>
      <c r="E894" s="17"/>
      <c r="F894" s="17"/>
      <c r="G894" s="17"/>
      <c r="H894" s="16"/>
      <c r="I894" s="3" t="str">
        <f t="shared" si="21"/>
        <v/>
      </c>
    </row>
    <row r="895" spans="1:9" ht="13" x14ac:dyDescent="0.15">
      <c r="A895" s="17"/>
      <c r="B895" s="17"/>
      <c r="C895" s="17"/>
      <c r="D895" s="17"/>
      <c r="E895" s="17"/>
      <c r="F895" s="17"/>
      <c r="G895" s="17"/>
      <c r="H895" s="16"/>
      <c r="I895" s="3" t="str">
        <f t="shared" si="21"/>
        <v/>
      </c>
    </row>
    <row r="896" spans="1:9" ht="13" x14ac:dyDescent="0.15">
      <c r="A896" s="17"/>
      <c r="B896" s="17"/>
      <c r="C896" s="17"/>
      <c r="D896" s="17"/>
      <c r="E896" s="17"/>
      <c r="F896" s="17"/>
      <c r="G896" s="17"/>
      <c r="H896" s="16"/>
      <c r="I896" s="3" t="str">
        <f t="shared" si="21"/>
        <v/>
      </c>
    </row>
    <row r="897" spans="1:9" ht="13" x14ac:dyDescent="0.15">
      <c r="A897" s="17"/>
      <c r="B897" s="17"/>
      <c r="C897" s="17"/>
      <c r="D897" s="17"/>
      <c r="E897" s="17"/>
      <c r="F897" s="17"/>
      <c r="G897" s="17"/>
      <c r="H897" s="16"/>
      <c r="I897" s="3" t="str">
        <f t="shared" si="21"/>
        <v/>
      </c>
    </row>
    <row r="898" spans="1:9" ht="13" x14ac:dyDescent="0.15">
      <c r="A898" s="17"/>
      <c r="B898" s="17"/>
      <c r="C898" s="17"/>
      <c r="D898" s="17"/>
      <c r="E898" s="17"/>
      <c r="F898" s="17"/>
      <c r="G898" s="17"/>
      <c r="H898" s="16"/>
      <c r="I898" s="3" t="str">
        <f t="shared" ref="I898:I912" si="22">IF(ISNUMBER(H898),IF(ABS(H898-$L$14)&gt;$M$16,"OUT",""),"")</f>
        <v/>
      </c>
    </row>
    <row r="899" spans="1:9" ht="13" x14ac:dyDescent="0.15">
      <c r="A899" s="17"/>
      <c r="B899" s="17"/>
      <c r="C899" s="17"/>
      <c r="D899" s="17"/>
      <c r="E899" s="17"/>
      <c r="F899" s="17"/>
      <c r="G899" s="17"/>
      <c r="H899" s="16"/>
      <c r="I899" s="3" t="str">
        <f t="shared" si="22"/>
        <v/>
      </c>
    </row>
    <row r="900" spans="1:9" ht="13" x14ac:dyDescent="0.15">
      <c r="A900" s="17"/>
      <c r="B900" s="17"/>
      <c r="C900" s="17"/>
      <c r="D900" s="17"/>
      <c r="E900" s="17"/>
      <c r="F900" s="17"/>
      <c r="G900" s="17"/>
      <c r="H900" s="16"/>
      <c r="I900" s="3" t="str">
        <f t="shared" si="22"/>
        <v/>
      </c>
    </row>
    <row r="901" spans="1:9" ht="13" x14ac:dyDescent="0.15">
      <c r="A901" s="17"/>
      <c r="B901" s="17"/>
      <c r="C901" s="17"/>
      <c r="D901" s="17"/>
      <c r="E901" s="17"/>
      <c r="F901" s="17"/>
      <c r="G901" s="17"/>
      <c r="H901" s="16"/>
      <c r="I901" s="3" t="str">
        <f t="shared" si="22"/>
        <v/>
      </c>
    </row>
    <row r="902" spans="1:9" ht="13" x14ac:dyDescent="0.15">
      <c r="A902" s="17"/>
      <c r="B902" s="17"/>
      <c r="C902" s="17"/>
      <c r="D902" s="17"/>
      <c r="E902" s="17"/>
      <c r="F902" s="17"/>
      <c r="G902" s="17"/>
      <c r="H902" s="16"/>
      <c r="I902" s="3" t="str">
        <f t="shared" si="22"/>
        <v/>
      </c>
    </row>
    <row r="903" spans="1:9" ht="13" x14ac:dyDescent="0.15">
      <c r="A903" s="17"/>
      <c r="B903" s="17"/>
      <c r="C903" s="17"/>
      <c r="D903" s="17"/>
      <c r="E903" s="17"/>
      <c r="F903" s="17"/>
      <c r="G903" s="17"/>
      <c r="H903" s="16"/>
      <c r="I903" s="3" t="str">
        <f t="shared" si="22"/>
        <v/>
      </c>
    </row>
    <row r="904" spans="1:9" ht="13" x14ac:dyDescent="0.15">
      <c r="A904" s="17"/>
      <c r="B904" s="17"/>
      <c r="C904" s="17"/>
      <c r="D904" s="17"/>
      <c r="E904" s="17"/>
      <c r="F904" s="17"/>
      <c r="G904" s="17"/>
      <c r="H904" s="16"/>
      <c r="I904" s="3" t="str">
        <f t="shared" si="22"/>
        <v/>
      </c>
    </row>
    <row r="905" spans="1:9" ht="13" x14ac:dyDescent="0.15">
      <c r="A905" s="17"/>
      <c r="B905" s="17"/>
      <c r="C905" s="17"/>
      <c r="D905" s="17"/>
      <c r="E905" s="17"/>
      <c r="F905" s="17"/>
      <c r="G905" s="17"/>
      <c r="H905" s="16"/>
      <c r="I905" s="3" t="str">
        <f t="shared" si="22"/>
        <v/>
      </c>
    </row>
    <row r="906" spans="1:9" ht="13" x14ac:dyDescent="0.15">
      <c r="A906" s="17"/>
      <c r="B906" s="17"/>
      <c r="C906" s="17"/>
      <c r="D906" s="17"/>
      <c r="E906" s="17"/>
      <c r="F906" s="17"/>
      <c r="G906" s="17"/>
      <c r="H906" s="16"/>
      <c r="I906" s="3" t="str">
        <f t="shared" si="22"/>
        <v/>
      </c>
    </row>
    <row r="907" spans="1:9" ht="13" x14ac:dyDescent="0.15">
      <c r="A907" s="17"/>
      <c r="B907" s="17"/>
      <c r="C907" s="17"/>
      <c r="D907" s="17"/>
      <c r="E907" s="17"/>
      <c r="F907" s="17"/>
      <c r="G907" s="17"/>
      <c r="H907" s="16"/>
      <c r="I907" s="3" t="str">
        <f t="shared" si="22"/>
        <v/>
      </c>
    </row>
    <row r="908" spans="1:9" ht="13" x14ac:dyDescent="0.15">
      <c r="A908" s="17"/>
      <c r="B908" s="17"/>
      <c r="C908" s="17"/>
      <c r="D908" s="17"/>
      <c r="E908" s="17"/>
      <c r="F908" s="17"/>
      <c r="G908" s="17"/>
      <c r="H908" s="16"/>
      <c r="I908" s="3" t="str">
        <f t="shared" si="22"/>
        <v/>
      </c>
    </row>
    <row r="909" spans="1:9" ht="13" x14ac:dyDescent="0.15">
      <c r="A909" s="17"/>
      <c r="B909" s="17"/>
      <c r="C909" s="17"/>
      <c r="D909" s="17"/>
      <c r="E909" s="17"/>
      <c r="F909" s="17"/>
      <c r="G909" s="17"/>
      <c r="H909" s="16"/>
      <c r="I909" s="3" t="str">
        <f t="shared" si="22"/>
        <v/>
      </c>
    </row>
    <row r="910" spans="1:9" ht="13" x14ac:dyDescent="0.15">
      <c r="A910" s="17"/>
      <c r="B910" s="17"/>
      <c r="C910" s="17"/>
      <c r="D910" s="17"/>
      <c r="E910" s="17"/>
      <c r="F910" s="17"/>
      <c r="G910" s="17"/>
      <c r="H910" s="16"/>
      <c r="I910" s="3" t="str">
        <f t="shared" si="22"/>
        <v/>
      </c>
    </row>
    <row r="911" spans="1:9" ht="13" x14ac:dyDescent="0.15">
      <c r="A911" s="17"/>
      <c r="B911" s="17"/>
      <c r="C911" s="17"/>
      <c r="D911" s="17"/>
      <c r="E911" s="17"/>
      <c r="F911" s="17"/>
      <c r="G911" s="17"/>
      <c r="H911" s="16"/>
      <c r="I911" s="3" t="str">
        <f t="shared" si="22"/>
        <v/>
      </c>
    </row>
    <row r="912" spans="1:9" ht="13" x14ac:dyDescent="0.15">
      <c r="A912" s="17"/>
      <c r="B912" s="17"/>
      <c r="C912" s="17"/>
      <c r="D912" s="17"/>
      <c r="E912" s="17"/>
      <c r="F912" s="17"/>
      <c r="G912" s="17"/>
      <c r="H912" s="16"/>
      <c r="I912" s="3" t="str">
        <f t="shared" si="22"/>
        <v/>
      </c>
    </row>
    <row r="913" spans="1:8" ht="13" x14ac:dyDescent="0.15">
      <c r="A913" s="17"/>
      <c r="B913" s="17"/>
      <c r="C913" s="17"/>
      <c r="D913" s="17"/>
      <c r="E913" s="17"/>
      <c r="F913" s="17"/>
      <c r="G913" s="17"/>
      <c r="H913" s="16"/>
    </row>
    <row r="914" spans="1:8" ht="13" x14ac:dyDescent="0.15">
      <c r="A914" s="17"/>
      <c r="B914" s="17"/>
      <c r="C914" s="17"/>
      <c r="D914" s="17"/>
      <c r="E914" s="17"/>
      <c r="F914" s="17"/>
      <c r="G914" s="17"/>
      <c r="H914" s="16"/>
    </row>
    <row r="915" spans="1:8" ht="13" x14ac:dyDescent="0.15">
      <c r="A915" s="17"/>
      <c r="B915" s="17"/>
      <c r="C915" s="17"/>
      <c r="D915" s="17"/>
      <c r="E915" s="17"/>
      <c r="F915" s="17"/>
      <c r="G915" s="17"/>
      <c r="H915" s="16"/>
    </row>
    <row r="916" spans="1:8" ht="13" x14ac:dyDescent="0.15">
      <c r="A916" s="17"/>
      <c r="B916" s="17"/>
      <c r="C916" s="17"/>
      <c r="D916" s="17"/>
      <c r="E916" s="17"/>
      <c r="F916" s="17"/>
      <c r="G916" s="17"/>
      <c r="H916" s="16"/>
    </row>
    <row r="917" spans="1:8" ht="13" x14ac:dyDescent="0.15">
      <c r="A917" s="17"/>
      <c r="B917" s="17"/>
      <c r="C917" s="17"/>
      <c r="D917" s="17"/>
      <c r="E917" s="17"/>
      <c r="F917" s="17"/>
      <c r="G917" s="17"/>
      <c r="H917" s="16"/>
    </row>
    <row r="918" spans="1:8" ht="13" x14ac:dyDescent="0.15">
      <c r="A918" s="17"/>
      <c r="B918" s="17"/>
      <c r="C918" s="17"/>
      <c r="D918" s="17"/>
      <c r="E918" s="17"/>
      <c r="F918" s="17"/>
      <c r="G918" s="17"/>
      <c r="H918" s="16"/>
    </row>
    <row r="919" spans="1:8" ht="13" x14ac:dyDescent="0.15">
      <c r="A919" s="17"/>
      <c r="B919" s="17"/>
      <c r="C919" s="17"/>
      <c r="D919" s="17"/>
      <c r="E919" s="17"/>
      <c r="F919" s="17"/>
      <c r="G919" s="17"/>
      <c r="H919" s="16"/>
    </row>
    <row r="920" spans="1:8" ht="13" x14ac:dyDescent="0.15">
      <c r="A920" s="17"/>
      <c r="B920" s="17"/>
      <c r="C920" s="17"/>
      <c r="D920" s="17"/>
      <c r="E920" s="17"/>
      <c r="F920" s="17"/>
      <c r="G920" s="17"/>
      <c r="H920" s="16"/>
    </row>
    <row r="921" spans="1:8" ht="13" x14ac:dyDescent="0.15">
      <c r="A921" s="17"/>
      <c r="B921" s="17"/>
      <c r="C921" s="17"/>
      <c r="D921" s="17"/>
      <c r="E921" s="17"/>
      <c r="F921" s="17"/>
      <c r="G921" s="17"/>
      <c r="H921" s="16"/>
    </row>
    <row r="922" spans="1:8" ht="13" x14ac:dyDescent="0.15">
      <c r="A922" s="17"/>
      <c r="B922" s="17"/>
      <c r="C922" s="17"/>
      <c r="D922" s="17"/>
      <c r="E922" s="17"/>
      <c r="F922" s="17"/>
      <c r="G922" s="17"/>
      <c r="H922" s="16"/>
    </row>
    <row r="923" spans="1:8" ht="13" x14ac:dyDescent="0.15">
      <c r="A923" s="17"/>
      <c r="B923" s="17"/>
      <c r="C923" s="17"/>
      <c r="D923" s="17"/>
      <c r="E923" s="17"/>
      <c r="F923" s="17"/>
      <c r="G923" s="17"/>
      <c r="H923" s="16"/>
    </row>
    <row r="924" spans="1:8" ht="13" x14ac:dyDescent="0.15">
      <c r="A924" s="17"/>
      <c r="B924" s="17"/>
      <c r="C924" s="17"/>
      <c r="D924" s="17"/>
      <c r="E924" s="17"/>
      <c r="F924" s="17"/>
      <c r="G924" s="17"/>
      <c r="H924" s="16"/>
    </row>
    <row r="925" spans="1:8" ht="13" x14ac:dyDescent="0.15">
      <c r="A925" s="17"/>
      <c r="B925" s="17"/>
      <c r="C925" s="17"/>
      <c r="D925" s="17"/>
      <c r="E925" s="17"/>
      <c r="F925" s="17"/>
      <c r="G925" s="17"/>
      <c r="H925" s="16"/>
    </row>
    <row r="926" spans="1:8" ht="13" x14ac:dyDescent="0.15">
      <c r="A926" s="17"/>
      <c r="B926" s="17"/>
      <c r="C926" s="17"/>
      <c r="D926" s="17"/>
      <c r="E926" s="17"/>
      <c r="F926" s="17"/>
      <c r="G926" s="17"/>
      <c r="H926" s="16"/>
    </row>
    <row r="927" spans="1:8" ht="13" x14ac:dyDescent="0.15">
      <c r="A927" s="17"/>
      <c r="B927" s="17"/>
      <c r="C927" s="17"/>
      <c r="D927" s="17"/>
      <c r="E927" s="17"/>
      <c r="F927" s="17"/>
      <c r="G927" s="17"/>
      <c r="H927" s="16"/>
    </row>
    <row r="928" spans="1:8" ht="13" x14ac:dyDescent="0.15">
      <c r="A928" s="17"/>
      <c r="B928" s="17"/>
      <c r="C928" s="17"/>
      <c r="D928" s="17"/>
      <c r="E928" s="17"/>
      <c r="F928" s="17"/>
      <c r="G928" s="17"/>
      <c r="H928" s="16"/>
    </row>
    <row r="929" spans="1:8" ht="13" x14ac:dyDescent="0.15">
      <c r="A929" s="17"/>
      <c r="B929" s="17"/>
      <c r="C929" s="17"/>
      <c r="D929" s="17"/>
      <c r="E929" s="17"/>
      <c r="F929" s="17"/>
      <c r="G929" s="17"/>
      <c r="H929" s="16"/>
    </row>
    <row r="930" spans="1:8" ht="13" x14ac:dyDescent="0.15">
      <c r="A930" s="17"/>
      <c r="B930" s="17"/>
      <c r="C930" s="17"/>
      <c r="D930" s="17"/>
      <c r="E930" s="17"/>
      <c r="F930" s="17"/>
      <c r="G930" s="17"/>
      <c r="H930" s="16"/>
    </row>
    <row r="931" spans="1:8" ht="13" x14ac:dyDescent="0.15">
      <c r="A931" s="17"/>
      <c r="B931" s="17"/>
      <c r="C931" s="17"/>
      <c r="D931" s="17"/>
      <c r="E931" s="17"/>
      <c r="F931" s="17"/>
      <c r="G931" s="17"/>
      <c r="H931" s="16"/>
    </row>
    <row r="932" spans="1:8" ht="13" x14ac:dyDescent="0.15">
      <c r="A932" s="17"/>
      <c r="B932" s="17"/>
      <c r="C932" s="17"/>
      <c r="D932" s="17"/>
      <c r="E932" s="17"/>
      <c r="F932" s="17"/>
      <c r="G932" s="17"/>
      <c r="H932" s="16"/>
    </row>
    <row r="933" spans="1:8" ht="13" x14ac:dyDescent="0.15">
      <c r="A933" s="17"/>
      <c r="B933" s="17"/>
      <c r="C933" s="17"/>
      <c r="D933" s="17"/>
      <c r="E933" s="17"/>
      <c r="F933" s="17"/>
      <c r="G933" s="17"/>
      <c r="H933" s="16"/>
    </row>
    <row r="934" spans="1:8" ht="13" x14ac:dyDescent="0.15">
      <c r="A934" s="17"/>
      <c r="B934" s="17"/>
      <c r="C934" s="17"/>
      <c r="D934" s="17"/>
      <c r="E934" s="17"/>
      <c r="F934" s="17"/>
      <c r="G934" s="17"/>
      <c r="H934" s="16"/>
    </row>
    <row r="935" spans="1:8" ht="13" x14ac:dyDescent="0.15">
      <c r="A935" s="17"/>
      <c r="B935" s="17"/>
      <c r="C935" s="17"/>
      <c r="D935" s="17"/>
      <c r="E935" s="17"/>
      <c r="F935" s="17"/>
      <c r="G935" s="17"/>
      <c r="H935" s="16"/>
    </row>
    <row r="936" spans="1:8" ht="13" x14ac:dyDescent="0.15">
      <c r="A936" s="17"/>
      <c r="B936" s="17"/>
      <c r="C936" s="17"/>
      <c r="D936" s="17"/>
      <c r="E936" s="17"/>
      <c r="F936" s="17"/>
      <c r="G936" s="17"/>
      <c r="H936" s="16"/>
    </row>
    <row r="937" spans="1:8" ht="13" x14ac:dyDescent="0.15">
      <c r="A937" s="17"/>
      <c r="B937" s="17"/>
      <c r="C937" s="17"/>
      <c r="D937" s="17"/>
      <c r="E937" s="17"/>
      <c r="F937" s="17"/>
      <c r="G937" s="17"/>
      <c r="H937" s="16"/>
    </row>
    <row r="938" spans="1:8" ht="13" x14ac:dyDescent="0.15">
      <c r="A938" s="17"/>
      <c r="B938" s="17"/>
      <c r="C938" s="17"/>
      <c r="D938" s="17"/>
      <c r="E938" s="17"/>
      <c r="F938" s="17"/>
      <c r="G938" s="17"/>
      <c r="H938" s="16"/>
    </row>
    <row r="939" spans="1:8" ht="13" x14ac:dyDescent="0.15">
      <c r="A939" s="17"/>
      <c r="B939" s="17"/>
      <c r="C939" s="17"/>
      <c r="D939" s="17"/>
      <c r="E939" s="17"/>
      <c r="F939" s="17"/>
      <c r="G939" s="17"/>
      <c r="H939" s="16"/>
    </row>
    <row r="940" spans="1:8" ht="13" x14ac:dyDescent="0.15">
      <c r="A940" s="17"/>
      <c r="B940" s="17"/>
      <c r="C940" s="17"/>
      <c r="D940" s="17"/>
      <c r="E940" s="17"/>
      <c r="F940" s="17"/>
      <c r="G940" s="17"/>
      <c r="H940" s="16"/>
    </row>
    <row r="941" spans="1:8" ht="13" x14ac:dyDescent="0.15">
      <c r="A941" s="17"/>
      <c r="B941" s="17"/>
      <c r="C941" s="17"/>
      <c r="D941" s="17"/>
      <c r="E941" s="17"/>
      <c r="F941" s="17"/>
      <c r="G941" s="17"/>
      <c r="H941" s="16"/>
    </row>
    <row r="942" spans="1:8" ht="13" x14ac:dyDescent="0.15">
      <c r="A942" s="17"/>
      <c r="B942" s="17"/>
      <c r="C942" s="17"/>
      <c r="D942" s="17"/>
      <c r="E942" s="17"/>
      <c r="F942" s="17"/>
      <c r="G942" s="17"/>
      <c r="H942" s="16"/>
    </row>
    <row r="943" spans="1:8" ht="13" x14ac:dyDescent="0.15">
      <c r="A943" s="17"/>
      <c r="B943" s="17"/>
      <c r="C943" s="17"/>
      <c r="D943" s="17"/>
      <c r="E943" s="17"/>
      <c r="F943" s="17"/>
      <c r="G943" s="17"/>
      <c r="H943" s="16"/>
    </row>
    <row r="944" spans="1:8" ht="13" x14ac:dyDescent="0.15">
      <c r="A944" s="17"/>
      <c r="B944" s="17"/>
      <c r="C944" s="17"/>
      <c r="D944" s="17"/>
      <c r="E944" s="17"/>
      <c r="F944" s="17"/>
      <c r="G944" s="17"/>
      <c r="H944" s="16"/>
    </row>
    <row r="945" spans="1:8" ht="13" x14ac:dyDescent="0.15">
      <c r="A945" s="17"/>
      <c r="B945" s="17"/>
      <c r="C945" s="17"/>
      <c r="D945" s="17"/>
      <c r="E945" s="17"/>
      <c r="F945" s="17"/>
      <c r="G945" s="17"/>
      <c r="H945" s="16"/>
    </row>
    <row r="946" spans="1:8" ht="13" x14ac:dyDescent="0.15">
      <c r="A946" s="17"/>
      <c r="B946" s="17"/>
      <c r="C946" s="17"/>
      <c r="D946" s="17"/>
      <c r="E946" s="17"/>
      <c r="F946" s="17"/>
      <c r="G946" s="17"/>
      <c r="H946" s="16"/>
    </row>
    <row r="947" spans="1:8" ht="13" x14ac:dyDescent="0.15">
      <c r="A947" s="17"/>
      <c r="B947" s="17"/>
      <c r="C947" s="17"/>
      <c r="D947" s="17"/>
      <c r="E947" s="17"/>
      <c r="F947" s="17"/>
      <c r="G947" s="17"/>
      <c r="H947" s="16"/>
    </row>
    <row r="948" spans="1:8" ht="13" x14ac:dyDescent="0.15">
      <c r="A948" s="17"/>
      <c r="B948" s="17"/>
      <c r="C948" s="17"/>
      <c r="D948" s="17"/>
      <c r="E948" s="17"/>
      <c r="F948" s="17"/>
      <c r="G948" s="17"/>
      <c r="H948" s="16"/>
    </row>
    <row r="949" spans="1:8" ht="13" x14ac:dyDescent="0.15">
      <c r="A949" s="17"/>
      <c r="B949" s="17"/>
      <c r="C949" s="17"/>
      <c r="D949" s="17"/>
      <c r="E949" s="17"/>
      <c r="F949" s="17"/>
      <c r="G949" s="17"/>
      <c r="H949" s="16"/>
    </row>
    <row r="950" spans="1:8" ht="13" x14ac:dyDescent="0.15">
      <c r="A950" s="17"/>
      <c r="B950" s="17"/>
      <c r="C950" s="17"/>
      <c r="D950" s="17"/>
      <c r="E950" s="17"/>
      <c r="F950" s="17"/>
      <c r="G950" s="17"/>
      <c r="H950" s="16"/>
    </row>
    <row r="951" spans="1:8" ht="13" x14ac:dyDescent="0.15">
      <c r="A951" s="17"/>
      <c r="B951" s="17"/>
      <c r="C951" s="17"/>
      <c r="D951" s="17"/>
      <c r="E951" s="17"/>
      <c r="F951" s="17"/>
      <c r="G951" s="17"/>
      <c r="H951" s="16"/>
    </row>
    <row r="952" spans="1:8" ht="13" x14ac:dyDescent="0.15">
      <c r="A952" s="17"/>
      <c r="B952" s="17"/>
      <c r="C952" s="17"/>
      <c r="D952" s="17"/>
      <c r="E952" s="17"/>
      <c r="F952" s="17"/>
      <c r="G952" s="17"/>
      <c r="H952" s="16"/>
    </row>
    <row r="953" spans="1:8" ht="13" x14ac:dyDescent="0.15">
      <c r="A953" s="17"/>
      <c r="B953" s="17"/>
      <c r="C953" s="17"/>
      <c r="D953" s="17"/>
      <c r="E953" s="17"/>
      <c r="F953" s="17"/>
      <c r="G953" s="17"/>
      <c r="H953" s="16"/>
    </row>
    <row r="954" spans="1:8" ht="13" x14ac:dyDescent="0.15">
      <c r="A954" s="17"/>
      <c r="B954" s="17"/>
      <c r="C954" s="17"/>
      <c r="D954" s="17"/>
      <c r="E954" s="17"/>
      <c r="F954" s="17"/>
      <c r="G954" s="17"/>
      <c r="H954" s="16"/>
    </row>
    <row r="955" spans="1:8" ht="13" x14ac:dyDescent="0.15">
      <c r="A955" s="17"/>
      <c r="B955" s="17"/>
      <c r="C955" s="17"/>
      <c r="D955" s="17"/>
      <c r="E955" s="17"/>
      <c r="F955" s="17"/>
      <c r="G955" s="17"/>
      <c r="H955" s="16"/>
    </row>
    <row r="956" spans="1:8" ht="13" x14ac:dyDescent="0.15">
      <c r="A956" s="17"/>
      <c r="B956" s="17"/>
      <c r="C956" s="17"/>
      <c r="D956" s="17"/>
      <c r="E956" s="17"/>
      <c r="F956" s="17"/>
      <c r="G956" s="17"/>
      <c r="H956" s="16"/>
    </row>
    <row r="957" spans="1:8" ht="13" x14ac:dyDescent="0.15">
      <c r="A957" s="17"/>
      <c r="B957" s="17"/>
      <c r="C957" s="17"/>
      <c r="D957" s="17"/>
      <c r="E957" s="17"/>
      <c r="F957" s="17"/>
      <c r="G957" s="17"/>
      <c r="H957" s="16"/>
    </row>
    <row r="958" spans="1:8" ht="13" x14ac:dyDescent="0.15">
      <c r="A958" s="17"/>
      <c r="B958" s="17"/>
      <c r="C958" s="17"/>
      <c r="D958" s="17"/>
      <c r="E958" s="17"/>
      <c r="F958" s="17"/>
      <c r="G958" s="17"/>
      <c r="H958" s="16"/>
    </row>
    <row r="959" spans="1:8" ht="13" x14ac:dyDescent="0.15">
      <c r="A959" s="17"/>
      <c r="B959" s="17"/>
      <c r="C959" s="17"/>
      <c r="D959" s="17"/>
      <c r="E959" s="17"/>
      <c r="F959" s="17"/>
      <c r="G959" s="17"/>
      <c r="H959" s="16"/>
    </row>
    <row r="960" spans="1:8" ht="13" x14ac:dyDescent="0.15">
      <c r="A960" s="17"/>
      <c r="B960" s="17"/>
      <c r="C960" s="17"/>
      <c r="D960" s="17"/>
      <c r="E960" s="17"/>
      <c r="F960" s="17"/>
      <c r="G960" s="17"/>
      <c r="H960" s="16"/>
    </row>
    <row r="961" spans="1:8" ht="13" x14ac:dyDescent="0.15">
      <c r="A961" s="17"/>
      <c r="B961" s="17"/>
      <c r="C961" s="17"/>
      <c r="D961" s="17"/>
      <c r="E961" s="17"/>
      <c r="F961" s="17"/>
      <c r="G961" s="17"/>
      <c r="H961" s="16"/>
    </row>
    <row r="962" spans="1:8" ht="13" x14ac:dyDescent="0.15">
      <c r="A962" s="17"/>
      <c r="B962" s="17"/>
      <c r="C962" s="17"/>
      <c r="D962" s="17"/>
      <c r="E962" s="17"/>
      <c r="F962" s="17"/>
      <c r="G962" s="17"/>
      <c r="H962" s="16"/>
    </row>
    <row r="963" spans="1:8" ht="13" x14ac:dyDescent="0.15">
      <c r="A963" s="17"/>
      <c r="B963" s="17"/>
      <c r="C963" s="17"/>
      <c r="D963" s="17"/>
      <c r="E963" s="17"/>
      <c r="F963" s="17"/>
      <c r="G963" s="17"/>
      <c r="H963" s="16"/>
    </row>
    <row r="964" spans="1:8" ht="13" x14ac:dyDescent="0.15">
      <c r="A964" s="17"/>
      <c r="B964" s="17"/>
      <c r="C964" s="17"/>
      <c r="D964" s="17"/>
      <c r="E964" s="17"/>
      <c r="F964" s="17"/>
      <c r="G964" s="17"/>
      <c r="H964" s="16"/>
    </row>
    <row r="965" spans="1:8" ht="13" x14ac:dyDescent="0.15">
      <c r="A965" s="17"/>
      <c r="B965" s="17"/>
      <c r="C965" s="17"/>
      <c r="D965" s="17"/>
      <c r="E965" s="17"/>
      <c r="F965" s="17"/>
      <c r="G965" s="17"/>
      <c r="H965" s="16"/>
    </row>
    <row r="966" spans="1:8" ht="13" x14ac:dyDescent="0.15">
      <c r="A966" s="17"/>
      <c r="B966" s="17"/>
      <c r="C966" s="17"/>
      <c r="D966" s="17"/>
      <c r="E966" s="17"/>
      <c r="F966" s="17"/>
      <c r="G966" s="17"/>
      <c r="H966" s="16"/>
    </row>
    <row r="967" spans="1:8" ht="13" x14ac:dyDescent="0.15">
      <c r="A967" s="17"/>
      <c r="B967" s="17"/>
      <c r="C967" s="17"/>
      <c r="D967" s="17"/>
      <c r="E967" s="17"/>
      <c r="F967" s="17"/>
      <c r="G967" s="17"/>
      <c r="H967" s="16"/>
    </row>
    <row r="968" spans="1:8" ht="13" x14ac:dyDescent="0.15">
      <c r="A968" s="17"/>
      <c r="B968" s="17"/>
      <c r="C968" s="17"/>
      <c r="D968" s="17"/>
      <c r="E968" s="17"/>
      <c r="F968" s="17"/>
      <c r="G968" s="17"/>
      <c r="H968" s="16"/>
    </row>
    <row r="969" spans="1:8" ht="13" x14ac:dyDescent="0.15">
      <c r="A969" s="17"/>
      <c r="B969" s="17"/>
      <c r="C969" s="17"/>
      <c r="D969" s="17"/>
      <c r="E969" s="17"/>
      <c r="F969" s="17"/>
      <c r="G969" s="17"/>
      <c r="H969" s="16"/>
    </row>
    <row r="970" spans="1:8" ht="13" x14ac:dyDescent="0.15">
      <c r="A970" s="17"/>
      <c r="B970" s="17"/>
      <c r="C970" s="17"/>
      <c r="D970" s="17"/>
      <c r="E970" s="17"/>
      <c r="F970" s="17"/>
      <c r="G970" s="17"/>
      <c r="H970" s="16"/>
    </row>
    <row r="971" spans="1:8" ht="13" x14ac:dyDescent="0.15">
      <c r="A971" s="17"/>
      <c r="B971" s="17"/>
      <c r="C971" s="17"/>
      <c r="D971" s="17"/>
      <c r="E971" s="17"/>
      <c r="F971" s="17"/>
      <c r="G971" s="17"/>
      <c r="H971" s="16"/>
    </row>
    <row r="972" spans="1:8" ht="13" x14ac:dyDescent="0.15">
      <c r="A972" s="17"/>
      <c r="B972" s="17"/>
      <c r="C972" s="17"/>
      <c r="D972" s="17"/>
      <c r="E972" s="17"/>
      <c r="F972" s="17"/>
      <c r="G972" s="17"/>
      <c r="H972" s="16"/>
    </row>
    <row r="973" spans="1:8" ht="13" x14ac:dyDescent="0.15">
      <c r="A973" s="17"/>
      <c r="B973" s="17"/>
      <c r="C973" s="17"/>
      <c r="D973" s="17"/>
      <c r="E973" s="17"/>
      <c r="F973" s="17"/>
      <c r="G973" s="17"/>
      <c r="H973" s="16"/>
    </row>
    <row r="974" spans="1:8" ht="13" x14ac:dyDescent="0.15">
      <c r="A974" s="17"/>
      <c r="B974" s="17"/>
      <c r="C974" s="17"/>
      <c r="D974" s="17"/>
      <c r="E974" s="17"/>
      <c r="F974" s="17"/>
      <c r="G974" s="17"/>
      <c r="H974" s="16"/>
    </row>
    <row r="975" spans="1:8" ht="13" x14ac:dyDescent="0.15">
      <c r="A975" s="17"/>
      <c r="B975" s="17"/>
      <c r="C975" s="17"/>
      <c r="D975" s="17"/>
      <c r="E975" s="17"/>
      <c r="F975" s="17"/>
      <c r="G975" s="17"/>
      <c r="H975" s="16"/>
    </row>
    <row r="976" spans="1:8" ht="13" x14ac:dyDescent="0.15">
      <c r="A976" s="17"/>
      <c r="B976" s="17"/>
      <c r="C976" s="17"/>
      <c r="D976" s="17"/>
      <c r="E976" s="17"/>
      <c r="F976" s="17"/>
      <c r="G976" s="17"/>
      <c r="H976" s="16"/>
    </row>
    <row r="977" spans="1:8" ht="13" x14ac:dyDescent="0.15">
      <c r="A977" s="17"/>
      <c r="B977" s="17"/>
      <c r="C977" s="17"/>
      <c r="D977" s="17"/>
      <c r="E977" s="17"/>
      <c r="F977" s="17"/>
      <c r="G977" s="17"/>
      <c r="H977" s="16"/>
    </row>
    <row r="978" spans="1:8" ht="13" x14ac:dyDescent="0.15">
      <c r="A978" s="17"/>
      <c r="B978" s="17"/>
      <c r="C978" s="17"/>
      <c r="D978" s="17"/>
      <c r="E978" s="17"/>
      <c r="F978" s="17"/>
      <c r="G978" s="17"/>
      <c r="H978" s="16"/>
    </row>
    <row r="979" spans="1:8" ht="13" x14ac:dyDescent="0.15">
      <c r="A979" s="17"/>
      <c r="B979" s="17"/>
      <c r="C979" s="17"/>
      <c r="D979" s="17"/>
      <c r="E979" s="17"/>
      <c r="F979" s="17"/>
      <c r="G979" s="17"/>
      <c r="H979" s="16"/>
    </row>
    <row r="980" spans="1:8" ht="13" x14ac:dyDescent="0.15">
      <c r="A980" s="17"/>
      <c r="B980" s="17"/>
      <c r="C980" s="17"/>
      <c r="D980" s="17"/>
      <c r="E980" s="17"/>
      <c r="F980" s="17"/>
      <c r="G980" s="17"/>
      <c r="H980" s="16"/>
    </row>
    <row r="981" spans="1:8" ht="13" x14ac:dyDescent="0.15">
      <c r="A981" s="17"/>
      <c r="B981" s="17"/>
      <c r="C981" s="17"/>
      <c r="D981" s="17"/>
      <c r="E981" s="17"/>
      <c r="F981" s="17"/>
      <c r="G981" s="17"/>
      <c r="H981" s="16"/>
    </row>
    <row r="982" spans="1:8" ht="13" x14ac:dyDescent="0.15">
      <c r="A982" s="17"/>
      <c r="B982" s="17"/>
      <c r="C982" s="17"/>
      <c r="D982" s="17"/>
      <c r="E982" s="17"/>
      <c r="F982" s="17"/>
      <c r="G982" s="17"/>
      <c r="H982" s="16"/>
    </row>
    <row r="983" spans="1:8" ht="13" x14ac:dyDescent="0.15">
      <c r="A983" s="17"/>
      <c r="B983" s="17"/>
      <c r="C983" s="17"/>
      <c r="D983" s="17"/>
      <c r="E983" s="17"/>
      <c r="F983" s="17"/>
      <c r="G983" s="17"/>
      <c r="H983" s="16"/>
    </row>
    <row r="984" spans="1:8" ht="13" x14ac:dyDescent="0.15">
      <c r="A984" s="17"/>
      <c r="B984" s="17"/>
      <c r="C984" s="17"/>
      <c r="D984" s="17"/>
      <c r="E984" s="17"/>
      <c r="F984" s="17"/>
      <c r="G984" s="17"/>
      <c r="H984" s="16"/>
    </row>
    <row r="985" spans="1:8" ht="13" x14ac:dyDescent="0.15">
      <c r="A985" s="17"/>
      <c r="B985" s="17"/>
      <c r="C985" s="17"/>
      <c r="D985" s="17"/>
      <c r="E985" s="17"/>
      <c r="F985" s="17"/>
      <c r="G985" s="17"/>
      <c r="H985" s="16"/>
    </row>
    <row r="986" spans="1:8" ht="13" x14ac:dyDescent="0.15">
      <c r="A986" s="17"/>
      <c r="B986" s="17"/>
      <c r="C986" s="17"/>
      <c r="D986" s="17"/>
      <c r="E986" s="17"/>
      <c r="F986" s="17"/>
      <c r="G986" s="17"/>
      <c r="H986" s="16"/>
    </row>
    <row r="987" spans="1:8" ht="13" x14ac:dyDescent="0.15">
      <c r="A987" s="17"/>
      <c r="B987" s="17"/>
      <c r="C987" s="17"/>
      <c r="D987" s="17"/>
      <c r="E987" s="17"/>
      <c r="F987" s="17"/>
      <c r="G987" s="17"/>
      <c r="H987" s="16"/>
    </row>
    <row r="988" spans="1:8" ht="13" x14ac:dyDescent="0.15">
      <c r="A988" s="17"/>
      <c r="B988" s="17"/>
      <c r="C988" s="17"/>
      <c r="D988" s="17"/>
      <c r="E988" s="17"/>
      <c r="F988" s="17"/>
      <c r="G988" s="17"/>
      <c r="H988" s="16"/>
    </row>
    <row r="989" spans="1:8" ht="13" x14ac:dyDescent="0.15">
      <c r="A989" s="17"/>
      <c r="B989" s="17"/>
      <c r="C989" s="17"/>
      <c r="D989" s="17"/>
      <c r="E989" s="17"/>
      <c r="F989" s="17"/>
      <c r="G989" s="17"/>
      <c r="H989" s="16"/>
    </row>
    <row r="990" spans="1:8" ht="13" x14ac:dyDescent="0.15">
      <c r="A990" s="17"/>
      <c r="B990" s="17"/>
      <c r="C990" s="17"/>
      <c r="D990" s="17"/>
      <c r="E990" s="17"/>
      <c r="F990" s="17"/>
      <c r="G990" s="17"/>
      <c r="H990" s="16"/>
    </row>
    <row r="991" spans="1:8" ht="13" x14ac:dyDescent="0.15">
      <c r="A991" s="17"/>
      <c r="B991" s="17"/>
      <c r="C991" s="17"/>
      <c r="D991" s="17"/>
      <c r="E991" s="17"/>
      <c r="F991" s="17"/>
      <c r="G991" s="17"/>
      <c r="H991" s="16"/>
    </row>
    <row r="992" spans="1:8" ht="13" x14ac:dyDescent="0.15">
      <c r="A992" s="17"/>
      <c r="B992" s="17"/>
      <c r="C992" s="17"/>
      <c r="D992" s="17"/>
      <c r="E992" s="17"/>
      <c r="F992" s="17"/>
      <c r="G992" s="17"/>
      <c r="H992" s="16"/>
    </row>
    <row r="993" spans="1:8" ht="13" x14ac:dyDescent="0.15">
      <c r="A993" s="17"/>
      <c r="B993" s="17"/>
      <c r="C993" s="17"/>
      <c r="D993" s="17"/>
      <c r="E993" s="17"/>
      <c r="F993" s="17"/>
      <c r="G993" s="17"/>
      <c r="H993" s="16"/>
    </row>
    <row r="994" spans="1:8" ht="13" x14ac:dyDescent="0.15">
      <c r="A994" s="17"/>
      <c r="B994" s="17"/>
      <c r="C994" s="17"/>
      <c r="D994" s="17"/>
      <c r="E994" s="17"/>
      <c r="F994" s="17"/>
      <c r="G994" s="17"/>
      <c r="H994" s="16"/>
    </row>
    <row r="995" spans="1:8" ht="13" x14ac:dyDescent="0.15">
      <c r="A995" s="17"/>
      <c r="B995" s="17"/>
      <c r="C995" s="17"/>
      <c r="D995" s="17"/>
      <c r="E995" s="17"/>
      <c r="F995" s="17"/>
      <c r="G995" s="17"/>
      <c r="H995" s="16"/>
    </row>
    <row r="996" spans="1:8" ht="13" x14ac:dyDescent="0.15">
      <c r="A996" s="17"/>
      <c r="B996" s="17"/>
      <c r="C996" s="17"/>
      <c r="D996" s="17"/>
      <c r="E996" s="17"/>
      <c r="F996" s="17"/>
      <c r="G996" s="17"/>
      <c r="H996" s="16"/>
    </row>
    <row r="997" spans="1:8" ht="13" x14ac:dyDescent="0.15">
      <c r="A997" s="17"/>
      <c r="B997" s="17"/>
      <c r="C997" s="17"/>
      <c r="D997" s="17"/>
      <c r="E997" s="17"/>
      <c r="F997" s="17"/>
      <c r="G997" s="17"/>
      <c r="H997" s="16"/>
    </row>
    <row r="998" spans="1:8" ht="13" x14ac:dyDescent="0.15">
      <c r="A998" s="17"/>
      <c r="B998" s="17"/>
      <c r="C998" s="17"/>
      <c r="D998" s="17"/>
      <c r="E998" s="17"/>
      <c r="F998" s="17"/>
      <c r="G998" s="17"/>
      <c r="H998" s="16"/>
    </row>
    <row r="999" spans="1:8" ht="13" x14ac:dyDescent="0.15">
      <c r="A999" s="17"/>
      <c r="B999" s="17"/>
      <c r="C999" s="17"/>
      <c r="D999" s="17"/>
      <c r="E999" s="17"/>
      <c r="F999" s="17"/>
      <c r="G999" s="17"/>
      <c r="H999" s="16"/>
    </row>
    <row r="1000" spans="1:8" ht="13" x14ac:dyDescent="0.15">
      <c r="A1000" s="17"/>
      <c r="B1000" s="17"/>
      <c r="C1000" s="17"/>
      <c r="D1000" s="17"/>
      <c r="E1000" s="17"/>
      <c r="F1000" s="17"/>
      <c r="G1000" s="17"/>
      <c r="H1000" s="16"/>
    </row>
    <row r="1001" spans="1:8" ht="13" x14ac:dyDescent="0.15">
      <c r="H1001" s="16"/>
    </row>
    <row r="1002" spans="1:8" ht="13" x14ac:dyDescent="0.15">
      <c r="H1002" s="16"/>
    </row>
    <row r="1003" spans="1:8" ht="13" x14ac:dyDescent="0.15">
      <c r="H1003" s="16"/>
    </row>
    <row r="1004" spans="1:8" ht="13" x14ac:dyDescent="0.15">
      <c r="H1004" s="16"/>
    </row>
    <row r="1005" spans="1:8" ht="13" x14ac:dyDescent="0.15">
      <c r="H1005" s="16"/>
    </row>
    <row r="1006" spans="1:8" ht="13" x14ac:dyDescent="0.15">
      <c r="H1006" s="16"/>
    </row>
    <row r="1007" spans="1:8" ht="13" x14ac:dyDescent="0.15">
      <c r="H1007" s="16"/>
    </row>
    <row r="1008" spans="1:8" ht="13" x14ac:dyDescent="0.15">
      <c r="H1008" s="16"/>
    </row>
    <row r="1009" spans="8:8" ht="13" x14ac:dyDescent="0.15">
      <c r="H1009" s="16"/>
    </row>
    <row r="1010" spans="8:8" ht="13" x14ac:dyDescent="0.15">
      <c r="H1010" s="16"/>
    </row>
    <row r="1011" spans="8:8" ht="13" x14ac:dyDescent="0.15">
      <c r="H1011" s="16"/>
    </row>
    <row r="1012" spans="8:8" ht="13" x14ac:dyDescent="0.15">
      <c r="H1012" s="16"/>
    </row>
    <row r="1013" spans="8:8" ht="13" x14ac:dyDescent="0.15">
      <c r="H1013" s="16"/>
    </row>
    <row r="1014" spans="8:8" ht="13" x14ac:dyDescent="0.15">
      <c r="H1014" s="16"/>
    </row>
    <row r="1015" spans="8:8" ht="13" x14ac:dyDescent="0.15">
      <c r="H1015" s="16"/>
    </row>
    <row r="1016" spans="8:8" ht="13" x14ac:dyDescent="0.15">
      <c r="H1016" s="16"/>
    </row>
    <row r="1017" spans="8:8" ht="13" x14ac:dyDescent="0.15">
      <c r="H1017" s="16"/>
    </row>
    <row r="1018" spans="8:8" ht="13" x14ac:dyDescent="0.15">
      <c r="H1018" s="16"/>
    </row>
    <row r="1019" spans="8:8" ht="13" x14ac:dyDescent="0.15">
      <c r="H1019" s="16"/>
    </row>
    <row r="1020" spans="8:8" ht="13" x14ac:dyDescent="0.15">
      <c r="H1020" s="16"/>
    </row>
    <row r="1021" spans="8:8" ht="13" x14ac:dyDescent="0.15">
      <c r="H1021" s="16"/>
    </row>
    <row r="1022" spans="8:8" ht="13" x14ac:dyDescent="0.15">
      <c r="H1022" s="16"/>
    </row>
    <row r="1023" spans="8:8" ht="13" x14ac:dyDescent="0.15">
      <c r="H1023" s="16"/>
    </row>
    <row r="1024" spans="8:8" ht="13" x14ac:dyDescent="0.15">
      <c r="H1024" s="16"/>
    </row>
    <row r="1025" spans="8:8" ht="13" x14ac:dyDescent="0.15">
      <c r="H1025" s="16"/>
    </row>
    <row r="1026" spans="8:8" ht="13" x14ac:dyDescent="0.15">
      <c r="H1026" s="16"/>
    </row>
    <row r="1027" spans="8:8" ht="13" x14ac:dyDescent="0.15">
      <c r="H1027" s="16"/>
    </row>
    <row r="1028" spans="8:8" ht="13" x14ac:dyDescent="0.15">
      <c r="H1028" s="16"/>
    </row>
    <row r="1029" spans="8:8" ht="13" x14ac:dyDescent="0.15">
      <c r="H1029" s="16"/>
    </row>
    <row r="1030" spans="8:8" ht="13" x14ac:dyDescent="0.15">
      <c r="H1030" s="16"/>
    </row>
    <row r="1031" spans="8:8" ht="13" x14ac:dyDescent="0.15">
      <c r="H1031" s="16"/>
    </row>
    <row r="1032" spans="8:8" ht="13" x14ac:dyDescent="0.15">
      <c r="H1032" s="16"/>
    </row>
    <row r="1033" spans="8:8" ht="13" x14ac:dyDescent="0.15">
      <c r="H1033" s="16"/>
    </row>
    <row r="1034" spans="8:8" ht="13" x14ac:dyDescent="0.15">
      <c r="H1034" s="16"/>
    </row>
    <row r="1035" spans="8:8" ht="13" x14ac:dyDescent="0.15">
      <c r="H1035" s="16"/>
    </row>
    <row r="1036" spans="8:8" ht="13" x14ac:dyDescent="0.15">
      <c r="H1036" s="16"/>
    </row>
    <row r="1037" spans="8:8" ht="13" x14ac:dyDescent="0.15">
      <c r="H1037" s="16"/>
    </row>
    <row r="1038" spans="8:8" ht="13" x14ac:dyDescent="0.15">
      <c r="H1038" s="16"/>
    </row>
    <row r="1039" spans="8:8" ht="13" x14ac:dyDescent="0.15">
      <c r="H1039" s="16"/>
    </row>
    <row r="1040" spans="8:8" ht="13" x14ac:dyDescent="0.15">
      <c r="H1040" s="16"/>
    </row>
    <row r="1041" spans="8:8" ht="13" x14ac:dyDescent="0.15">
      <c r="H1041" s="16"/>
    </row>
    <row r="1042" spans="8:8" ht="13" x14ac:dyDescent="0.15">
      <c r="H1042" s="16"/>
    </row>
    <row r="1043" spans="8:8" ht="13" x14ac:dyDescent="0.15">
      <c r="H1043" s="16"/>
    </row>
    <row r="1044" spans="8:8" ht="13" x14ac:dyDescent="0.15">
      <c r="H1044" s="16"/>
    </row>
    <row r="1045" spans="8:8" ht="13" x14ac:dyDescent="0.15">
      <c r="H1045" s="16"/>
    </row>
    <row r="1046" spans="8:8" ht="13" x14ac:dyDescent="0.15">
      <c r="H1046" s="16"/>
    </row>
    <row r="1047" spans="8:8" ht="13" x14ac:dyDescent="0.15">
      <c r="H1047" s="16"/>
    </row>
    <row r="1048" spans="8:8" ht="13" x14ac:dyDescent="0.15">
      <c r="H1048" s="16"/>
    </row>
    <row r="1049" spans="8:8" ht="13" x14ac:dyDescent="0.15">
      <c r="H1049" s="16"/>
    </row>
    <row r="1050" spans="8:8" ht="13" x14ac:dyDescent="0.15">
      <c r="H1050" s="16"/>
    </row>
    <row r="1051" spans="8:8" ht="13" x14ac:dyDescent="0.15">
      <c r="H1051" s="16"/>
    </row>
    <row r="1052" spans="8:8" ht="13" x14ac:dyDescent="0.15">
      <c r="H1052" s="16"/>
    </row>
    <row r="1053" spans="8:8" ht="13" x14ac:dyDescent="0.15">
      <c r="H1053" s="16"/>
    </row>
    <row r="1054" spans="8:8" ht="13" x14ac:dyDescent="0.15">
      <c r="H1054" s="16"/>
    </row>
    <row r="1055" spans="8:8" ht="13" x14ac:dyDescent="0.15">
      <c r="H1055" s="16"/>
    </row>
    <row r="1056" spans="8:8" ht="13" x14ac:dyDescent="0.15">
      <c r="H1056" s="16"/>
    </row>
    <row r="1057" spans="8:8" ht="13" x14ac:dyDescent="0.15">
      <c r="H1057" s="16"/>
    </row>
    <row r="1058" spans="8:8" ht="13" x14ac:dyDescent="0.15">
      <c r="H1058" s="16"/>
    </row>
    <row r="1059" spans="8:8" ht="13" x14ac:dyDescent="0.15">
      <c r="H1059" s="16"/>
    </row>
    <row r="1060" spans="8:8" ht="13" x14ac:dyDescent="0.15">
      <c r="H1060" s="16"/>
    </row>
    <row r="1061" spans="8:8" ht="13" x14ac:dyDescent="0.15">
      <c r="H1061" s="16"/>
    </row>
    <row r="1062" spans="8:8" ht="13" x14ac:dyDescent="0.15">
      <c r="H1062" s="16"/>
    </row>
    <row r="1063" spans="8:8" ht="13" x14ac:dyDescent="0.15">
      <c r="H1063" s="16"/>
    </row>
    <row r="1064" spans="8:8" ht="13" x14ac:dyDescent="0.15">
      <c r="H1064" s="16"/>
    </row>
    <row r="1065" spans="8:8" ht="13" x14ac:dyDescent="0.15">
      <c r="H1065" s="16"/>
    </row>
    <row r="1066" spans="8:8" ht="13" x14ac:dyDescent="0.15">
      <c r="H1066" s="16"/>
    </row>
    <row r="1067" spans="8:8" ht="13" x14ac:dyDescent="0.15">
      <c r="H1067" s="16"/>
    </row>
    <row r="1068" spans="8:8" ht="13" x14ac:dyDescent="0.15">
      <c r="H1068" s="16"/>
    </row>
    <row r="1069" spans="8:8" ht="13" x14ac:dyDescent="0.15">
      <c r="H1069" s="16"/>
    </row>
    <row r="1070" spans="8:8" ht="13" x14ac:dyDescent="0.15">
      <c r="H1070" s="16"/>
    </row>
    <row r="1071" spans="8:8" ht="13" x14ac:dyDescent="0.15">
      <c r="H1071" s="16"/>
    </row>
    <row r="1072" spans="8:8" ht="13" x14ac:dyDescent="0.15">
      <c r="H1072" s="16"/>
    </row>
    <row r="1073" spans="8:8" ht="13" x14ac:dyDescent="0.15">
      <c r="H1073" s="16"/>
    </row>
    <row r="1074" spans="8:8" ht="13" x14ac:dyDescent="0.15">
      <c r="H1074" s="16"/>
    </row>
    <row r="1075" spans="8:8" ht="13" x14ac:dyDescent="0.15">
      <c r="H1075" s="16"/>
    </row>
    <row r="1076" spans="8:8" ht="13" x14ac:dyDescent="0.15">
      <c r="H1076" s="16"/>
    </row>
    <row r="1077" spans="8:8" ht="13" x14ac:dyDescent="0.15">
      <c r="H1077" s="16"/>
    </row>
    <row r="1078" spans="8:8" ht="13" x14ac:dyDescent="0.15">
      <c r="H1078" s="16"/>
    </row>
    <row r="1079" spans="8:8" ht="13" x14ac:dyDescent="0.15">
      <c r="H1079" s="16"/>
    </row>
    <row r="1080" spans="8:8" ht="13" x14ac:dyDescent="0.15">
      <c r="H1080" s="16"/>
    </row>
    <row r="1081" spans="8:8" ht="13" x14ac:dyDescent="0.15">
      <c r="H1081" s="16"/>
    </row>
    <row r="1082" spans="8:8" ht="13" x14ac:dyDescent="0.15">
      <c r="H1082" s="16"/>
    </row>
    <row r="1083" spans="8:8" ht="13" x14ac:dyDescent="0.15">
      <c r="H1083" s="16"/>
    </row>
    <row r="1084" spans="8:8" ht="13" x14ac:dyDescent="0.15">
      <c r="H1084" s="16"/>
    </row>
    <row r="1085" spans="8:8" ht="13" x14ac:dyDescent="0.15">
      <c r="H1085" s="16"/>
    </row>
    <row r="1086" spans="8:8" ht="13" x14ac:dyDescent="0.15">
      <c r="H1086" s="16"/>
    </row>
    <row r="1087" spans="8:8" ht="13" x14ac:dyDescent="0.15">
      <c r="H1087" s="16"/>
    </row>
    <row r="1088" spans="8:8" ht="13" x14ac:dyDescent="0.15">
      <c r="H1088" s="16"/>
    </row>
    <row r="1089" spans="8:8" ht="13" x14ac:dyDescent="0.15">
      <c r="H1089" s="16"/>
    </row>
    <row r="1090" spans="8:8" ht="13" x14ac:dyDescent="0.15">
      <c r="H1090" s="16"/>
    </row>
    <row r="1091" spans="8:8" ht="13" x14ac:dyDescent="0.15">
      <c r="H1091" s="16"/>
    </row>
    <row r="1092" spans="8:8" ht="13" x14ac:dyDescent="0.15">
      <c r="H1092" s="16"/>
    </row>
    <row r="1093" spans="8:8" ht="13" x14ac:dyDescent="0.15">
      <c r="H1093" s="16"/>
    </row>
    <row r="1094" spans="8:8" ht="13" x14ac:dyDescent="0.15">
      <c r="H1094" s="16"/>
    </row>
    <row r="1095" spans="8:8" ht="13" x14ac:dyDescent="0.15">
      <c r="H1095" s="16"/>
    </row>
    <row r="1096" spans="8:8" ht="13" x14ac:dyDescent="0.15">
      <c r="H1096" s="16"/>
    </row>
    <row r="1097" spans="8:8" ht="13" x14ac:dyDescent="0.15">
      <c r="H1097" s="16"/>
    </row>
    <row r="1098" spans="8:8" ht="13" x14ac:dyDescent="0.15">
      <c r="H1098" s="16"/>
    </row>
    <row r="1099" spans="8:8" ht="13" x14ac:dyDescent="0.15">
      <c r="H1099" s="16"/>
    </row>
    <row r="1100" spans="8:8" ht="13" x14ac:dyDescent="0.15">
      <c r="H1100" s="16"/>
    </row>
    <row r="1101" spans="8:8" ht="13" x14ac:dyDescent="0.15">
      <c r="H1101" s="16"/>
    </row>
    <row r="1102" spans="8:8" ht="13" x14ac:dyDescent="0.15">
      <c r="H1102" s="16"/>
    </row>
    <row r="1103" spans="8:8" ht="13" x14ac:dyDescent="0.15">
      <c r="H1103" s="16"/>
    </row>
    <row r="1104" spans="8:8" ht="13" x14ac:dyDescent="0.15">
      <c r="H1104" s="16"/>
    </row>
    <row r="1105" spans="8:8" ht="13" x14ac:dyDescent="0.15">
      <c r="H1105" s="16"/>
    </row>
    <row r="1106" spans="8:8" ht="13" x14ac:dyDescent="0.15">
      <c r="H1106" s="16"/>
    </row>
    <row r="1107" spans="8:8" ht="13" x14ac:dyDescent="0.15">
      <c r="H1107" s="16"/>
    </row>
    <row r="1108" spans="8:8" ht="13" x14ac:dyDescent="0.15">
      <c r="H1108" s="16"/>
    </row>
    <row r="1109" spans="8:8" ht="13" x14ac:dyDescent="0.15">
      <c r="H1109" s="16"/>
    </row>
    <row r="1110" spans="8:8" ht="13" x14ac:dyDescent="0.15">
      <c r="H1110" s="16"/>
    </row>
    <row r="1111" spans="8:8" ht="13" x14ac:dyDescent="0.15">
      <c r="H1111" s="16"/>
    </row>
    <row r="1112" spans="8:8" ht="13" x14ac:dyDescent="0.15">
      <c r="H1112" s="16"/>
    </row>
    <row r="1113" spans="8:8" ht="13" x14ac:dyDescent="0.15">
      <c r="H1113" s="16"/>
    </row>
    <row r="1114" spans="8:8" ht="13" x14ac:dyDescent="0.15">
      <c r="H1114" s="16"/>
    </row>
    <row r="1115" spans="8:8" ht="13" x14ac:dyDescent="0.15">
      <c r="H1115" s="16"/>
    </row>
    <row r="1116" spans="8:8" ht="13" x14ac:dyDescent="0.15">
      <c r="H1116" s="16"/>
    </row>
    <row r="1117" spans="8:8" ht="13" x14ac:dyDescent="0.15">
      <c r="H1117" s="16"/>
    </row>
    <row r="1118" spans="8:8" ht="13" x14ac:dyDescent="0.15">
      <c r="H1118" s="16"/>
    </row>
    <row r="1119" spans="8:8" ht="13" x14ac:dyDescent="0.15">
      <c r="H1119" s="16"/>
    </row>
    <row r="1120" spans="8:8" ht="13" x14ac:dyDescent="0.15">
      <c r="H1120" s="16"/>
    </row>
    <row r="1121" spans="8:8" ht="13" x14ac:dyDescent="0.15">
      <c r="H1121" s="16"/>
    </row>
    <row r="1122" spans="8:8" ht="13" x14ac:dyDescent="0.15">
      <c r="H1122" s="16"/>
    </row>
    <row r="1123" spans="8:8" ht="13" x14ac:dyDescent="0.15">
      <c r="H1123" s="16"/>
    </row>
    <row r="1124" spans="8:8" ht="13" x14ac:dyDescent="0.15">
      <c r="H1124" s="16"/>
    </row>
    <row r="1125" spans="8:8" ht="13" x14ac:dyDescent="0.15">
      <c r="H1125" s="16"/>
    </row>
    <row r="1126" spans="8:8" ht="13" x14ac:dyDescent="0.15">
      <c r="H1126" s="16"/>
    </row>
    <row r="1127" spans="8:8" ht="13" x14ac:dyDescent="0.15">
      <c r="H1127" s="16"/>
    </row>
    <row r="1128" spans="8:8" ht="13" x14ac:dyDescent="0.15">
      <c r="H1128" s="16"/>
    </row>
    <row r="1129" spans="8:8" ht="13" x14ac:dyDescent="0.15">
      <c r="H1129" s="16"/>
    </row>
    <row r="1130" spans="8:8" ht="13" x14ac:dyDescent="0.15">
      <c r="H1130" s="16"/>
    </row>
    <row r="1131" spans="8:8" ht="13" x14ac:dyDescent="0.15">
      <c r="H1131" s="16"/>
    </row>
    <row r="1132" spans="8:8" ht="13" x14ac:dyDescent="0.15">
      <c r="H1132" s="16"/>
    </row>
    <row r="1133" spans="8:8" ht="13" x14ac:dyDescent="0.15">
      <c r="H1133" s="16"/>
    </row>
    <row r="1134" spans="8:8" ht="13" x14ac:dyDescent="0.15">
      <c r="H1134" s="16"/>
    </row>
    <row r="1135" spans="8:8" ht="13" x14ac:dyDescent="0.15">
      <c r="H1135" s="16"/>
    </row>
    <row r="1136" spans="8:8" ht="13" x14ac:dyDescent="0.15">
      <c r="H1136" s="16"/>
    </row>
    <row r="1137" spans="8:8" ht="13" x14ac:dyDescent="0.15">
      <c r="H1137" s="16"/>
    </row>
    <row r="1138" spans="8:8" ht="13" x14ac:dyDescent="0.15">
      <c r="H1138" s="16"/>
    </row>
    <row r="1139" spans="8:8" ht="13" x14ac:dyDescent="0.15">
      <c r="H1139" s="16"/>
    </row>
    <row r="1140" spans="8:8" ht="13" x14ac:dyDescent="0.15">
      <c r="H1140" s="16"/>
    </row>
    <row r="1141" spans="8:8" ht="13" x14ac:dyDescent="0.15">
      <c r="H1141" s="16"/>
    </row>
    <row r="1142" spans="8:8" ht="13" x14ac:dyDescent="0.15">
      <c r="H1142" s="16"/>
    </row>
    <row r="1143" spans="8:8" ht="13" x14ac:dyDescent="0.15">
      <c r="H1143" s="16"/>
    </row>
    <row r="1144" spans="8:8" ht="13" x14ac:dyDescent="0.15">
      <c r="H1144" s="16"/>
    </row>
    <row r="1145" spans="8:8" ht="13" x14ac:dyDescent="0.15">
      <c r="H1145" s="16"/>
    </row>
    <row r="1146" spans="8:8" ht="13" x14ac:dyDescent="0.15">
      <c r="H1146" s="16"/>
    </row>
    <row r="1147" spans="8:8" ht="13" x14ac:dyDescent="0.15">
      <c r="H1147" s="16"/>
    </row>
    <row r="1148" spans="8:8" ht="13" x14ac:dyDescent="0.15">
      <c r="H1148" s="16"/>
    </row>
    <row r="1149" spans="8:8" ht="13" x14ac:dyDescent="0.15">
      <c r="H1149" s="16"/>
    </row>
    <row r="1150" spans="8:8" ht="13" x14ac:dyDescent="0.15">
      <c r="H1150" s="16"/>
    </row>
    <row r="1151" spans="8:8" ht="13" x14ac:dyDescent="0.15">
      <c r="H1151" s="16"/>
    </row>
    <row r="1152" spans="8:8" ht="13" x14ac:dyDescent="0.15">
      <c r="H1152" s="16"/>
    </row>
    <row r="1153" spans="8:8" ht="13" x14ac:dyDescent="0.15">
      <c r="H1153" s="16"/>
    </row>
    <row r="1154" spans="8:8" ht="13" x14ac:dyDescent="0.15">
      <c r="H1154" s="16"/>
    </row>
    <row r="1155" spans="8:8" ht="13" x14ac:dyDescent="0.15">
      <c r="H1155" s="16"/>
    </row>
    <row r="1156" spans="8:8" ht="13" x14ac:dyDescent="0.15">
      <c r="H1156" s="16"/>
    </row>
    <row r="1157" spans="8:8" ht="13" x14ac:dyDescent="0.15">
      <c r="H1157" s="16"/>
    </row>
    <row r="1158" spans="8:8" ht="13" x14ac:dyDescent="0.15">
      <c r="H1158" s="16"/>
    </row>
    <row r="1159" spans="8:8" ht="13" x14ac:dyDescent="0.15">
      <c r="H1159" s="16"/>
    </row>
    <row r="1160" spans="8:8" ht="13" x14ac:dyDescent="0.15">
      <c r="H1160" s="16"/>
    </row>
    <row r="1161" spans="8:8" ht="13" x14ac:dyDescent="0.15">
      <c r="H1161" s="16"/>
    </row>
    <row r="1162" spans="8:8" ht="13" x14ac:dyDescent="0.15">
      <c r="H1162" s="16"/>
    </row>
    <row r="1163" spans="8:8" ht="13" x14ac:dyDescent="0.15">
      <c r="H1163" s="16"/>
    </row>
    <row r="1164" spans="8:8" ht="13" x14ac:dyDescent="0.15">
      <c r="H1164" s="16"/>
    </row>
    <row r="1165" spans="8:8" ht="13" x14ac:dyDescent="0.15">
      <c r="H1165" s="16"/>
    </row>
    <row r="1166" spans="8:8" ht="13" x14ac:dyDescent="0.15">
      <c r="H1166" s="16"/>
    </row>
    <row r="1167" spans="8:8" ht="13" x14ac:dyDescent="0.15">
      <c r="H1167" s="16"/>
    </row>
    <row r="1168" spans="8:8" ht="13" x14ac:dyDescent="0.15">
      <c r="H1168" s="16"/>
    </row>
    <row r="1169" spans="8:8" ht="13" x14ac:dyDescent="0.15">
      <c r="H1169" s="16"/>
    </row>
    <row r="1170" spans="8:8" ht="13" x14ac:dyDescent="0.15">
      <c r="H1170" s="16"/>
    </row>
    <row r="1171" spans="8:8" ht="13" x14ac:dyDescent="0.15">
      <c r="H1171" s="16"/>
    </row>
    <row r="1172" spans="8:8" ht="13" x14ac:dyDescent="0.15">
      <c r="H1172" s="16"/>
    </row>
    <row r="1173" spans="8:8" ht="13" x14ac:dyDescent="0.15">
      <c r="H1173" s="16"/>
    </row>
    <row r="1174" spans="8:8" ht="13" x14ac:dyDescent="0.15">
      <c r="H1174" s="16"/>
    </row>
    <row r="1175" spans="8:8" ht="13" x14ac:dyDescent="0.15">
      <c r="H1175" s="16"/>
    </row>
    <row r="1176" spans="8:8" ht="13" x14ac:dyDescent="0.15">
      <c r="H1176" s="16"/>
    </row>
    <row r="1177" spans="8:8" ht="13" x14ac:dyDescent="0.15">
      <c r="H1177" s="16"/>
    </row>
    <row r="1178" spans="8:8" ht="13" x14ac:dyDescent="0.15">
      <c r="H1178" s="16"/>
    </row>
    <row r="1179" spans="8:8" ht="13" x14ac:dyDescent="0.15">
      <c r="H1179" s="16"/>
    </row>
    <row r="1180" spans="8:8" ht="13" x14ac:dyDescent="0.15">
      <c r="H1180" s="16"/>
    </row>
    <row r="1181" spans="8:8" ht="13" x14ac:dyDescent="0.15">
      <c r="H1181" s="16"/>
    </row>
    <row r="1182" spans="8:8" ht="13" x14ac:dyDescent="0.15">
      <c r="H1182" s="16"/>
    </row>
    <row r="1183" spans="8:8" ht="13" x14ac:dyDescent="0.15">
      <c r="H1183" s="16"/>
    </row>
    <row r="1184" spans="8:8" ht="13" x14ac:dyDescent="0.15">
      <c r="H1184" s="16"/>
    </row>
    <row r="1185" spans="8:8" ht="13" x14ac:dyDescent="0.15">
      <c r="H1185" s="16"/>
    </row>
    <row r="1186" spans="8:8" ht="13" x14ac:dyDescent="0.15">
      <c r="H1186" s="16"/>
    </row>
    <row r="1187" spans="8:8" ht="13" x14ac:dyDescent="0.15">
      <c r="H1187" s="16"/>
    </row>
    <row r="1188" spans="8:8" ht="13" x14ac:dyDescent="0.15">
      <c r="H1188" s="16"/>
    </row>
    <row r="1189" spans="8:8" ht="13" x14ac:dyDescent="0.15">
      <c r="H1189" s="16"/>
    </row>
    <row r="1190" spans="8:8" ht="13" x14ac:dyDescent="0.15">
      <c r="H1190" s="16"/>
    </row>
    <row r="1191" spans="8:8" ht="13" x14ac:dyDescent="0.15">
      <c r="H1191" s="16"/>
    </row>
    <row r="1192" spans="8:8" ht="13" x14ac:dyDescent="0.15">
      <c r="H1192" s="16"/>
    </row>
    <row r="1193" spans="8:8" ht="13" x14ac:dyDescent="0.15">
      <c r="H1193" s="16"/>
    </row>
    <row r="1194" spans="8:8" ht="13" x14ac:dyDescent="0.15">
      <c r="H1194" s="16"/>
    </row>
    <row r="1195" spans="8:8" ht="13" x14ac:dyDescent="0.15">
      <c r="H1195" s="16"/>
    </row>
    <row r="1196" spans="8:8" ht="13" x14ac:dyDescent="0.15">
      <c r="H1196" s="16"/>
    </row>
    <row r="1197" spans="8:8" ht="13" x14ac:dyDescent="0.15">
      <c r="H1197" s="16"/>
    </row>
    <row r="1198" spans="8:8" ht="13" x14ac:dyDescent="0.15">
      <c r="H1198" s="16"/>
    </row>
    <row r="1199" spans="8:8" ht="13" x14ac:dyDescent="0.15">
      <c r="H1199" s="16"/>
    </row>
    <row r="1200" spans="8:8" ht="13" x14ac:dyDescent="0.15">
      <c r="H1200" s="16"/>
    </row>
    <row r="1201" spans="8:8" ht="13" x14ac:dyDescent="0.15">
      <c r="H1201" s="16"/>
    </row>
    <row r="1202" spans="8:8" ht="13" x14ac:dyDescent="0.15">
      <c r="H1202" s="16"/>
    </row>
    <row r="1203" spans="8:8" ht="13" x14ac:dyDescent="0.15">
      <c r="H1203" s="16"/>
    </row>
    <row r="1204" spans="8:8" ht="13" x14ac:dyDescent="0.15">
      <c r="H1204" s="16"/>
    </row>
    <row r="1205" spans="8:8" ht="13" x14ac:dyDescent="0.15">
      <c r="H1205" s="16"/>
    </row>
    <row r="1206" spans="8:8" ht="13" x14ac:dyDescent="0.15">
      <c r="H1206" s="16"/>
    </row>
    <row r="1207" spans="8:8" ht="13" x14ac:dyDescent="0.15">
      <c r="H1207" s="16"/>
    </row>
    <row r="1208" spans="8:8" ht="13" x14ac:dyDescent="0.15">
      <c r="H1208" s="16"/>
    </row>
    <row r="1209" spans="8:8" ht="13" x14ac:dyDescent="0.15">
      <c r="H1209" s="16"/>
    </row>
    <row r="1210" spans="8:8" ht="13" x14ac:dyDescent="0.15">
      <c r="H1210" s="16"/>
    </row>
    <row r="1211" spans="8:8" ht="13" x14ac:dyDescent="0.15">
      <c r="H1211" s="16"/>
    </row>
    <row r="1212" spans="8:8" ht="13" x14ac:dyDescent="0.15">
      <c r="H1212" s="16"/>
    </row>
    <row r="1213" spans="8:8" ht="13" x14ac:dyDescent="0.15">
      <c r="H1213" s="16"/>
    </row>
    <row r="1214" spans="8:8" ht="13" x14ac:dyDescent="0.15">
      <c r="H1214" s="16"/>
    </row>
    <row r="1215" spans="8:8" ht="13" x14ac:dyDescent="0.15">
      <c r="H1215" s="16"/>
    </row>
    <row r="1216" spans="8:8" ht="13" x14ac:dyDescent="0.15">
      <c r="H1216" s="16"/>
    </row>
    <row r="1217" spans="8:8" ht="13" x14ac:dyDescent="0.15">
      <c r="H1217" s="16"/>
    </row>
    <row r="1218" spans="8:8" ht="13" x14ac:dyDescent="0.15">
      <c r="H1218" s="16"/>
    </row>
    <row r="1219" spans="8:8" ht="13" x14ac:dyDescent="0.15">
      <c r="H1219" s="16"/>
    </row>
    <row r="1220" spans="8:8" ht="13" x14ac:dyDescent="0.15">
      <c r="H1220" s="16"/>
    </row>
    <row r="1221" spans="8:8" ht="13" x14ac:dyDescent="0.15">
      <c r="H1221" s="16"/>
    </row>
    <row r="1222" spans="8:8" ht="13" x14ac:dyDescent="0.15">
      <c r="H1222" s="16"/>
    </row>
    <row r="1223" spans="8:8" ht="13" x14ac:dyDescent="0.15">
      <c r="H1223" s="16"/>
    </row>
    <row r="1224" spans="8:8" ht="13" x14ac:dyDescent="0.15">
      <c r="H1224" s="16"/>
    </row>
    <row r="1225" spans="8:8" ht="13" x14ac:dyDescent="0.15">
      <c r="H1225" s="16"/>
    </row>
    <row r="1226" spans="8:8" ht="13" x14ac:dyDescent="0.15">
      <c r="H1226" s="16"/>
    </row>
    <row r="1227" spans="8:8" ht="13" x14ac:dyDescent="0.15">
      <c r="H1227" s="16"/>
    </row>
    <row r="1228" spans="8:8" ht="13" x14ac:dyDescent="0.15">
      <c r="H1228" s="16"/>
    </row>
    <row r="1229" spans="8:8" ht="13" x14ac:dyDescent="0.15">
      <c r="H1229" s="16"/>
    </row>
    <row r="1230" spans="8:8" ht="13" x14ac:dyDescent="0.15">
      <c r="H1230" s="16"/>
    </row>
    <row r="1231" spans="8:8" ht="13" x14ac:dyDescent="0.15">
      <c r="H1231" s="16"/>
    </row>
    <row r="1232" spans="8:8" ht="13" x14ac:dyDescent="0.15">
      <c r="H1232" s="16"/>
    </row>
    <row r="1233" spans="8:8" ht="13" x14ac:dyDescent="0.15">
      <c r="H1233" s="16"/>
    </row>
    <row r="1234" spans="8:8" ht="13" x14ac:dyDescent="0.15">
      <c r="H1234" s="16"/>
    </row>
    <row r="1235" spans="8:8" ht="13" x14ac:dyDescent="0.15">
      <c r="H1235" s="16"/>
    </row>
    <row r="1236" spans="8:8" ht="13" x14ac:dyDescent="0.15">
      <c r="H1236" s="16"/>
    </row>
    <row r="1237" spans="8:8" ht="13" x14ac:dyDescent="0.15">
      <c r="H1237" s="16"/>
    </row>
    <row r="1238" spans="8:8" ht="13" x14ac:dyDescent="0.15">
      <c r="H1238" s="16"/>
    </row>
    <row r="1239" spans="8:8" ht="13" x14ac:dyDescent="0.15">
      <c r="H1239" s="16"/>
    </row>
    <row r="1240" spans="8:8" ht="13" x14ac:dyDescent="0.15">
      <c r="H1240" s="16"/>
    </row>
    <row r="1241" spans="8:8" ht="13" x14ac:dyDescent="0.15">
      <c r="H1241" s="16"/>
    </row>
    <row r="1242" spans="8:8" ht="13" x14ac:dyDescent="0.15">
      <c r="H1242" s="16"/>
    </row>
    <row r="1243" spans="8:8" ht="13" x14ac:dyDescent="0.15">
      <c r="H1243" s="16"/>
    </row>
    <row r="1244" spans="8:8" ht="13" x14ac:dyDescent="0.15">
      <c r="H1244" s="16"/>
    </row>
    <row r="1245" spans="8:8" ht="13" x14ac:dyDescent="0.15">
      <c r="H1245" s="16"/>
    </row>
    <row r="1246" spans="8:8" ht="13" x14ac:dyDescent="0.15">
      <c r="H1246" s="16"/>
    </row>
    <row r="1247" spans="8:8" ht="13" x14ac:dyDescent="0.15">
      <c r="H1247" s="16"/>
    </row>
    <row r="1248" spans="8:8" ht="13" x14ac:dyDescent="0.15">
      <c r="H1248" s="16"/>
    </row>
    <row r="1249" spans="8:8" ht="13" x14ac:dyDescent="0.15">
      <c r="H1249" s="16"/>
    </row>
    <row r="1250" spans="8:8" ht="13" x14ac:dyDescent="0.15">
      <c r="H1250" s="16"/>
    </row>
    <row r="1251" spans="8:8" ht="13" x14ac:dyDescent="0.15">
      <c r="H1251" s="16"/>
    </row>
    <row r="1252" spans="8:8" ht="13" x14ac:dyDescent="0.15">
      <c r="H1252" s="16"/>
    </row>
    <row r="1253" spans="8:8" ht="13" x14ac:dyDescent="0.15">
      <c r="H1253" s="16"/>
    </row>
    <row r="1254" spans="8:8" ht="13" x14ac:dyDescent="0.15">
      <c r="H1254" s="16"/>
    </row>
    <row r="1255" spans="8:8" ht="13" x14ac:dyDescent="0.15">
      <c r="H1255" s="16"/>
    </row>
    <row r="1256" spans="8:8" ht="13" x14ac:dyDescent="0.15">
      <c r="H1256" s="16"/>
    </row>
    <row r="1257" spans="8:8" ht="13" x14ac:dyDescent="0.15">
      <c r="H1257" s="16"/>
    </row>
    <row r="1258" spans="8:8" ht="13" x14ac:dyDescent="0.15">
      <c r="H1258" s="16"/>
    </row>
    <row r="1259" spans="8:8" ht="13" x14ac:dyDescent="0.15">
      <c r="H1259" s="16"/>
    </row>
    <row r="1260" spans="8:8" ht="13" x14ac:dyDescent="0.15">
      <c r="H1260" s="16"/>
    </row>
    <row r="1261" spans="8:8" ht="13" x14ac:dyDescent="0.15">
      <c r="H1261" s="16"/>
    </row>
    <row r="1262" spans="8:8" ht="13" x14ac:dyDescent="0.15">
      <c r="H1262" s="16"/>
    </row>
    <row r="1263" spans="8:8" ht="13" x14ac:dyDescent="0.15">
      <c r="H1263" s="16"/>
    </row>
    <row r="1264" spans="8:8" ht="13" x14ac:dyDescent="0.15">
      <c r="H1264" s="16"/>
    </row>
    <row r="1265" spans="8:8" ht="13" x14ac:dyDescent="0.15">
      <c r="H1265" s="16"/>
    </row>
    <row r="1266" spans="8:8" ht="13" x14ac:dyDescent="0.15">
      <c r="H1266" s="16"/>
    </row>
    <row r="1267" spans="8:8" ht="13" x14ac:dyDescent="0.15">
      <c r="H1267" s="16"/>
    </row>
    <row r="1268" spans="8:8" ht="13" x14ac:dyDescent="0.15">
      <c r="H1268" s="16"/>
    </row>
    <row r="1269" spans="8:8" ht="13" x14ac:dyDescent="0.15">
      <c r="H1269" s="16"/>
    </row>
    <row r="1270" spans="8:8" ht="13" x14ac:dyDescent="0.15">
      <c r="H1270" s="16"/>
    </row>
    <row r="1271" spans="8:8" ht="13" x14ac:dyDescent="0.15">
      <c r="H1271" s="16"/>
    </row>
    <row r="1272" spans="8:8" ht="13" x14ac:dyDescent="0.15">
      <c r="H1272" s="16"/>
    </row>
    <row r="1273" spans="8:8" ht="13" x14ac:dyDescent="0.15">
      <c r="H1273" s="16"/>
    </row>
    <row r="1274" spans="8:8" ht="13" x14ac:dyDescent="0.15">
      <c r="H1274" s="16"/>
    </row>
    <row r="1275" spans="8:8" ht="13" x14ac:dyDescent="0.15">
      <c r="H1275" s="16"/>
    </row>
    <row r="1276" spans="8:8" ht="13" x14ac:dyDescent="0.15">
      <c r="H1276" s="16"/>
    </row>
    <row r="1277" spans="8:8" ht="13" x14ac:dyDescent="0.15">
      <c r="H1277" s="16"/>
    </row>
    <row r="1278" spans="8:8" ht="13" x14ac:dyDescent="0.15">
      <c r="H1278" s="16"/>
    </row>
    <row r="1279" spans="8:8" ht="13" x14ac:dyDescent="0.15">
      <c r="H1279" s="16"/>
    </row>
    <row r="1280" spans="8:8" ht="13" x14ac:dyDescent="0.15">
      <c r="H1280" s="16"/>
    </row>
    <row r="1281" spans="8:8" ht="13" x14ac:dyDescent="0.15">
      <c r="H1281" s="16"/>
    </row>
    <row r="1282" spans="8:8" ht="13" x14ac:dyDescent="0.15">
      <c r="H1282" s="16"/>
    </row>
    <row r="1283" spans="8:8" ht="13" x14ac:dyDescent="0.15">
      <c r="H1283" s="16"/>
    </row>
    <row r="1284" spans="8:8" ht="13" x14ac:dyDescent="0.15">
      <c r="H1284" s="16"/>
    </row>
    <row r="1285" spans="8:8" ht="13" x14ac:dyDescent="0.15">
      <c r="H1285" s="16"/>
    </row>
    <row r="1286" spans="8:8" ht="13" x14ac:dyDescent="0.15">
      <c r="H1286" s="16"/>
    </row>
    <row r="1287" spans="8:8" ht="13" x14ac:dyDescent="0.15">
      <c r="H1287" s="16"/>
    </row>
    <row r="1288" spans="8:8" ht="13" x14ac:dyDescent="0.15">
      <c r="H1288" s="16"/>
    </row>
    <row r="1289" spans="8:8" ht="13" x14ac:dyDescent="0.15">
      <c r="H1289" s="16"/>
    </row>
    <row r="1290" spans="8:8" ht="13" x14ac:dyDescent="0.15">
      <c r="H1290" s="16"/>
    </row>
    <row r="1291" spans="8:8" ht="13" x14ac:dyDescent="0.15">
      <c r="H1291" s="16"/>
    </row>
    <row r="1292" spans="8:8" ht="13" x14ac:dyDescent="0.15">
      <c r="H1292" s="16"/>
    </row>
    <row r="1293" spans="8:8" ht="13" x14ac:dyDescent="0.15">
      <c r="H1293" s="16"/>
    </row>
    <row r="1294" spans="8:8" ht="13" x14ac:dyDescent="0.15">
      <c r="H1294" s="16"/>
    </row>
    <row r="1295" spans="8:8" ht="13" x14ac:dyDescent="0.15">
      <c r="H1295" s="16"/>
    </row>
    <row r="1296" spans="8:8" ht="13" x14ac:dyDescent="0.15">
      <c r="H1296" s="16"/>
    </row>
    <row r="1297" spans="8:8" ht="13" x14ac:dyDescent="0.15">
      <c r="H1297" s="16"/>
    </row>
    <row r="1298" spans="8:8" ht="13" x14ac:dyDescent="0.15">
      <c r="H1298" s="16"/>
    </row>
    <row r="1299" spans="8:8" ht="13" x14ac:dyDescent="0.15">
      <c r="H1299" s="16"/>
    </row>
    <row r="1300" spans="8:8" ht="13" x14ac:dyDescent="0.15">
      <c r="H1300" s="16"/>
    </row>
    <row r="1301" spans="8:8" ht="13" x14ac:dyDescent="0.15">
      <c r="H1301" s="16"/>
    </row>
    <row r="1302" spans="8:8" ht="13" x14ac:dyDescent="0.15">
      <c r="H1302" s="16"/>
    </row>
    <row r="1303" spans="8:8" ht="13" x14ac:dyDescent="0.15">
      <c r="H1303" s="16"/>
    </row>
    <row r="1304" spans="8:8" ht="13" x14ac:dyDescent="0.15">
      <c r="H1304" s="16"/>
    </row>
    <row r="1305" spans="8:8" ht="13" x14ac:dyDescent="0.15">
      <c r="H1305" s="16"/>
    </row>
    <row r="1306" spans="8:8" ht="13" x14ac:dyDescent="0.15">
      <c r="H1306" s="16"/>
    </row>
    <row r="1307" spans="8:8" ht="13" x14ac:dyDescent="0.15">
      <c r="H1307" s="16"/>
    </row>
    <row r="1308" spans="8:8" ht="13" x14ac:dyDescent="0.15">
      <c r="H1308" s="16"/>
    </row>
    <row r="1309" spans="8:8" ht="13" x14ac:dyDescent="0.15">
      <c r="H1309" s="16"/>
    </row>
    <row r="1310" spans="8:8" ht="13" x14ac:dyDescent="0.15">
      <c r="H1310" s="16"/>
    </row>
    <row r="1311" spans="8:8" ht="13" x14ac:dyDescent="0.15">
      <c r="H1311" s="16"/>
    </row>
    <row r="1312" spans="8:8" ht="13" x14ac:dyDescent="0.15">
      <c r="H1312" s="16"/>
    </row>
    <row r="1313" spans="8:8" ht="13" x14ac:dyDescent="0.15">
      <c r="H1313" s="16"/>
    </row>
    <row r="1314" spans="8:8" ht="13" x14ac:dyDescent="0.15">
      <c r="H1314" s="16"/>
    </row>
    <row r="1315" spans="8:8" ht="13" x14ac:dyDescent="0.15">
      <c r="H1315" s="16"/>
    </row>
    <row r="1316" spans="8:8" ht="13" x14ac:dyDescent="0.15">
      <c r="H1316" s="16"/>
    </row>
    <row r="1317" spans="8:8" ht="13" x14ac:dyDescent="0.15">
      <c r="H1317" s="16"/>
    </row>
    <row r="1318" spans="8:8" ht="13" x14ac:dyDescent="0.15">
      <c r="H1318" s="16"/>
    </row>
    <row r="1319" spans="8:8" ht="13" x14ac:dyDescent="0.15">
      <c r="H1319" s="16"/>
    </row>
    <row r="1320" spans="8:8" ht="13" x14ac:dyDescent="0.15">
      <c r="H1320" s="16"/>
    </row>
    <row r="1321" spans="8:8" ht="13" x14ac:dyDescent="0.15">
      <c r="H1321" s="16"/>
    </row>
    <row r="1322" spans="8:8" ht="13" x14ac:dyDescent="0.15">
      <c r="H1322" s="16"/>
    </row>
    <row r="1323" spans="8:8" ht="13" x14ac:dyDescent="0.15">
      <c r="H1323" s="16"/>
    </row>
    <row r="1324" spans="8:8" ht="13" x14ac:dyDescent="0.15">
      <c r="H1324" s="16"/>
    </row>
    <row r="1325" spans="8:8" ht="13" x14ac:dyDescent="0.15">
      <c r="H1325" s="16"/>
    </row>
    <row r="1326" spans="8:8" ht="13" x14ac:dyDescent="0.15">
      <c r="H1326" s="16"/>
    </row>
    <row r="1327" spans="8:8" ht="13" x14ac:dyDescent="0.15">
      <c r="H1327" s="16"/>
    </row>
    <row r="1328" spans="8:8" ht="13" x14ac:dyDescent="0.15">
      <c r="H1328" s="16"/>
    </row>
    <row r="1329" spans="8:8" ht="13" x14ac:dyDescent="0.15">
      <c r="H1329" s="16"/>
    </row>
    <row r="1330" spans="8:8" ht="13" x14ac:dyDescent="0.15">
      <c r="H1330" s="16"/>
    </row>
    <row r="1331" spans="8:8" ht="13" x14ac:dyDescent="0.15">
      <c r="H1331" s="16"/>
    </row>
    <row r="1332" spans="8:8" ht="13" x14ac:dyDescent="0.15">
      <c r="H1332" s="16"/>
    </row>
    <row r="1333" spans="8:8" ht="13" x14ac:dyDescent="0.15">
      <c r="H1333" s="16"/>
    </row>
    <row r="1334" spans="8:8" ht="13" x14ac:dyDescent="0.15">
      <c r="H1334" s="16"/>
    </row>
    <row r="1335" spans="8:8" ht="13" x14ac:dyDescent="0.15">
      <c r="H1335" s="16"/>
    </row>
    <row r="1336" spans="8:8" ht="13" x14ac:dyDescent="0.15">
      <c r="H1336" s="16"/>
    </row>
    <row r="1337" spans="8:8" ht="13" x14ac:dyDescent="0.15">
      <c r="H1337" s="16"/>
    </row>
    <row r="1338" spans="8:8" ht="13" x14ac:dyDescent="0.15">
      <c r="H1338" s="16"/>
    </row>
    <row r="1339" spans="8:8" ht="13" x14ac:dyDescent="0.15">
      <c r="H1339" s="16"/>
    </row>
    <row r="1340" spans="8:8" ht="13" x14ac:dyDescent="0.15">
      <c r="H1340" s="16"/>
    </row>
    <row r="1341" spans="8:8" ht="13" x14ac:dyDescent="0.15">
      <c r="H1341" s="16"/>
    </row>
    <row r="1342" spans="8:8" ht="13" x14ac:dyDescent="0.15">
      <c r="H1342" s="16"/>
    </row>
    <row r="1343" spans="8:8" ht="13" x14ac:dyDescent="0.15">
      <c r="H1343" s="16"/>
    </row>
    <row r="1344" spans="8:8" ht="13" x14ac:dyDescent="0.15">
      <c r="H1344" s="16"/>
    </row>
    <row r="1345" spans="8:8" ht="13" x14ac:dyDescent="0.15">
      <c r="H1345" s="16"/>
    </row>
    <row r="1346" spans="8:8" ht="13" x14ac:dyDescent="0.15">
      <c r="H1346" s="16"/>
    </row>
    <row r="1347" spans="8:8" ht="13" x14ac:dyDescent="0.15">
      <c r="H1347" s="16"/>
    </row>
    <row r="1348" spans="8:8" ht="13" x14ac:dyDescent="0.15">
      <c r="H1348" s="16"/>
    </row>
    <row r="1349" spans="8:8" ht="13" x14ac:dyDescent="0.15">
      <c r="H1349" s="16"/>
    </row>
    <row r="1350" spans="8:8" ht="13" x14ac:dyDescent="0.15">
      <c r="H1350" s="16"/>
    </row>
    <row r="1351" spans="8:8" ht="13" x14ac:dyDescent="0.15">
      <c r="H1351" s="16"/>
    </row>
    <row r="1352" spans="8:8" ht="13" x14ac:dyDescent="0.15">
      <c r="H1352" s="16"/>
    </row>
    <row r="1353" spans="8:8" ht="13" x14ac:dyDescent="0.15">
      <c r="H1353" s="16"/>
    </row>
    <row r="1354" spans="8:8" ht="13" x14ac:dyDescent="0.15">
      <c r="H1354" s="16"/>
    </row>
    <row r="1355" spans="8:8" ht="13" x14ac:dyDescent="0.15">
      <c r="H1355" s="16"/>
    </row>
    <row r="1356" spans="8:8" ht="13" x14ac:dyDescent="0.15">
      <c r="H1356" s="16"/>
    </row>
    <row r="1357" spans="8:8" ht="13" x14ac:dyDescent="0.15">
      <c r="H1357" s="16"/>
    </row>
    <row r="1358" spans="8:8" ht="13" x14ac:dyDescent="0.15">
      <c r="H1358" s="16"/>
    </row>
    <row r="1359" spans="8:8" ht="13" x14ac:dyDescent="0.15">
      <c r="H1359" s="16"/>
    </row>
    <row r="1360" spans="8:8" ht="13" x14ac:dyDescent="0.15">
      <c r="H1360" s="16"/>
    </row>
    <row r="1361" spans="8:8" ht="13" x14ac:dyDescent="0.15">
      <c r="H1361" s="16"/>
    </row>
    <row r="1362" spans="8:8" ht="13" x14ac:dyDescent="0.15">
      <c r="H1362" s="16"/>
    </row>
    <row r="1363" spans="8:8" ht="13" x14ac:dyDescent="0.15">
      <c r="H1363" s="16"/>
    </row>
    <row r="1364" spans="8:8" ht="13" x14ac:dyDescent="0.15">
      <c r="H1364" s="16"/>
    </row>
    <row r="1365" spans="8:8" ht="13" x14ac:dyDescent="0.15">
      <c r="H1365" s="16"/>
    </row>
    <row r="1366" spans="8:8" ht="13" x14ac:dyDescent="0.15">
      <c r="H1366" s="16"/>
    </row>
    <row r="1367" spans="8:8" ht="13" x14ac:dyDescent="0.15">
      <c r="H1367" s="16"/>
    </row>
    <row r="1368" spans="8:8" ht="13" x14ac:dyDescent="0.15">
      <c r="H1368" s="16"/>
    </row>
    <row r="1369" spans="8:8" ht="13" x14ac:dyDescent="0.15">
      <c r="H1369" s="16"/>
    </row>
    <row r="1370" spans="8:8" ht="13" x14ac:dyDescent="0.15">
      <c r="H1370" s="16"/>
    </row>
    <row r="1371" spans="8:8" ht="13" x14ac:dyDescent="0.15">
      <c r="H1371" s="16"/>
    </row>
    <row r="1372" spans="8:8" ht="13" x14ac:dyDescent="0.15">
      <c r="H1372" s="16"/>
    </row>
    <row r="1373" spans="8:8" ht="13" x14ac:dyDescent="0.15">
      <c r="H1373" s="16"/>
    </row>
    <row r="1374" spans="8:8" ht="13" x14ac:dyDescent="0.15">
      <c r="H1374" s="16"/>
    </row>
    <row r="1375" spans="8:8" ht="13" x14ac:dyDescent="0.15">
      <c r="H1375" s="16"/>
    </row>
    <row r="1376" spans="8:8" ht="13" x14ac:dyDescent="0.15">
      <c r="H1376" s="16"/>
    </row>
    <row r="1377" spans="8:8" ht="13" x14ac:dyDescent="0.15">
      <c r="H1377" s="16"/>
    </row>
    <row r="1378" spans="8:8" ht="13" x14ac:dyDescent="0.15">
      <c r="H1378" s="16"/>
    </row>
    <row r="1379" spans="8:8" ht="13" x14ac:dyDescent="0.15">
      <c r="H1379" s="16"/>
    </row>
    <row r="1380" spans="8:8" ht="13" x14ac:dyDescent="0.15">
      <c r="H1380" s="16"/>
    </row>
    <row r="1381" spans="8:8" ht="13" x14ac:dyDescent="0.15">
      <c r="H1381" s="16"/>
    </row>
    <row r="1382" spans="8:8" ht="13" x14ac:dyDescent="0.15">
      <c r="H1382" s="16"/>
    </row>
    <row r="1383" spans="8:8" ht="13" x14ac:dyDescent="0.15">
      <c r="H1383" s="16"/>
    </row>
    <row r="1384" spans="8:8" ht="13" x14ac:dyDescent="0.15">
      <c r="H1384" s="16"/>
    </row>
    <row r="1385" spans="8:8" ht="13" x14ac:dyDescent="0.15">
      <c r="H1385" s="16"/>
    </row>
    <row r="1386" spans="8:8" ht="13" x14ac:dyDescent="0.15">
      <c r="H1386" s="16"/>
    </row>
    <row r="1387" spans="8:8" ht="13" x14ac:dyDescent="0.15">
      <c r="H1387" s="16"/>
    </row>
    <row r="1388" spans="8:8" ht="13" x14ac:dyDescent="0.15">
      <c r="H1388" s="16"/>
    </row>
    <row r="1389" spans="8:8" ht="13" x14ac:dyDescent="0.15">
      <c r="H1389" s="16"/>
    </row>
    <row r="1390" spans="8:8" ht="13" x14ac:dyDescent="0.15">
      <c r="H1390" s="16"/>
    </row>
    <row r="1391" spans="8:8" ht="13" x14ac:dyDescent="0.15">
      <c r="H1391" s="16"/>
    </row>
    <row r="1392" spans="8:8" ht="13" x14ac:dyDescent="0.15">
      <c r="H1392" s="16"/>
    </row>
    <row r="1393" spans="8:8" ht="13" x14ac:dyDescent="0.15">
      <c r="H1393" s="16"/>
    </row>
    <row r="1394" spans="8:8" ht="13" x14ac:dyDescent="0.15">
      <c r="H1394" s="16"/>
    </row>
    <row r="1395" spans="8:8" ht="13" x14ac:dyDescent="0.15">
      <c r="H1395" s="16"/>
    </row>
    <row r="1396" spans="8:8" ht="13" x14ac:dyDescent="0.15">
      <c r="H1396" s="16"/>
    </row>
    <row r="1397" spans="8:8" ht="13" x14ac:dyDescent="0.15">
      <c r="H1397" s="16"/>
    </row>
    <row r="1398" spans="8:8" ht="13" x14ac:dyDescent="0.15">
      <c r="H1398" s="16"/>
    </row>
    <row r="1399" spans="8:8" ht="13" x14ac:dyDescent="0.15">
      <c r="H1399" s="16"/>
    </row>
    <row r="1400" spans="8:8" ht="13" x14ac:dyDescent="0.15">
      <c r="H1400" s="16"/>
    </row>
    <row r="1401" spans="8:8" ht="13" x14ac:dyDescent="0.15">
      <c r="H1401" s="16"/>
    </row>
    <row r="1402" spans="8:8" ht="13" x14ac:dyDescent="0.15">
      <c r="H1402" s="16"/>
    </row>
    <row r="1403" spans="8:8" ht="13" x14ac:dyDescent="0.15">
      <c r="H1403" s="16"/>
    </row>
    <row r="1404" spans="8:8" ht="13" x14ac:dyDescent="0.15">
      <c r="H1404" s="16"/>
    </row>
    <row r="1405" spans="8:8" ht="13" x14ac:dyDescent="0.15">
      <c r="H1405" s="16"/>
    </row>
    <row r="1406" spans="8:8" ht="13" x14ac:dyDescent="0.15">
      <c r="H1406" s="16"/>
    </row>
    <row r="1407" spans="8:8" ht="13" x14ac:dyDescent="0.15">
      <c r="H1407" s="16"/>
    </row>
    <row r="1408" spans="8:8" ht="13" x14ac:dyDescent="0.15">
      <c r="H1408" s="16"/>
    </row>
    <row r="1409" spans="8:8" ht="13" x14ac:dyDescent="0.15">
      <c r="H1409" s="16"/>
    </row>
    <row r="1410" spans="8:8" ht="13" x14ac:dyDescent="0.15">
      <c r="H1410" s="16"/>
    </row>
    <row r="1411" spans="8:8" ht="13" x14ac:dyDescent="0.15">
      <c r="H1411" s="16"/>
    </row>
    <row r="1412" spans="8:8" ht="13" x14ac:dyDescent="0.15">
      <c r="H1412" s="16"/>
    </row>
  </sheetData>
  <autoFilter ref="A1:I1412" xr:uid="{00000000-0009-0000-0000-000000000000}"/>
  <mergeCells count="3">
    <mergeCell ref="K21:L21"/>
    <mergeCell ref="K22:L22"/>
    <mergeCell ref="K23:L23"/>
  </mergeCells>
  <printOptions gridLines="1"/>
  <pageMargins left="0.75" right="0.75" top="1" bottom="1" header="0.5" footer="0.5"/>
  <pageSetup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7"/>
  <sheetViews>
    <sheetView zoomScaleNormal="100" workbookViewId="0">
      <selection activeCell="A3" sqref="A3:D1048576"/>
    </sheetView>
  </sheetViews>
  <sheetFormatPr baseColWidth="10" defaultColWidth="9.19921875" defaultRowHeight="12" x14ac:dyDescent="0.15"/>
  <cols>
    <col min="1" max="2" width="12.59765625" style="56" customWidth="1"/>
    <col min="3" max="3" width="12.59765625" style="5" customWidth="1"/>
    <col min="4" max="4" width="13.3984375" style="57" customWidth="1"/>
    <col min="9" max="9" width="10.3984375" customWidth="1"/>
  </cols>
  <sheetData>
    <row r="1" spans="1:14" ht="11" x14ac:dyDescent="0.15">
      <c r="A1" s="58" t="s">
        <v>0</v>
      </c>
      <c r="B1" s="58" t="s">
        <v>1</v>
      </c>
      <c r="C1" s="58" t="s">
        <v>43</v>
      </c>
      <c r="D1" s="59" t="s">
        <v>44</v>
      </c>
      <c r="F1" s="60" t="s">
        <v>45</v>
      </c>
      <c r="G1" s="60" t="s">
        <v>46</v>
      </c>
      <c r="H1" s="60" t="s">
        <v>47</v>
      </c>
      <c r="J1" s="61"/>
      <c r="K1" s="61"/>
      <c r="L1" s="61"/>
      <c r="M1" s="61"/>
      <c r="N1" s="61"/>
    </row>
    <row r="2" spans="1:14" ht="11" x14ac:dyDescent="0.15">
      <c r="A2" s="14"/>
      <c r="B2" s="14"/>
      <c r="C2" s="14"/>
      <c r="D2" s="55"/>
      <c r="E2" s="54" t="s">
        <v>48</v>
      </c>
      <c r="F2" t="e">
        <f>AVERAGE(ScottData)</f>
        <v>#DIV/0!</v>
      </c>
      <c r="G2" t="e">
        <f>STDEV(ScottData)</f>
        <v>#DIV/0!</v>
      </c>
      <c r="H2" s="62" t="e">
        <f>G2/F2</f>
        <v>#DIV/0!</v>
      </c>
      <c r="I2" s="63"/>
      <c r="J2" s="63"/>
      <c r="L2" s="63"/>
    </row>
    <row r="3" spans="1:14" ht="11" x14ac:dyDescent="0.15">
      <c r="A3" s="17"/>
      <c r="B3" s="17"/>
      <c r="C3" s="17"/>
      <c r="D3" s="64"/>
      <c r="E3" t="s">
        <v>49</v>
      </c>
      <c r="F3" t="e">
        <f>AVERAGE('Ratio Data'!C2:C10000)</f>
        <v>#DIV/0!</v>
      </c>
      <c r="G3" t="e">
        <f>STDEV('Ratio Data'!C2:C10000)</f>
        <v>#DIV/0!</v>
      </c>
      <c r="H3" s="62" t="e">
        <f>G3/F3</f>
        <v>#DIV/0!</v>
      </c>
      <c r="I3" s="63"/>
      <c r="J3" s="63"/>
      <c r="L3" s="63"/>
    </row>
    <row r="4" spans="1:14" ht="11" x14ac:dyDescent="0.15">
      <c r="A4" s="17"/>
      <c r="B4" s="17"/>
      <c r="C4" s="17"/>
      <c r="D4" s="64"/>
      <c r="E4" t="s">
        <v>50</v>
      </c>
      <c r="F4" s="62" t="e">
        <f>(F2-F3)/F3</f>
        <v>#DIV/0!</v>
      </c>
      <c r="I4" s="63"/>
      <c r="J4" s="63"/>
      <c r="L4" s="63"/>
    </row>
    <row r="5" spans="1:14" ht="11" x14ac:dyDescent="0.15">
      <c r="A5" s="17"/>
      <c r="B5" s="17"/>
      <c r="C5" s="17"/>
      <c r="D5" s="64"/>
      <c r="I5" s="63"/>
      <c r="J5" s="63"/>
      <c r="L5" s="63"/>
    </row>
    <row r="6" spans="1:14" ht="11" x14ac:dyDescent="0.15">
      <c r="A6" s="17"/>
      <c r="B6" s="17"/>
      <c r="C6" s="17"/>
      <c r="D6" s="64"/>
      <c r="E6" s="17"/>
      <c r="F6" s="17"/>
      <c r="G6" s="17"/>
      <c r="H6" s="64"/>
      <c r="I6" s="63"/>
      <c r="J6" s="63"/>
      <c r="L6" s="63"/>
    </row>
    <row r="7" spans="1:14" ht="11" x14ac:dyDescent="0.15">
      <c r="A7" s="17"/>
      <c r="B7" s="17"/>
      <c r="C7" s="17"/>
      <c r="D7" s="64"/>
      <c r="E7" s="17"/>
      <c r="F7" s="17"/>
      <c r="G7" s="17"/>
      <c r="H7" s="64"/>
      <c r="I7" s="63"/>
      <c r="J7" s="63"/>
      <c r="L7" s="63"/>
    </row>
    <row r="8" spans="1:14" ht="11" x14ac:dyDescent="0.15">
      <c r="A8" s="17"/>
      <c r="B8" s="17"/>
      <c r="C8" s="17"/>
      <c r="D8" s="64"/>
      <c r="E8" s="17"/>
      <c r="F8" s="17"/>
      <c r="G8" s="17"/>
      <c r="H8" s="64"/>
      <c r="I8" s="63"/>
      <c r="J8" s="63"/>
      <c r="L8" s="63"/>
    </row>
    <row r="9" spans="1:14" ht="11" x14ac:dyDescent="0.15">
      <c r="A9" s="17"/>
      <c r="B9" s="17"/>
      <c r="C9" s="17"/>
      <c r="D9" s="64"/>
      <c r="I9" s="63"/>
      <c r="J9" s="63"/>
      <c r="L9" s="63"/>
    </row>
    <row r="10" spans="1:14" ht="11" x14ac:dyDescent="0.15">
      <c r="A10" s="17"/>
      <c r="B10" s="17"/>
      <c r="C10" s="17"/>
      <c r="D10" s="64"/>
      <c r="I10" s="63"/>
      <c r="J10" s="63"/>
      <c r="L10" s="63"/>
    </row>
    <row r="11" spans="1:14" ht="11" x14ac:dyDescent="0.15">
      <c r="A11" s="17"/>
      <c r="B11" s="17"/>
      <c r="C11" s="17"/>
      <c r="D11" s="64"/>
      <c r="I11" s="63"/>
      <c r="J11" s="63"/>
      <c r="L11" s="63"/>
    </row>
    <row r="12" spans="1:14" ht="11" x14ac:dyDescent="0.15">
      <c r="A12" s="17"/>
      <c r="B12" s="17"/>
      <c r="C12" s="17"/>
      <c r="D12" s="64"/>
      <c r="I12" s="63"/>
      <c r="J12" s="63"/>
      <c r="L12" s="63"/>
    </row>
    <row r="13" spans="1:14" ht="11" x14ac:dyDescent="0.15">
      <c r="A13" s="17"/>
      <c r="B13" s="17"/>
      <c r="C13" s="17"/>
      <c r="D13" s="64"/>
      <c r="I13" s="63"/>
      <c r="J13" s="63"/>
      <c r="L13" s="63"/>
    </row>
    <row r="14" spans="1:14" ht="11" x14ac:dyDescent="0.15">
      <c r="A14" s="17"/>
      <c r="B14" s="17"/>
      <c r="C14" s="17"/>
      <c r="D14" s="64"/>
      <c r="I14" s="63"/>
      <c r="J14" s="63"/>
      <c r="L14" s="63"/>
    </row>
    <row r="15" spans="1:14" ht="11" x14ac:dyDescent="0.15">
      <c r="A15" s="17"/>
      <c r="B15" s="17"/>
      <c r="C15" s="17"/>
      <c r="D15" s="64"/>
      <c r="I15" s="63"/>
      <c r="J15" s="63"/>
      <c r="L15" s="63"/>
    </row>
    <row r="16" spans="1:14" ht="11" x14ac:dyDescent="0.15">
      <c r="A16" s="17"/>
      <c r="B16" s="17"/>
      <c r="C16" s="17"/>
      <c r="D16" s="64"/>
      <c r="I16" s="63"/>
      <c r="J16" s="63"/>
      <c r="L16" s="63"/>
    </row>
    <row r="17" spans="1:12" ht="11" x14ac:dyDescent="0.15">
      <c r="A17" s="17"/>
      <c r="B17" s="17"/>
      <c r="C17" s="17"/>
      <c r="D17" s="64"/>
      <c r="I17" s="63"/>
      <c r="J17" s="63"/>
      <c r="L17" s="63"/>
    </row>
    <row r="18" spans="1:12" ht="11" x14ac:dyDescent="0.15">
      <c r="A18" s="17"/>
      <c r="B18" s="17"/>
      <c r="C18" s="17"/>
      <c r="D18" s="64"/>
      <c r="F18" s="65"/>
      <c r="I18" s="63"/>
      <c r="J18" s="63"/>
      <c r="L18" s="63"/>
    </row>
    <row r="19" spans="1:12" ht="11" x14ac:dyDescent="0.15">
      <c r="A19" s="17"/>
      <c r="B19" s="17"/>
      <c r="C19" s="17"/>
      <c r="D19" s="64"/>
      <c r="I19" s="63"/>
      <c r="J19" s="63"/>
      <c r="L19" s="63"/>
    </row>
    <row r="20" spans="1:12" ht="11" x14ac:dyDescent="0.15">
      <c r="A20" s="17"/>
      <c r="B20" s="17"/>
      <c r="C20" s="17"/>
      <c r="D20" s="64"/>
      <c r="I20" s="63"/>
      <c r="J20" s="63"/>
      <c r="L20" s="63"/>
    </row>
    <row r="21" spans="1:12" ht="11" x14ac:dyDescent="0.15">
      <c r="A21" s="17"/>
      <c r="B21" s="17"/>
      <c r="C21" s="17"/>
      <c r="D21" s="64"/>
      <c r="I21" s="63"/>
      <c r="J21" s="63"/>
      <c r="L21" s="63"/>
    </row>
    <row r="22" spans="1:12" ht="11" x14ac:dyDescent="0.15">
      <c r="A22" s="17"/>
      <c r="B22" s="17"/>
      <c r="C22" s="17"/>
      <c r="D22" s="64"/>
      <c r="I22" s="63"/>
      <c r="J22" s="63"/>
      <c r="L22" s="63"/>
    </row>
    <row r="23" spans="1:12" ht="11" x14ac:dyDescent="0.15">
      <c r="A23" s="17"/>
      <c r="B23" s="17"/>
      <c r="C23" s="17"/>
      <c r="D23" s="64"/>
      <c r="J23" s="63"/>
      <c r="L23" s="63"/>
    </row>
    <row r="24" spans="1:12" ht="11" x14ac:dyDescent="0.15">
      <c r="A24" s="17"/>
      <c r="B24" s="17"/>
      <c r="C24" s="17"/>
      <c r="D24" s="64"/>
      <c r="J24" s="63"/>
      <c r="L24" s="63"/>
    </row>
    <row r="25" spans="1:12" ht="11" x14ac:dyDescent="0.15">
      <c r="A25" s="17"/>
      <c r="B25" s="17"/>
      <c r="C25" s="17"/>
      <c r="D25" s="64"/>
      <c r="J25" s="63"/>
      <c r="L25" s="63"/>
    </row>
    <row r="26" spans="1:12" ht="11" x14ac:dyDescent="0.15">
      <c r="A26" s="17"/>
      <c r="B26" s="17"/>
      <c r="C26" s="17"/>
      <c r="D26" s="64"/>
      <c r="J26" s="63"/>
      <c r="L26" s="63"/>
    </row>
    <row r="27" spans="1:12" ht="11" x14ac:dyDescent="0.15">
      <c r="A27" s="17"/>
      <c r="B27" s="17"/>
      <c r="C27" s="17"/>
      <c r="D27" s="64"/>
      <c r="J27" s="63"/>
      <c r="L27" s="63"/>
    </row>
    <row r="28" spans="1:12" ht="11" x14ac:dyDescent="0.15">
      <c r="A28" s="17"/>
      <c r="B28" s="17"/>
      <c r="C28" s="17"/>
      <c r="D28" s="64"/>
      <c r="J28" s="63"/>
      <c r="L28" s="63"/>
    </row>
    <row r="29" spans="1:12" ht="11" x14ac:dyDescent="0.15">
      <c r="A29" s="17"/>
      <c r="B29" s="17"/>
      <c r="C29" s="17"/>
      <c r="D29" s="64"/>
      <c r="J29" s="63"/>
      <c r="L29" s="63"/>
    </row>
    <row r="30" spans="1:12" ht="11" x14ac:dyDescent="0.15">
      <c r="A30" s="17"/>
      <c r="B30" s="17"/>
      <c r="C30" s="17"/>
      <c r="D30" s="64"/>
      <c r="J30" s="63"/>
      <c r="L30" s="63"/>
    </row>
    <row r="31" spans="1:12" ht="11" x14ac:dyDescent="0.15">
      <c r="A31" s="17"/>
      <c r="B31" s="17"/>
      <c r="C31" s="17"/>
      <c r="D31" s="64"/>
      <c r="J31" s="63"/>
      <c r="L31" s="63"/>
    </row>
    <row r="32" spans="1:12" ht="11" x14ac:dyDescent="0.15">
      <c r="A32" s="17"/>
      <c r="B32" s="17"/>
      <c r="C32" s="17"/>
      <c r="D32" s="64"/>
      <c r="J32" s="63"/>
      <c r="L32" s="63"/>
    </row>
    <row r="33" spans="1:12" ht="11" x14ac:dyDescent="0.15">
      <c r="A33" s="17"/>
      <c r="B33" s="17"/>
      <c r="C33" s="17"/>
      <c r="D33" s="64"/>
      <c r="J33" s="63"/>
      <c r="L33" s="63"/>
    </row>
    <row r="34" spans="1:12" ht="11" x14ac:dyDescent="0.15">
      <c r="A34" s="17"/>
      <c r="B34" s="17"/>
      <c r="C34" s="17"/>
      <c r="D34" s="64"/>
      <c r="J34" s="63"/>
      <c r="L34" s="63"/>
    </row>
    <row r="35" spans="1:12" ht="11" x14ac:dyDescent="0.15">
      <c r="A35" s="17"/>
      <c r="B35" s="17"/>
      <c r="C35" s="17"/>
      <c r="D35" s="64"/>
      <c r="J35" s="63"/>
      <c r="L35" s="63"/>
    </row>
    <row r="36" spans="1:12" ht="11" x14ac:dyDescent="0.15">
      <c r="A36" s="17"/>
      <c r="B36" s="17"/>
      <c r="C36" s="17"/>
      <c r="D36" s="64"/>
      <c r="J36" s="63"/>
      <c r="L36" s="63"/>
    </row>
    <row r="37" spans="1:12" ht="11" x14ac:dyDescent="0.15">
      <c r="A37" s="17"/>
      <c r="B37" s="17"/>
      <c r="C37" s="17"/>
      <c r="D37" s="64"/>
      <c r="J37" s="63"/>
      <c r="L37" s="63"/>
    </row>
    <row r="38" spans="1:12" ht="11" x14ac:dyDescent="0.15">
      <c r="A38" s="17"/>
      <c r="B38" s="17"/>
      <c r="C38" s="17"/>
      <c r="D38" s="64"/>
      <c r="J38" s="63"/>
      <c r="L38" s="63"/>
    </row>
    <row r="39" spans="1:12" ht="11" x14ac:dyDescent="0.15">
      <c r="A39" s="17"/>
      <c r="B39" s="17"/>
      <c r="C39" s="17"/>
      <c r="D39" s="64"/>
      <c r="J39" s="63"/>
      <c r="L39" s="63"/>
    </row>
    <row r="40" spans="1:12" ht="11" x14ac:dyDescent="0.15">
      <c r="A40" s="17"/>
      <c r="B40" s="17"/>
      <c r="C40" s="17"/>
      <c r="D40" s="64"/>
      <c r="J40" s="63"/>
      <c r="L40" s="63"/>
    </row>
    <row r="41" spans="1:12" ht="11" x14ac:dyDescent="0.15">
      <c r="A41" s="17"/>
      <c r="B41" s="17"/>
      <c r="C41" s="17"/>
      <c r="D41" s="64"/>
      <c r="J41" s="63"/>
      <c r="L41" s="63"/>
    </row>
    <row r="42" spans="1:12" ht="11" x14ac:dyDescent="0.15">
      <c r="A42" s="17"/>
      <c r="B42" s="17"/>
      <c r="C42" s="17"/>
      <c r="D42" s="64"/>
      <c r="J42" s="63"/>
      <c r="L42" s="63"/>
    </row>
    <row r="43" spans="1:12" ht="11" x14ac:dyDescent="0.15">
      <c r="A43" s="17"/>
      <c r="B43" s="17"/>
      <c r="C43" s="17"/>
      <c r="D43" s="64"/>
      <c r="J43" s="63"/>
      <c r="L43" s="63"/>
    </row>
    <row r="44" spans="1:12" ht="11" x14ac:dyDescent="0.15">
      <c r="A44" s="17"/>
      <c r="B44" s="17"/>
      <c r="C44" s="17"/>
      <c r="D44" s="64"/>
      <c r="J44" s="63"/>
      <c r="L44" s="63"/>
    </row>
    <row r="45" spans="1:12" ht="11" x14ac:dyDescent="0.15">
      <c r="A45" s="17"/>
      <c r="B45" s="17"/>
      <c r="C45" s="17"/>
      <c r="D45" s="64"/>
      <c r="J45" s="63"/>
      <c r="L45" s="63"/>
    </row>
    <row r="46" spans="1:12" ht="11" x14ac:dyDescent="0.15">
      <c r="A46" s="17"/>
      <c r="B46" s="17"/>
      <c r="C46" s="17"/>
      <c r="D46" s="64"/>
      <c r="J46" s="63"/>
      <c r="L46" s="63"/>
    </row>
    <row r="47" spans="1:12" ht="11" x14ac:dyDescent="0.15">
      <c r="A47" s="17"/>
      <c r="B47" s="17"/>
      <c r="C47" s="17"/>
      <c r="D47" s="64"/>
      <c r="J47" s="63"/>
      <c r="L47" s="63"/>
    </row>
    <row r="48" spans="1:12" ht="11" x14ac:dyDescent="0.15">
      <c r="A48" s="17"/>
      <c r="B48" s="17"/>
      <c r="C48" s="17"/>
      <c r="D48" s="64"/>
      <c r="J48" s="63"/>
      <c r="L48" s="63"/>
    </row>
    <row r="49" spans="1:12" ht="11" x14ac:dyDescent="0.15">
      <c r="A49" s="17"/>
      <c r="B49" s="17"/>
      <c r="C49" s="17"/>
      <c r="D49" s="64"/>
      <c r="J49" s="63"/>
      <c r="L49" s="63"/>
    </row>
    <row r="50" spans="1:12" ht="11" x14ac:dyDescent="0.15">
      <c r="A50" s="17"/>
      <c r="B50" s="17"/>
      <c r="C50" s="17"/>
      <c r="D50" s="64"/>
      <c r="J50" s="63"/>
      <c r="L50" s="63"/>
    </row>
    <row r="51" spans="1:12" ht="11" x14ac:dyDescent="0.15">
      <c r="A51" s="17"/>
      <c r="B51" s="17"/>
      <c r="C51" s="17"/>
      <c r="D51" s="64"/>
    </row>
    <row r="52" spans="1:12" ht="11" x14ac:dyDescent="0.15">
      <c r="A52" s="17"/>
      <c r="B52" s="17"/>
      <c r="C52" s="17"/>
      <c r="D52" s="64"/>
    </row>
    <row r="53" spans="1:12" ht="11" x14ac:dyDescent="0.15">
      <c r="A53" s="17"/>
      <c r="B53" s="17"/>
      <c r="C53" s="17"/>
      <c r="D53" s="64"/>
    </row>
    <row r="54" spans="1:12" ht="11" x14ac:dyDescent="0.15">
      <c r="A54" s="17"/>
      <c r="B54" s="17"/>
      <c r="C54" s="17"/>
      <c r="D54" s="64"/>
    </row>
    <row r="55" spans="1:12" ht="11" x14ac:dyDescent="0.15">
      <c r="A55" s="17"/>
      <c r="B55" s="17"/>
      <c r="C55" s="17"/>
      <c r="D55" s="64"/>
    </row>
    <row r="56" spans="1:12" ht="11" x14ac:dyDescent="0.15">
      <c r="A56" s="17"/>
      <c r="B56" s="17"/>
      <c r="C56" s="17"/>
      <c r="D56" s="64"/>
    </row>
    <row r="57" spans="1:12" ht="11" x14ac:dyDescent="0.15">
      <c r="A57" s="17"/>
      <c r="B57" s="17"/>
      <c r="C57" s="17"/>
      <c r="D57" s="64"/>
    </row>
    <row r="58" spans="1:12" ht="11" x14ac:dyDescent="0.15">
      <c r="A58" s="17"/>
      <c r="B58" s="17"/>
      <c r="C58" s="17"/>
      <c r="D58" s="64"/>
    </row>
    <row r="59" spans="1:12" ht="11" x14ac:dyDescent="0.15">
      <c r="A59" s="17"/>
      <c r="B59" s="17"/>
      <c r="C59" s="17"/>
      <c r="D59" s="64"/>
    </row>
    <row r="60" spans="1:12" ht="11" x14ac:dyDescent="0.15">
      <c r="A60" s="17"/>
      <c r="B60" s="17"/>
      <c r="C60" s="17"/>
      <c r="D60" s="64"/>
    </row>
    <row r="61" spans="1:12" ht="11" x14ac:dyDescent="0.15">
      <c r="A61" s="17"/>
      <c r="B61" s="17"/>
      <c r="C61" s="17"/>
      <c r="D61" s="64"/>
    </row>
    <row r="62" spans="1:12" ht="11" x14ac:dyDescent="0.15">
      <c r="A62" s="17"/>
      <c r="B62" s="17"/>
      <c r="C62" s="17"/>
      <c r="D62" s="64"/>
    </row>
    <row r="63" spans="1:12" ht="11" x14ac:dyDescent="0.15">
      <c r="A63" s="17"/>
      <c r="B63" s="17"/>
      <c r="C63" s="17"/>
      <c r="D63" s="64"/>
    </row>
    <row r="64" spans="1:12" ht="11" x14ac:dyDescent="0.15">
      <c r="A64" s="17"/>
      <c r="B64" s="17"/>
      <c r="C64" s="17"/>
      <c r="D64" s="64"/>
    </row>
    <row r="65" spans="1:4" ht="11" x14ac:dyDescent="0.15">
      <c r="A65" s="17"/>
      <c r="B65" s="17"/>
      <c r="C65" s="17"/>
      <c r="D65" s="64"/>
    </row>
    <row r="66" spans="1:4" ht="11" x14ac:dyDescent="0.15">
      <c r="A66" s="17"/>
      <c r="B66" s="17"/>
      <c r="C66" s="17"/>
      <c r="D66" s="64"/>
    </row>
    <row r="67" spans="1:4" ht="11" x14ac:dyDescent="0.15">
      <c r="A67" s="17"/>
      <c r="B67" s="17"/>
      <c r="C67" s="17"/>
      <c r="D67" s="64"/>
    </row>
    <row r="68" spans="1:4" ht="11" x14ac:dyDescent="0.15">
      <c r="A68" s="17"/>
      <c r="B68" s="17"/>
      <c r="C68" s="17"/>
      <c r="D68" s="64"/>
    </row>
    <row r="69" spans="1:4" ht="11" x14ac:dyDescent="0.15">
      <c r="A69" s="17"/>
      <c r="B69" s="17"/>
      <c r="C69" s="17"/>
      <c r="D69" s="64"/>
    </row>
    <row r="70" spans="1:4" ht="11" x14ac:dyDescent="0.15">
      <c r="A70" s="17"/>
      <c r="B70" s="17"/>
      <c r="C70" s="17"/>
      <c r="D70" s="64"/>
    </row>
    <row r="71" spans="1:4" ht="11" x14ac:dyDescent="0.15">
      <c r="A71" s="17"/>
      <c r="B71" s="17"/>
      <c r="C71" s="17"/>
      <c r="D71" s="64"/>
    </row>
    <row r="72" spans="1:4" ht="11" x14ac:dyDescent="0.15">
      <c r="A72" s="17"/>
      <c r="B72" s="17"/>
      <c r="C72" s="17"/>
      <c r="D72" s="64"/>
    </row>
    <row r="73" spans="1:4" ht="11" x14ac:dyDescent="0.15">
      <c r="A73" s="17"/>
      <c r="B73" s="17"/>
      <c r="C73" s="17"/>
      <c r="D73" s="64"/>
    </row>
    <row r="74" spans="1:4" ht="11" x14ac:dyDescent="0.15">
      <c r="A74" s="17"/>
      <c r="B74" s="17"/>
      <c r="C74" s="17"/>
      <c r="D74" s="64"/>
    </row>
    <row r="75" spans="1:4" ht="11" x14ac:dyDescent="0.15">
      <c r="A75" s="17"/>
      <c r="B75" s="17"/>
      <c r="C75" s="17"/>
      <c r="D75" s="64"/>
    </row>
    <row r="76" spans="1:4" ht="11" x14ac:dyDescent="0.15">
      <c r="A76" s="17"/>
      <c r="B76" s="17"/>
      <c r="C76" s="17"/>
      <c r="D76" s="64"/>
    </row>
    <row r="77" spans="1:4" ht="11" x14ac:dyDescent="0.15">
      <c r="A77" s="17"/>
      <c r="B77" s="17"/>
      <c r="C77" s="17"/>
      <c r="D77" s="64"/>
    </row>
    <row r="78" spans="1:4" ht="11" x14ac:dyDescent="0.15">
      <c r="A78" s="17"/>
      <c r="B78" s="17"/>
      <c r="C78" s="17"/>
      <c r="D78" s="64"/>
    </row>
    <row r="79" spans="1:4" ht="11" x14ac:dyDescent="0.15">
      <c r="A79" s="17"/>
      <c r="B79" s="17"/>
      <c r="C79" s="17"/>
      <c r="D79" s="64"/>
    </row>
    <row r="80" spans="1:4" ht="11" x14ac:dyDescent="0.15">
      <c r="A80" s="17"/>
      <c r="B80" s="17"/>
      <c r="C80" s="17"/>
      <c r="D80" s="64"/>
    </row>
    <row r="81" spans="1:4" ht="11" x14ac:dyDescent="0.15">
      <c r="A81" s="17"/>
      <c r="B81" s="17"/>
      <c r="C81" s="17"/>
      <c r="D81" s="64"/>
    </row>
    <row r="82" spans="1:4" ht="11" x14ac:dyDescent="0.15">
      <c r="A82" s="17"/>
      <c r="B82" s="17"/>
      <c r="C82" s="17"/>
      <c r="D82" s="64"/>
    </row>
    <row r="83" spans="1:4" ht="11" x14ac:dyDescent="0.15">
      <c r="A83" s="17"/>
      <c r="B83" s="17"/>
      <c r="C83" s="17"/>
      <c r="D83" s="64"/>
    </row>
    <row r="84" spans="1:4" ht="11" x14ac:dyDescent="0.15">
      <c r="A84" s="17"/>
      <c r="B84" s="17"/>
      <c r="C84" s="17"/>
      <c r="D84" s="64"/>
    </row>
    <row r="85" spans="1:4" ht="11" x14ac:dyDescent="0.15">
      <c r="A85" s="17"/>
      <c r="B85" s="17"/>
      <c r="C85" s="17"/>
      <c r="D85" s="64"/>
    </row>
    <row r="86" spans="1:4" ht="11" x14ac:dyDescent="0.15">
      <c r="A86" s="17"/>
      <c r="B86" s="17"/>
      <c r="C86" s="17"/>
      <c r="D86" s="64"/>
    </row>
    <row r="87" spans="1:4" ht="11" x14ac:dyDescent="0.15">
      <c r="A87" s="17"/>
      <c r="B87" s="17"/>
      <c r="C87" s="17"/>
      <c r="D87" s="64"/>
    </row>
    <row r="88" spans="1:4" ht="11" x14ac:dyDescent="0.15">
      <c r="A88" s="17"/>
      <c r="B88" s="17"/>
      <c r="C88" s="17"/>
      <c r="D88" s="64"/>
    </row>
    <row r="89" spans="1:4" ht="11" x14ac:dyDescent="0.15">
      <c r="A89" s="17"/>
      <c r="B89" s="17"/>
      <c r="C89" s="17"/>
      <c r="D89" s="64"/>
    </row>
    <row r="90" spans="1:4" ht="11" x14ac:dyDescent="0.15">
      <c r="A90" s="17"/>
      <c r="B90" s="17"/>
      <c r="C90" s="17"/>
      <c r="D90" s="64"/>
    </row>
    <row r="91" spans="1:4" ht="11" x14ac:dyDescent="0.15">
      <c r="A91" s="17"/>
      <c r="B91" s="17"/>
      <c r="C91" s="17"/>
      <c r="D91" s="64"/>
    </row>
    <row r="92" spans="1:4" ht="11" x14ac:dyDescent="0.15">
      <c r="A92" s="17"/>
      <c r="B92" s="17"/>
      <c r="C92" s="17"/>
      <c r="D92" s="64"/>
    </row>
    <row r="93" spans="1:4" ht="11" x14ac:dyDescent="0.15">
      <c r="A93" s="17"/>
      <c r="B93" s="17"/>
      <c r="C93" s="17"/>
      <c r="D93" s="64"/>
    </row>
    <row r="94" spans="1:4" ht="11" x14ac:dyDescent="0.15">
      <c r="A94" s="17"/>
      <c r="B94" s="17"/>
      <c r="C94" s="17"/>
      <c r="D94" s="64"/>
    </row>
    <row r="95" spans="1:4" ht="11" x14ac:dyDescent="0.15">
      <c r="A95" s="17"/>
      <c r="B95" s="17"/>
      <c r="C95" s="17"/>
      <c r="D95" s="64"/>
    </row>
    <row r="96" spans="1:4" ht="11" x14ac:dyDescent="0.15">
      <c r="A96" s="17"/>
      <c r="B96" s="17"/>
      <c r="C96" s="17"/>
      <c r="D96" s="64"/>
    </row>
    <row r="97" spans="1:4" ht="11" x14ac:dyDescent="0.15">
      <c r="A97" s="17"/>
      <c r="B97" s="17"/>
      <c r="C97" s="17"/>
      <c r="D97" s="64"/>
    </row>
    <row r="98" spans="1:4" ht="11" x14ac:dyDescent="0.15">
      <c r="A98" s="17"/>
      <c r="B98" s="17"/>
      <c r="C98" s="17"/>
      <c r="D98" s="64"/>
    </row>
    <row r="99" spans="1:4" ht="11" x14ac:dyDescent="0.15">
      <c r="A99" s="17"/>
      <c r="B99" s="17"/>
      <c r="C99" s="17"/>
      <c r="D99" s="64"/>
    </row>
    <row r="100" spans="1:4" ht="11" x14ac:dyDescent="0.15">
      <c r="A100" s="17"/>
      <c r="B100" s="17"/>
      <c r="C100" s="17"/>
      <c r="D100" s="64"/>
    </row>
    <row r="101" spans="1:4" ht="11" x14ac:dyDescent="0.15">
      <c r="A101" s="17"/>
      <c r="B101" s="17"/>
      <c r="C101" s="17"/>
      <c r="D101" s="64"/>
    </row>
    <row r="102" spans="1:4" ht="11" x14ac:dyDescent="0.15">
      <c r="A102" s="17"/>
      <c r="B102" s="17"/>
      <c r="C102" s="17"/>
      <c r="D102" s="64"/>
    </row>
    <row r="103" spans="1:4" ht="11" x14ac:dyDescent="0.15">
      <c r="A103" s="17"/>
      <c r="B103" s="17"/>
      <c r="C103" s="17"/>
      <c r="D103" s="64"/>
    </row>
    <row r="104" spans="1:4" ht="11" x14ac:dyDescent="0.15">
      <c r="A104" s="17"/>
      <c r="B104" s="17"/>
      <c r="C104" s="17"/>
      <c r="D104" s="64"/>
    </row>
    <row r="105" spans="1:4" ht="11" x14ac:dyDescent="0.15">
      <c r="A105" s="17"/>
      <c r="B105" s="17"/>
      <c r="C105" s="17"/>
      <c r="D105" s="64"/>
    </row>
    <row r="106" spans="1:4" ht="11" x14ac:dyDescent="0.15">
      <c r="A106" s="17"/>
      <c r="B106" s="17"/>
      <c r="C106" s="17"/>
      <c r="D106" s="64"/>
    </row>
    <row r="107" spans="1:4" ht="11" x14ac:dyDescent="0.15">
      <c r="A107" s="17"/>
      <c r="B107" s="17"/>
      <c r="C107" s="17"/>
      <c r="D107" s="64"/>
    </row>
    <row r="108" spans="1:4" ht="11" x14ac:dyDescent="0.15">
      <c r="A108" s="17"/>
      <c r="B108" s="17"/>
      <c r="C108" s="17"/>
      <c r="D108" s="64"/>
    </row>
    <row r="109" spans="1:4" ht="11" x14ac:dyDescent="0.15">
      <c r="A109" s="17"/>
      <c r="B109" s="17"/>
      <c r="C109" s="17"/>
      <c r="D109" s="64"/>
    </row>
    <row r="110" spans="1:4" ht="11" x14ac:dyDescent="0.15">
      <c r="A110" s="17"/>
      <c r="B110" s="17"/>
      <c r="C110" s="17"/>
      <c r="D110" s="64"/>
    </row>
    <row r="111" spans="1:4" ht="11" x14ac:dyDescent="0.15">
      <c r="A111" s="17"/>
      <c r="B111" s="17"/>
      <c r="C111" s="17"/>
      <c r="D111" s="64"/>
    </row>
    <row r="112" spans="1:4" ht="11" x14ac:dyDescent="0.15">
      <c r="A112" s="17"/>
      <c r="B112" s="17"/>
      <c r="C112" s="17"/>
      <c r="D112" s="64"/>
    </row>
    <row r="113" spans="1:4" ht="11" x14ac:dyDescent="0.15">
      <c r="A113" s="17"/>
      <c r="B113" s="17"/>
      <c r="C113" s="17"/>
      <c r="D113" s="64"/>
    </row>
    <row r="114" spans="1:4" ht="11" x14ac:dyDescent="0.15">
      <c r="A114" s="17"/>
      <c r="B114" s="17"/>
      <c r="C114" s="17"/>
      <c r="D114" s="64"/>
    </row>
    <row r="115" spans="1:4" ht="11" x14ac:dyDescent="0.15">
      <c r="A115" s="17"/>
      <c r="B115" s="17"/>
      <c r="C115" s="17"/>
      <c r="D115" s="64"/>
    </row>
    <row r="116" spans="1:4" ht="11" x14ac:dyDescent="0.15">
      <c r="A116" s="17"/>
      <c r="B116" s="17"/>
      <c r="C116" s="17"/>
      <c r="D116" s="64"/>
    </row>
    <row r="117" spans="1:4" ht="11" x14ac:dyDescent="0.15">
      <c r="A117" s="17"/>
      <c r="B117" s="17"/>
      <c r="C117" s="17"/>
      <c r="D117" s="64"/>
    </row>
    <row r="118" spans="1:4" ht="11" x14ac:dyDescent="0.15">
      <c r="A118" s="17"/>
      <c r="B118" s="17"/>
      <c r="C118" s="17"/>
      <c r="D118" s="64"/>
    </row>
    <row r="119" spans="1:4" ht="11" x14ac:dyDescent="0.15">
      <c r="A119" s="17"/>
      <c r="B119" s="17"/>
      <c r="C119" s="17"/>
      <c r="D119" s="64"/>
    </row>
    <row r="120" spans="1:4" ht="11" x14ac:dyDescent="0.15">
      <c r="A120" s="17"/>
      <c r="B120" s="17"/>
      <c r="C120" s="17"/>
      <c r="D120" s="64"/>
    </row>
    <row r="121" spans="1:4" ht="11" x14ac:dyDescent="0.15">
      <c r="A121" s="17"/>
      <c r="B121" s="17"/>
      <c r="C121" s="17"/>
      <c r="D121" s="64"/>
    </row>
    <row r="122" spans="1:4" ht="11" x14ac:dyDescent="0.15">
      <c r="A122" s="17"/>
      <c r="B122" s="17"/>
      <c r="C122" s="17"/>
      <c r="D122" s="64"/>
    </row>
    <row r="123" spans="1:4" ht="11" x14ac:dyDescent="0.15">
      <c r="A123" s="17"/>
      <c r="B123" s="17"/>
      <c r="C123" s="17"/>
      <c r="D123" s="64"/>
    </row>
    <row r="124" spans="1:4" ht="11" x14ac:dyDescent="0.15">
      <c r="A124" s="17"/>
      <c r="B124" s="17"/>
      <c r="C124" s="17"/>
      <c r="D124" s="64"/>
    </row>
    <row r="125" spans="1:4" ht="11" x14ac:dyDescent="0.15">
      <c r="A125" s="17"/>
      <c r="B125" s="17"/>
      <c r="C125" s="17"/>
      <c r="D125" s="64"/>
    </row>
    <row r="126" spans="1:4" ht="11" x14ac:dyDescent="0.15">
      <c r="A126" s="17"/>
      <c r="B126" s="17"/>
      <c r="C126" s="17"/>
      <c r="D126" s="64"/>
    </row>
    <row r="127" spans="1:4" ht="11" x14ac:dyDescent="0.15">
      <c r="A127" s="17"/>
      <c r="B127" s="17"/>
      <c r="C127" s="17"/>
      <c r="D127" s="64"/>
    </row>
    <row r="128" spans="1:4" ht="11" x14ac:dyDescent="0.15">
      <c r="A128" s="17"/>
      <c r="B128" s="17"/>
      <c r="C128" s="17"/>
      <c r="D128" s="64"/>
    </row>
    <row r="129" spans="1:4" ht="11" x14ac:dyDescent="0.15">
      <c r="A129" s="17"/>
      <c r="B129" s="17"/>
      <c r="C129" s="17"/>
      <c r="D129" s="64"/>
    </row>
    <row r="130" spans="1:4" ht="11" x14ac:dyDescent="0.15">
      <c r="A130" s="17"/>
      <c r="B130" s="17"/>
      <c r="C130" s="17"/>
      <c r="D130" s="64"/>
    </row>
    <row r="131" spans="1:4" ht="11" x14ac:dyDescent="0.15">
      <c r="A131" s="17"/>
      <c r="B131" s="17"/>
      <c r="C131" s="17"/>
      <c r="D131" s="64"/>
    </row>
    <row r="132" spans="1:4" ht="11" x14ac:dyDescent="0.15">
      <c r="A132" s="17"/>
      <c r="B132" s="17"/>
      <c r="C132" s="17"/>
      <c r="D132" s="64"/>
    </row>
    <row r="133" spans="1:4" ht="11" x14ac:dyDescent="0.15">
      <c r="A133" s="17"/>
      <c r="B133" s="17"/>
      <c r="C133" s="17"/>
      <c r="D133" s="64"/>
    </row>
    <row r="134" spans="1:4" ht="11" x14ac:dyDescent="0.15">
      <c r="A134" s="17"/>
      <c r="B134" s="17"/>
      <c r="C134" s="17"/>
      <c r="D134" s="64"/>
    </row>
    <row r="135" spans="1:4" ht="11" x14ac:dyDescent="0.15">
      <c r="A135" s="17"/>
      <c r="B135" s="17"/>
      <c r="C135" s="17"/>
      <c r="D135" s="64"/>
    </row>
    <row r="136" spans="1:4" ht="11" x14ac:dyDescent="0.15">
      <c r="A136" s="17"/>
      <c r="B136" s="17"/>
      <c r="C136" s="17"/>
      <c r="D136" s="64"/>
    </row>
    <row r="137" spans="1:4" ht="11" x14ac:dyDescent="0.15">
      <c r="A137" s="17"/>
      <c r="B137" s="17"/>
      <c r="C137" s="17"/>
      <c r="D137" s="64"/>
    </row>
    <row r="138" spans="1:4" ht="11" x14ac:dyDescent="0.15">
      <c r="A138" s="17"/>
      <c r="B138" s="17"/>
      <c r="C138" s="17"/>
      <c r="D138" s="64"/>
    </row>
    <row r="139" spans="1:4" ht="11" x14ac:dyDescent="0.15">
      <c r="A139" s="17"/>
      <c r="B139" s="17"/>
      <c r="C139" s="17"/>
      <c r="D139" s="64"/>
    </row>
    <row r="140" spans="1:4" ht="11" x14ac:dyDescent="0.15">
      <c r="A140" s="17"/>
      <c r="B140" s="17"/>
      <c r="C140" s="17"/>
      <c r="D140" s="64"/>
    </row>
    <row r="141" spans="1:4" ht="11" x14ac:dyDescent="0.15">
      <c r="A141" s="17"/>
      <c r="B141" s="17"/>
      <c r="C141" s="17"/>
      <c r="D141" s="64"/>
    </row>
    <row r="142" spans="1:4" ht="11" x14ac:dyDescent="0.15">
      <c r="A142" s="17"/>
      <c r="B142" s="17"/>
      <c r="C142" s="17"/>
      <c r="D142" s="64"/>
    </row>
    <row r="143" spans="1:4" ht="11" x14ac:dyDescent="0.15">
      <c r="A143" s="17"/>
      <c r="B143" s="17"/>
      <c r="C143" s="17"/>
      <c r="D143" s="64"/>
    </row>
    <row r="144" spans="1:4" ht="11" x14ac:dyDescent="0.15">
      <c r="A144" s="17"/>
      <c r="B144" s="17"/>
      <c r="C144" s="17"/>
      <c r="D144" s="64"/>
    </row>
    <row r="145" spans="1:4" ht="11" x14ac:dyDescent="0.15">
      <c r="A145" s="17"/>
      <c r="B145" s="17"/>
      <c r="C145" s="17"/>
      <c r="D145" s="64"/>
    </row>
    <row r="146" spans="1:4" ht="11" x14ac:dyDescent="0.15">
      <c r="A146" s="17"/>
      <c r="B146" s="17"/>
      <c r="C146" s="17"/>
      <c r="D146" s="64"/>
    </row>
    <row r="147" spans="1:4" ht="11" x14ac:dyDescent="0.15">
      <c r="A147" s="17"/>
      <c r="B147" s="17"/>
      <c r="C147" s="17"/>
      <c r="D147" s="64"/>
    </row>
    <row r="148" spans="1:4" ht="11" x14ac:dyDescent="0.15">
      <c r="A148" s="17"/>
      <c r="B148" s="17"/>
      <c r="C148" s="17"/>
      <c r="D148" s="64"/>
    </row>
    <row r="149" spans="1:4" ht="11" x14ac:dyDescent="0.15">
      <c r="A149" s="17"/>
      <c r="B149" s="17"/>
      <c r="C149" s="17"/>
      <c r="D149" s="64"/>
    </row>
    <row r="150" spans="1:4" ht="11" x14ac:dyDescent="0.15">
      <c r="A150" s="17"/>
      <c r="B150" s="17"/>
      <c r="C150" s="17"/>
      <c r="D150" s="64"/>
    </row>
    <row r="151" spans="1:4" ht="11" x14ac:dyDescent="0.15">
      <c r="A151" s="17"/>
      <c r="B151" s="17"/>
      <c r="C151" s="17"/>
      <c r="D151" s="64"/>
    </row>
    <row r="152" spans="1:4" ht="11" x14ac:dyDescent="0.15">
      <c r="A152" s="17"/>
      <c r="B152" s="17"/>
      <c r="C152" s="17"/>
      <c r="D152" s="64"/>
    </row>
    <row r="153" spans="1:4" ht="11" x14ac:dyDescent="0.15">
      <c r="A153" s="17"/>
      <c r="B153" s="17"/>
      <c r="C153" s="17"/>
      <c r="D153" s="64"/>
    </row>
    <row r="154" spans="1:4" ht="11" x14ac:dyDescent="0.15">
      <c r="A154" s="17"/>
      <c r="B154" s="17"/>
      <c r="C154" s="17"/>
      <c r="D154" s="64"/>
    </row>
    <row r="155" spans="1:4" ht="11" x14ac:dyDescent="0.15">
      <c r="A155" s="17"/>
      <c r="B155" s="17"/>
      <c r="C155" s="17"/>
      <c r="D155" s="64"/>
    </row>
    <row r="156" spans="1:4" ht="11" x14ac:dyDescent="0.15">
      <c r="A156" s="17"/>
      <c r="B156" s="17"/>
      <c r="C156" s="17"/>
      <c r="D156" s="64"/>
    </row>
    <row r="157" spans="1:4" ht="11" x14ac:dyDescent="0.15">
      <c r="A157" s="17"/>
      <c r="B157" s="17"/>
      <c r="C157" s="17"/>
      <c r="D157" s="64"/>
    </row>
    <row r="158" spans="1:4" ht="11" x14ac:dyDescent="0.15">
      <c r="A158" s="17"/>
      <c r="B158" s="17"/>
      <c r="C158" s="17"/>
      <c r="D158" s="64"/>
    </row>
    <row r="159" spans="1:4" ht="11" x14ac:dyDescent="0.15">
      <c r="A159" s="17"/>
      <c r="B159" s="17"/>
      <c r="C159" s="17"/>
      <c r="D159" s="64"/>
    </row>
    <row r="160" spans="1:4" ht="11" x14ac:dyDescent="0.15">
      <c r="A160" s="17"/>
      <c r="B160" s="17"/>
      <c r="C160" s="17"/>
      <c r="D160" s="64"/>
    </row>
    <row r="161" spans="1:4" ht="11" x14ac:dyDescent="0.15">
      <c r="A161" s="17"/>
      <c r="B161" s="17"/>
      <c r="C161" s="17"/>
      <c r="D161" s="64"/>
    </row>
    <row r="162" spans="1:4" ht="11" x14ac:dyDescent="0.15">
      <c r="A162" s="17"/>
      <c r="B162" s="17"/>
      <c r="C162" s="17"/>
      <c r="D162" s="64"/>
    </row>
    <row r="163" spans="1:4" ht="11" x14ac:dyDescent="0.15">
      <c r="A163" s="17"/>
      <c r="B163" s="17"/>
      <c r="C163" s="17"/>
      <c r="D163" s="64"/>
    </row>
    <row r="164" spans="1:4" ht="11" x14ac:dyDescent="0.15">
      <c r="A164" s="17"/>
      <c r="B164" s="17"/>
      <c r="C164" s="17"/>
      <c r="D164" s="64"/>
    </row>
    <row r="165" spans="1:4" ht="11" x14ac:dyDescent="0.15">
      <c r="A165" s="17"/>
      <c r="B165" s="17"/>
      <c r="C165" s="17"/>
      <c r="D165" s="64"/>
    </row>
    <row r="166" spans="1:4" ht="11" x14ac:dyDescent="0.15">
      <c r="A166" s="17"/>
      <c r="B166" s="17"/>
      <c r="C166" s="17"/>
      <c r="D166" s="64"/>
    </row>
    <row r="167" spans="1:4" ht="11" x14ac:dyDescent="0.15">
      <c r="A167" s="17"/>
      <c r="B167" s="17"/>
      <c r="C167" s="17"/>
      <c r="D167" s="64"/>
    </row>
    <row r="168" spans="1:4" ht="11" x14ac:dyDescent="0.15">
      <c r="A168" s="17"/>
      <c r="B168" s="17"/>
      <c r="C168" s="17"/>
      <c r="D168" s="64"/>
    </row>
    <row r="169" spans="1:4" ht="11" x14ac:dyDescent="0.15">
      <c r="A169" s="17"/>
      <c r="B169" s="17"/>
      <c r="C169" s="17"/>
      <c r="D169" s="64"/>
    </row>
    <row r="170" spans="1:4" ht="11" x14ac:dyDescent="0.15">
      <c r="A170" s="17"/>
      <c r="B170" s="17"/>
      <c r="C170" s="17"/>
      <c r="D170" s="64"/>
    </row>
    <row r="171" spans="1:4" ht="11" x14ac:dyDescent="0.15">
      <c r="A171" s="17"/>
      <c r="B171" s="17"/>
      <c r="C171" s="17"/>
      <c r="D171" s="64"/>
    </row>
    <row r="172" spans="1:4" ht="11" x14ac:dyDescent="0.15">
      <c r="A172" s="17"/>
      <c r="B172" s="17"/>
      <c r="C172" s="17"/>
      <c r="D172" s="64"/>
    </row>
    <row r="173" spans="1:4" ht="11" x14ac:dyDescent="0.15">
      <c r="A173" s="17"/>
      <c r="B173" s="17"/>
      <c r="C173" s="17"/>
      <c r="D173" s="64"/>
    </row>
    <row r="174" spans="1:4" ht="11" x14ac:dyDescent="0.15">
      <c r="A174" s="17"/>
      <c r="B174" s="17"/>
      <c r="C174" s="17"/>
      <c r="D174" s="64"/>
    </row>
    <row r="175" spans="1:4" ht="11" x14ac:dyDescent="0.15">
      <c r="A175" s="17"/>
      <c r="B175" s="17"/>
      <c r="C175" s="17"/>
      <c r="D175" s="64"/>
    </row>
    <row r="176" spans="1:4" ht="11" x14ac:dyDescent="0.15">
      <c r="A176" s="17"/>
      <c r="B176" s="17"/>
      <c r="C176" s="17"/>
      <c r="D176" s="64"/>
    </row>
    <row r="177" spans="1:4" ht="11" x14ac:dyDescent="0.15">
      <c r="A177" s="17"/>
      <c r="B177" s="17"/>
      <c r="C177" s="17"/>
      <c r="D177" s="64"/>
    </row>
    <row r="178" spans="1:4" ht="11" x14ac:dyDescent="0.15">
      <c r="A178" s="17"/>
      <c r="B178" s="17"/>
      <c r="C178" s="17"/>
      <c r="D178" s="64"/>
    </row>
    <row r="179" spans="1:4" ht="11" x14ac:dyDescent="0.15">
      <c r="A179" s="17"/>
      <c r="B179" s="17"/>
      <c r="C179" s="17"/>
      <c r="D179" s="17"/>
    </row>
    <row r="180" spans="1:4" ht="11" x14ac:dyDescent="0.15">
      <c r="A180" s="17"/>
      <c r="B180" s="17"/>
      <c r="C180" s="17"/>
      <c r="D180" s="17"/>
    </row>
    <row r="181" spans="1:4" ht="11" x14ac:dyDescent="0.15">
      <c r="A181" s="17"/>
      <c r="B181" s="17"/>
      <c r="C181" s="17"/>
      <c r="D181" s="17"/>
    </row>
    <row r="182" spans="1:4" ht="11" x14ac:dyDescent="0.15">
      <c r="A182" s="17"/>
      <c r="B182" s="17"/>
      <c r="C182" s="17"/>
      <c r="D182" s="17"/>
    </row>
    <row r="183" spans="1:4" ht="11" x14ac:dyDescent="0.15">
      <c r="A183" s="17"/>
      <c r="B183" s="17"/>
      <c r="C183" s="17"/>
      <c r="D183" s="17"/>
    </row>
    <row r="184" spans="1:4" ht="11" x14ac:dyDescent="0.15">
      <c r="A184" s="17"/>
      <c r="B184" s="17"/>
      <c r="C184" s="17"/>
      <c r="D184" s="17"/>
    </row>
    <row r="185" spans="1:4" ht="11" x14ac:dyDescent="0.15">
      <c r="A185" s="17"/>
      <c r="B185" s="17"/>
      <c r="C185" s="17"/>
      <c r="D185" s="17"/>
    </row>
    <row r="186" spans="1:4" ht="11" x14ac:dyDescent="0.15">
      <c r="A186" s="17"/>
      <c r="B186" s="17"/>
      <c r="C186" s="17"/>
      <c r="D186" s="17"/>
    </row>
    <row r="187" spans="1:4" ht="11" x14ac:dyDescent="0.15">
      <c r="A187" s="17"/>
      <c r="B187" s="17"/>
      <c r="C187" s="17"/>
      <c r="D187" s="17"/>
    </row>
    <row r="188" spans="1:4" ht="11" x14ac:dyDescent="0.15">
      <c r="A188" s="17"/>
      <c r="B188" s="17"/>
      <c r="C188" s="17"/>
      <c r="D188" s="17"/>
    </row>
    <row r="189" spans="1:4" ht="11" x14ac:dyDescent="0.15">
      <c r="A189" s="17"/>
      <c r="B189" s="17"/>
      <c r="C189" s="17"/>
      <c r="D189" s="17"/>
    </row>
    <row r="190" spans="1:4" ht="11" x14ac:dyDescent="0.15">
      <c r="A190" s="17"/>
      <c r="B190" s="17"/>
      <c r="C190" s="17"/>
      <c r="D190" s="17"/>
    </row>
    <row r="191" spans="1:4" ht="11" x14ac:dyDescent="0.15">
      <c r="A191" s="17"/>
      <c r="B191" s="17"/>
      <c r="C191" s="17"/>
      <c r="D191" s="17"/>
    </row>
    <row r="192" spans="1:4" ht="11" x14ac:dyDescent="0.15">
      <c r="A192" s="17"/>
      <c r="B192" s="17"/>
      <c r="C192" s="17"/>
      <c r="D192" s="17"/>
    </row>
    <row r="193" spans="1:4" ht="11" x14ac:dyDescent="0.15">
      <c r="A193" s="17"/>
      <c r="B193" s="17"/>
      <c r="C193" s="17"/>
      <c r="D193" s="17"/>
    </row>
    <row r="194" spans="1:4" ht="11" x14ac:dyDescent="0.15">
      <c r="A194" s="17"/>
      <c r="B194" s="17"/>
      <c r="C194" s="17"/>
      <c r="D194" s="17"/>
    </row>
    <row r="195" spans="1:4" ht="11" x14ac:dyDescent="0.15">
      <c r="A195" s="17"/>
      <c r="B195" s="17"/>
      <c r="C195" s="17"/>
      <c r="D195" s="17"/>
    </row>
    <row r="196" spans="1:4" ht="11" x14ac:dyDescent="0.15">
      <c r="A196" s="17"/>
      <c r="B196" s="17"/>
      <c r="C196" s="17"/>
      <c r="D196" s="17"/>
    </row>
    <row r="197" spans="1:4" ht="11" x14ac:dyDescent="0.15">
      <c r="A197" s="17"/>
      <c r="B197" s="17"/>
      <c r="C197" s="17"/>
      <c r="D197" s="17"/>
    </row>
  </sheetData>
  <autoFilter ref="A1:D1" xr:uid="{00000000-0009-0000-0000-000001000000}"/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200"/>
  <sheetViews>
    <sheetView zoomScaleNormal="100" workbookViewId="0">
      <selection activeCell="D3" sqref="C2:D3"/>
    </sheetView>
  </sheetViews>
  <sheetFormatPr baseColWidth="10" defaultColWidth="8.796875" defaultRowHeight="11" x14ac:dyDescent="0.15"/>
  <cols>
    <col min="1" max="2" width="12.3984375" style="17" customWidth="1"/>
    <col min="3" max="3" width="12.3984375" style="64" customWidth="1"/>
    <col min="4" max="4" width="12.3984375" style="66" customWidth="1"/>
    <col min="5" max="6" width="8.796875" style="17"/>
    <col min="10" max="10" width="9.796875" customWidth="1"/>
    <col min="11" max="20" width="12.19921875" customWidth="1"/>
  </cols>
  <sheetData>
    <row r="1" spans="1:29" x14ac:dyDescent="0.15">
      <c r="A1" s="67" t="s">
        <v>51</v>
      </c>
      <c r="B1" s="67" t="s">
        <v>52</v>
      </c>
      <c r="C1" s="68" t="s">
        <v>53</v>
      </c>
      <c r="D1" s="67" t="s">
        <v>54</v>
      </c>
      <c r="E1" s="67" t="s">
        <v>55</v>
      </c>
      <c r="F1" s="69" t="s">
        <v>56</v>
      </c>
      <c r="G1" s="7" t="s">
        <v>57</v>
      </c>
      <c r="K1" t="s">
        <v>52</v>
      </c>
      <c r="L1" t="s">
        <v>52</v>
      </c>
      <c r="M1" t="s">
        <v>52</v>
      </c>
      <c r="N1" t="s">
        <v>52</v>
      </c>
      <c r="O1" t="s">
        <v>52</v>
      </c>
      <c r="P1" t="s">
        <v>52</v>
      </c>
      <c r="Q1" t="s">
        <v>52</v>
      </c>
      <c r="R1" t="s">
        <v>52</v>
      </c>
      <c r="S1" t="s">
        <v>52</v>
      </c>
      <c r="T1" t="s">
        <v>52</v>
      </c>
      <c r="AB1" t="s">
        <v>52</v>
      </c>
      <c r="AC1" t="s">
        <v>51</v>
      </c>
    </row>
    <row r="2" spans="1:29" ht="13" x14ac:dyDescent="0.15">
      <c r="A2" s="14"/>
      <c r="B2" s="14"/>
      <c r="C2" s="70"/>
      <c r="D2" s="14"/>
      <c r="E2" s="14"/>
      <c r="F2" s="71" t="str">
        <f t="shared" ref="F2:F33" si="0">IF(ISBLANK(B2),"",IF(ISNUMBER($K$10),D2*$K$10,E2))</f>
        <v/>
      </c>
      <c r="G2" s="19" t="s">
        <v>58</v>
      </c>
      <c r="H2" s="19">
        <f>COUNT(SConc)</f>
        <v>0</v>
      </c>
      <c r="K2">
        <v>1</v>
      </c>
      <c r="L2">
        <v>2</v>
      </c>
      <c r="M2">
        <v>3</v>
      </c>
      <c r="N2">
        <v>4</v>
      </c>
      <c r="O2">
        <v>5</v>
      </c>
      <c r="P2">
        <v>6</v>
      </c>
      <c r="Q2">
        <v>7</v>
      </c>
      <c r="R2">
        <v>8</v>
      </c>
      <c r="S2">
        <v>9</v>
      </c>
      <c r="T2">
        <v>10</v>
      </c>
      <c r="U2" s="72"/>
      <c r="AB2">
        <f t="shared" ref="AB2:AB33" si="1">B2</f>
        <v>0</v>
      </c>
      <c r="AC2">
        <f t="shared" ref="AC2:AC33" si="2">A2</f>
        <v>0</v>
      </c>
    </row>
    <row r="3" spans="1:29" ht="13" x14ac:dyDescent="0.15">
      <c r="C3" s="73"/>
      <c r="D3" s="17"/>
      <c r="F3" s="71" t="str">
        <f t="shared" si="0"/>
        <v/>
      </c>
      <c r="G3" s="19" t="s">
        <v>59</v>
      </c>
      <c r="H3" s="74">
        <v>1</v>
      </c>
      <c r="J3" t="s">
        <v>51</v>
      </c>
      <c r="K3" s="64" t="e">
        <f t="shared" ref="K3:T3" si="3">VLOOKUP(K2,$AB$2:$AC$200,2,FALSE())</f>
        <v>#N/A</v>
      </c>
      <c r="L3" s="64" t="e">
        <f t="shared" si="3"/>
        <v>#N/A</v>
      </c>
      <c r="M3" s="64" t="e">
        <f t="shared" si="3"/>
        <v>#N/A</v>
      </c>
      <c r="N3" s="64" t="e">
        <f t="shared" si="3"/>
        <v>#N/A</v>
      </c>
      <c r="O3" s="64" t="e">
        <f t="shared" si="3"/>
        <v>#N/A</v>
      </c>
      <c r="P3" s="64" t="e">
        <f t="shared" si="3"/>
        <v>#N/A</v>
      </c>
      <c r="Q3" s="64" t="e">
        <f t="shared" si="3"/>
        <v>#N/A</v>
      </c>
      <c r="R3" s="64" t="e">
        <f t="shared" si="3"/>
        <v>#N/A</v>
      </c>
      <c r="S3" s="64" t="e">
        <f t="shared" si="3"/>
        <v>#N/A</v>
      </c>
      <c r="T3" s="64" t="e">
        <f t="shared" si="3"/>
        <v>#N/A</v>
      </c>
      <c r="U3" s="72"/>
      <c r="AB3">
        <f t="shared" si="1"/>
        <v>0</v>
      </c>
      <c r="AC3">
        <f t="shared" si="2"/>
        <v>0</v>
      </c>
    </row>
    <row r="4" spans="1:29" ht="13" x14ac:dyDescent="0.15">
      <c r="C4" s="73"/>
      <c r="D4" s="17"/>
      <c r="F4" s="71" t="str">
        <f t="shared" si="0"/>
        <v/>
      </c>
      <c r="J4" t="s">
        <v>45</v>
      </c>
      <c r="K4" s="64" t="e">
        <f t="shared" ref="K4:T4" si="4">DAVERAGE($A$1:$D$200,3,K1:K2)</f>
        <v>#DIV/0!</v>
      </c>
      <c r="L4" s="64" t="e">
        <f t="shared" si="4"/>
        <v>#DIV/0!</v>
      </c>
      <c r="M4" s="64" t="e">
        <f t="shared" si="4"/>
        <v>#DIV/0!</v>
      </c>
      <c r="N4" s="64" t="e">
        <f t="shared" si="4"/>
        <v>#DIV/0!</v>
      </c>
      <c r="O4" s="64" t="e">
        <f t="shared" si="4"/>
        <v>#DIV/0!</v>
      </c>
      <c r="P4" s="64" t="e">
        <f t="shared" si="4"/>
        <v>#DIV/0!</v>
      </c>
      <c r="Q4" s="64" t="e">
        <f t="shared" si="4"/>
        <v>#DIV/0!</v>
      </c>
      <c r="R4" s="64" t="e">
        <f t="shared" si="4"/>
        <v>#DIV/0!</v>
      </c>
      <c r="S4" s="64" t="e">
        <f t="shared" si="4"/>
        <v>#DIV/0!</v>
      </c>
      <c r="T4" s="64" t="e">
        <f t="shared" si="4"/>
        <v>#DIV/0!</v>
      </c>
      <c r="U4" s="72"/>
      <c r="AB4">
        <f t="shared" si="1"/>
        <v>0</v>
      </c>
      <c r="AC4">
        <f t="shared" si="2"/>
        <v>0</v>
      </c>
    </row>
    <row r="5" spans="1:29" ht="13" x14ac:dyDescent="0.15">
      <c r="C5" s="73"/>
      <c r="D5" s="17"/>
      <c r="F5" s="71" t="str">
        <f t="shared" si="0"/>
        <v/>
      </c>
      <c r="J5" t="s">
        <v>60</v>
      </c>
      <c r="K5" s="64" t="e">
        <f t="shared" ref="K5:T5" si="5">DSTDEV($A$1:$D$200,3,K1:K2)/SQRT(MIN(DCOUNT($A$1:$D$200,3,K1:K2),$H$3))</f>
        <v>#DIV/0!</v>
      </c>
      <c r="L5" s="64" t="e">
        <f t="shared" si="5"/>
        <v>#DIV/0!</v>
      </c>
      <c r="M5" s="64" t="e">
        <f t="shared" si="5"/>
        <v>#DIV/0!</v>
      </c>
      <c r="N5" s="64" t="e">
        <f t="shared" si="5"/>
        <v>#DIV/0!</v>
      </c>
      <c r="O5" s="64" t="e">
        <f t="shared" si="5"/>
        <v>#DIV/0!</v>
      </c>
      <c r="P5" s="64" t="e">
        <f t="shared" si="5"/>
        <v>#DIV/0!</v>
      </c>
      <c r="Q5" s="64" t="e">
        <f t="shared" si="5"/>
        <v>#DIV/0!</v>
      </c>
      <c r="R5" s="64" t="e">
        <f t="shared" si="5"/>
        <v>#DIV/0!</v>
      </c>
      <c r="S5" s="64" t="e">
        <f t="shared" si="5"/>
        <v>#DIV/0!</v>
      </c>
      <c r="T5" s="64" t="e">
        <f t="shared" si="5"/>
        <v>#DIV/0!</v>
      </c>
      <c r="U5" s="72"/>
      <c r="AB5">
        <f t="shared" si="1"/>
        <v>0</v>
      </c>
      <c r="AC5">
        <f t="shared" si="2"/>
        <v>0</v>
      </c>
    </row>
    <row r="6" spans="1:29" ht="13" x14ac:dyDescent="0.15">
      <c r="C6" s="73"/>
      <c r="D6" s="17"/>
      <c r="F6" s="71" t="str">
        <f t="shared" si="0"/>
        <v/>
      </c>
      <c r="G6" s="17"/>
      <c r="H6" s="75"/>
      <c r="K6" s="76" t="e">
        <f t="shared" ref="K6:P6" si="6">K5/K4</f>
        <v>#DIV/0!</v>
      </c>
      <c r="L6" s="76" t="e">
        <f t="shared" si="6"/>
        <v>#DIV/0!</v>
      </c>
      <c r="M6" s="76" t="e">
        <f t="shared" si="6"/>
        <v>#DIV/0!</v>
      </c>
      <c r="N6" s="76" t="e">
        <f t="shared" si="6"/>
        <v>#DIV/0!</v>
      </c>
      <c r="O6" s="76" t="e">
        <f t="shared" si="6"/>
        <v>#DIV/0!</v>
      </c>
      <c r="P6" s="76" t="e">
        <f t="shared" si="6"/>
        <v>#DIV/0!</v>
      </c>
      <c r="Q6" s="17"/>
      <c r="R6" s="17"/>
      <c r="S6" s="17"/>
      <c r="T6" s="17"/>
      <c r="U6" s="72"/>
      <c r="AB6">
        <f t="shared" si="1"/>
        <v>0</v>
      </c>
      <c r="AC6">
        <f t="shared" si="2"/>
        <v>0</v>
      </c>
    </row>
    <row r="7" spans="1:29" ht="13" x14ac:dyDescent="0.15">
      <c r="C7" s="73"/>
      <c r="D7" s="17"/>
      <c r="F7" s="71" t="str">
        <f t="shared" si="0"/>
        <v/>
      </c>
      <c r="G7" s="17"/>
      <c r="H7" s="75"/>
      <c r="J7" t="s">
        <v>61</v>
      </c>
      <c r="K7" s="77" t="e">
        <f t="shared" ref="K7:T7" si="7">VLOOKUP(K2,$B$1:$E$200,3,FALSE())</f>
        <v>#N/A</v>
      </c>
      <c r="L7" s="77" t="e">
        <f t="shared" si="7"/>
        <v>#N/A</v>
      </c>
      <c r="M7" s="77" t="e">
        <f t="shared" si="7"/>
        <v>#N/A</v>
      </c>
      <c r="N7" s="77" t="e">
        <f t="shared" si="7"/>
        <v>#N/A</v>
      </c>
      <c r="O7" s="77" t="e">
        <f t="shared" si="7"/>
        <v>#N/A</v>
      </c>
      <c r="P7" s="77" t="e">
        <f t="shared" si="7"/>
        <v>#N/A</v>
      </c>
      <c r="Q7" s="77" t="e">
        <f t="shared" si="7"/>
        <v>#N/A</v>
      </c>
      <c r="R7" s="77" t="e">
        <f t="shared" si="7"/>
        <v>#N/A</v>
      </c>
      <c r="S7" s="77" t="e">
        <f t="shared" si="7"/>
        <v>#N/A</v>
      </c>
      <c r="T7" s="77" t="e">
        <f t="shared" si="7"/>
        <v>#N/A</v>
      </c>
      <c r="U7" s="72"/>
      <c r="AB7">
        <f t="shared" si="1"/>
        <v>0</v>
      </c>
      <c r="AC7">
        <f t="shared" si="2"/>
        <v>0</v>
      </c>
    </row>
    <row r="8" spans="1:29" ht="13" x14ac:dyDescent="0.15">
      <c r="C8" s="73"/>
      <c r="D8" s="17"/>
      <c r="F8" s="71" t="str">
        <f t="shared" si="0"/>
        <v/>
      </c>
      <c r="G8" s="17"/>
      <c r="H8" s="75"/>
      <c r="J8" t="s">
        <v>62</v>
      </c>
      <c r="K8" s="77" t="e">
        <f t="shared" ref="K8:T8" si="8">IF(ISBLANK($K$10),VLOOKUP(K2,$B$1:$E$200,4,FALSE()),$K$10*K7)</f>
        <v>#N/A</v>
      </c>
      <c r="L8" s="77" t="e">
        <f t="shared" si="8"/>
        <v>#N/A</v>
      </c>
      <c r="M8" s="77" t="e">
        <f t="shared" si="8"/>
        <v>#N/A</v>
      </c>
      <c r="N8" s="77" t="e">
        <f t="shared" si="8"/>
        <v>#N/A</v>
      </c>
      <c r="O8" s="77" t="e">
        <f t="shared" si="8"/>
        <v>#N/A</v>
      </c>
      <c r="P8" s="77" t="e">
        <f t="shared" si="8"/>
        <v>#N/A</v>
      </c>
      <c r="Q8" s="77" t="e">
        <f t="shared" si="8"/>
        <v>#N/A</v>
      </c>
      <c r="R8" s="77" t="e">
        <f t="shared" si="8"/>
        <v>#N/A</v>
      </c>
      <c r="S8" s="77" t="e">
        <f t="shared" si="8"/>
        <v>#N/A</v>
      </c>
      <c r="T8" s="77" t="e">
        <f t="shared" si="8"/>
        <v>#N/A</v>
      </c>
      <c r="U8" s="72"/>
      <c r="AB8">
        <f t="shared" si="1"/>
        <v>0</v>
      </c>
      <c r="AC8">
        <f t="shared" si="2"/>
        <v>0</v>
      </c>
    </row>
    <row r="9" spans="1:29" ht="13" x14ac:dyDescent="0.15">
      <c r="C9" s="73"/>
      <c r="D9" s="17"/>
      <c r="F9" s="71" t="str">
        <f t="shared" si="0"/>
        <v/>
      </c>
      <c r="G9" s="17"/>
      <c r="H9" s="75"/>
      <c r="K9" s="76" t="e">
        <f t="shared" ref="K9:T9" si="9">K8/K7</f>
        <v>#N/A</v>
      </c>
      <c r="L9" s="76" t="e">
        <f t="shared" si="9"/>
        <v>#N/A</v>
      </c>
      <c r="M9" s="76" t="e">
        <f t="shared" si="9"/>
        <v>#N/A</v>
      </c>
      <c r="N9" s="76" t="e">
        <f t="shared" si="9"/>
        <v>#N/A</v>
      </c>
      <c r="O9" s="76" t="e">
        <f t="shared" si="9"/>
        <v>#N/A</v>
      </c>
      <c r="P9" s="76" t="e">
        <f t="shared" si="9"/>
        <v>#N/A</v>
      </c>
      <c r="Q9" s="76" t="e">
        <f t="shared" si="9"/>
        <v>#N/A</v>
      </c>
      <c r="R9" s="76" t="e">
        <f t="shared" si="9"/>
        <v>#N/A</v>
      </c>
      <c r="S9" s="76" t="e">
        <f t="shared" si="9"/>
        <v>#N/A</v>
      </c>
      <c r="T9" s="76" t="e">
        <f t="shared" si="9"/>
        <v>#N/A</v>
      </c>
      <c r="U9" s="72"/>
      <c r="AB9">
        <f t="shared" si="1"/>
        <v>0</v>
      </c>
      <c r="AC9">
        <f t="shared" si="2"/>
        <v>0</v>
      </c>
    </row>
    <row r="10" spans="1:29" ht="13" x14ac:dyDescent="0.15">
      <c r="C10" s="73"/>
      <c r="D10" s="17"/>
      <c r="F10" s="71" t="str">
        <f t="shared" si="0"/>
        <v/>
      </c>
      <c r="G10" s="17"/>
      <c r="H10" s="75"/>
      <c r="I10" t="s">
        <v>63</v>
      </c>
      <c r="K10" s="78">
        <v>2E-3</v>
      </c>
      <c r="L10" s="79" t="s">
        <v>64</v>
      </c>
      <c r="M10" s="80"/>
      <c r="N10" s="80"/>
      <c r="O10" s="81"/>
      <c r="U10" s="72"/>
      <c r="AB10">
        <f t="shared" si="1"/>
        <v>0</v>
      </c>
      <c r="AC10">
        <f t="shared" si="2"/>
        <v>0</v>
      </c>
    </row>
    <row r="11" spans="1:29" ht="13" x14ac:dyDescent="0.15">
      <c r="C11" s="73"/>
      <c r="D11" s="17"/>
      <c r="F11" s="71" t="str">
        <f t="shared" si="0"/>
        <v/>
      </c>
      <c r="G11" s="7"/>
      <c r="H11" s="75"/>
      <c r="I11" s="81"/>
      <c r="J11" s="81"/>
      <c r="K11" s="81"/>
      <c r="L11" s="66"/>
      <c r="M11" s="66"/>
      <c r="N11" s="66"/>
      <c r="O11" s="66"/>
      <c r="P11" s="7"/>
      <c r="Q11" s="7"/>
      <c r="R11" s="7"/>
      <c r="U11" s="72"/>
      <c r="AB11">
        <f t="shared" si="1"/>
        <v>0</v>
      </c>
      <c r="AC11">
        <f t="shared" si="2"/>
        <v>0</v>
      </c>
    </row>
    <row r="12" spans="1:29" ht="13" x14ac:dyDescent="0.15">
      <c r="C12" s="73"/>
      <c r="D12" s="17"/>
      <c r="F12" s="71" t="str">
        <f t="shared" si="0"/>
        <v/>
      </c>
      <c r="G12" s="17"/>
      <c r="H12" s="75"/>
      <c r="J12" s="7" t="s">
        <v>65</v>
      </c>
      <c r="K12" s="64"/>
      <c r="L12" s="64"/>
      <c r="M12" s="64"/>
      <c r="N12" s="64"/>
      <c r="O12" s="64"/>
      <c r="P12" s="64"/>
      <c r="Q12" s="64"/>
      <c r="R12" s="64"/>
      <c r="U12" s="72"/>
      <c r="AB12">
        <f t="shared" si="1"/>
        <v>0</v>
      </c>
      <c r="AC12">
        <f t="shared" si="2"/>
        <v>0</v>
      </c>
    </row>
    <row r="13" spans="1:29" ht="13" x14ac:dyDescent="0.15">
      <c r="C13" s="73"/>
      <c r="D13" s="17"/>
      <c r="F13" s="71" t="str">
        <f t="shared" si="0"/>
        <v/>
      </c>
      <c r="G13" s="17"/>
      <c r="H13" s="75"/>
      <c r="J13" s="7" t="s">
        <v>66</v>
      </c>
      <c r="K13" s="82"/>
      <c r="L13" s="82"/>
      <c r="M13" s="82"/>
      <c r="N13" s="76"/>
      <c r="O13" s="76"/>
      <c r="P13" s="76"/>
      <c r="Q13" s="76"/>
      <c r="R13" s="76"/>
      <c r="U13" s="72"/>
      <c r="AB13">
        <f t="shared" si="1"/>
        <v>0</v>
      </c>
      <c r="AC13">
        <f t="shared" si="2"/>
        <v>0</v>
      </c>
    </row>
    <row r="14" spans="1:29" ht="13" x14ac:dyDescent="0.15">
      <c r="C14" s="73"/>
      <c r="D14" s="17"/>
      <c r="F14" s="71" t="str">
        <f t="shared" si="0"/>
        <v/>
      </c>
      <c r="G14" s="17"/>
      <c r="H14" s="75"/>
      <c r="K14" s="17"/>
      <c r="L14" s="17"/>
      <c r="M14" s="80"/>
      <c r="N14" s="80"/>
      <c r="U14" s="72"/>
      <c r="AB14">
        <f t="shared" si="1"/>
        <v>0</v>
      </c>
      <c r="AC14">
        <f t="shared" si="2"/>
        <v>0</v>
      </c>
    </row>
    <row r="15" spans="1:29" ht="13" x14ac:dyDescent="0.15">
      <c r="C15" s="73"/>
      <c r="D15" s="17"/>
      <c r="F15" s="71" t="str">
        <f t="shared" si="0"/>
        <v/>
      </c>
      <c r="J15" s="83" t="s">
        <v>67</v>
      </c>
      <c r="K15" s="84" t="s">
        <v>61</v>
      </c>
      <c r="L15" s="85" t="s">
        <v>62</v>
      </c>
      <c r="M15" s="86" t="s">
        <v>2</v>
      </c>
      <c r="N15" s="87" t="s">
        <v>62</v>
      </c>
      <c r="U15" s="72"/>
      <c r="AB15">
        <f t="shared" si="1"/>
        <v>0</v>
      </c>
      <c r="AC15">
        <f t="shared" si="2"/>
        <v>0</v>
      </c>
    </row>
    <row r="16" spans="1:29" ht="13" x14ac:dyDescent="0.15">
      <c r="C16" s="73"/>
      <c r="D16" s="17"/>
      <c r="F16" s="71" t="str">
        <f t="shared" si="0"/>
        <v/>
      </c>
      <c r="J16" s="88">
        <v>1</v>
      </c>
      <c r="K16" s="89" t="str">
        <f>IF(ISERROR(K7),"",K7)</f>
        <v/>
      </c>
      <c r="L16" s="90" t="str">
        <f>IF(ISERROR(K8),"",K8)</f>
        <v/>
      </c>
      <c r="M16" s="91" t="str">
        <f>IF(ISERROR(K4),"",K4)</f>
        <v/>
      </c>
      <c r="N16" s="90" t="str">
        <f>IF(ISERROR(K5),"",K5)</f>
        <v/>
      </c>
      <c r="U16" s="72"/>
      <c r="AB16">
        <f t="shared" si="1"/>
        <v>0</v>
      </c>
      <c r="AC16">
        <f t="shared" si="2"/>
        <v>0</v>
      </c>
    </row>
    <row r="17" spans="3:29" ht="13" x14ac:dyDescent="0.15">
      <c r="C17" s="73"/>
      <c r="D17" s="17"/>
      <c r="F17" s="71" t="str">
        <f t="shared" si="0"/>
        <v/>
      </c>
      <c r="J17" s="88">
        <v>2</v>
      </c>
      <c r="K17" s="89" t="str">
        <f>IF(ISERROR(L7),"",L7)</f>
        <v/>
      </c>
      <c r="L17" s="90" t="str">
        <f>IF(ISERROR(L8),"",L8)</f>
        <v/>
      </c>
      <c r="M17" s="91" t="str">
        <f>IF(ISERROR(L4),"",L4)</f>
        <v/>
      </c>
      <c r="N17" s="90" t="str">
        <f>IF(ISERROR(L5),"",L5)</f>
        <v/>
      </c>
      <c r="U17" s="72"/>
      <c r="AB17">
        <f t="shared" si="1"/>
        <v>0</v>
      </c>
      <c r="AC17">
        <f t="shared" si="2"/>
        <v>0</v>
      </c>
    </row>
    <row r="18" spans="3:29" ht="13" x14ac:dyDescent="0.15">
      <c r="C18" s="73"/>
      <c r="D18" s="17"/>
      <c r="F18" s="71" t="str">
        <f t="shared" si="0"/>
        <v/>
      </c>
      <c r="J18" s="88">
        <v>3</v>
      </c>
      <c r="K18" s="89" t="str">
        <f>IF(ISERROR(M7),"",M7)</f>
        <v/>
      </c>
      <c r="L18" s="90" t="str">
        <f>IF(ISERROR(M8),"",M8)</f>
        <v/>
      </c>
      <c r="M18" s="91" t="str">
        <f>IF(ISERROR(M4),"",M4)</f>
        <v/>
      </c>
      <c r="N18" s="90" t="str">
        <f>IF(ISERROR(M5),"",M5)</f>
        <v/>
      </c>
      <c r="U18" s="72"/>
      <c r="AB18">
        <f t="shared" si="1"/>
        <v>0</v>
      </c>
      <c r="AC18">
        <f t="shared" si="2"/>
        <v>0</v>
      </c>
    </row>
    <row r="19" spans="3:29" ht="13" x14ac:dyDescent="0.15">
      <c r="C19" s="73"/>
      <c r="D19" s="17"/>
      <c r="F19" s="71" t="str">
        <f t="shared" si="0"/>
        <v/>
      </c>
      <c r="J19" s="88">
        <v>4</v>
      </c>
      <c r="K19" s="89" t="str">
        <f>IF(ISERROR(N7),"",N7)</f>
        <v/>
      </c>
      <c r="L19" s="90" t="str">
        <f>IF(ISERROR(N8),"",N8)</f>
        <v/>
      </c>
      <c r="M19" s="91" t="str">
        <f>IF(ISERROR(N4),"",N4)</f>
        <v/>
      </c>
      <c r="N19" s="90" t="str">
        <f>IF(ISERROR(N5),"",N5)</f>
        <v/>
      </c>
      <c r="U19" s="72"/>
      <c r="AB19">
        <f t="shared" si="1"/>
        <v>0</v>
      </c>
      <c r="AC19">
        <f t="shared" si="2"/>
        <v>0</v>
      </c>
    </row>
    <row r="20" spans="3:29" ht="13" x14ac:dyDescent="0.15">
      <c r="C20" s="73"/>
      <c r="D20" s="17"/>
      <c r="F20" s="71" t="str">
        <f t="shared" si="0"/>
        <v/>
      </c>
      <c r="J20" s="88">
        <v>5</v>
      </c>
      <c r="K20" s="89" t="str">
        <f>IF(ISERROR(O7),"",O7)</f>
        <v/>
      </c>
      <c r="L20" s="90" t="str">
        <f>IF(ISERROR(O8),"",O8)</f>
        <v/>
      </c>
      <c r="M20" s="91" t="str">
        <f>IF(ISERROR(O4),"",O4)</f>
        <v/>
      </c>
      <c r="N20" s="90" t="str">
        <f>IF(ISERROR(O5),"",O5)</f>
        <v/>
      </c>
      <c r="U20" s="72"/>
      <c r="AB20">
        <f t="shared" si="1"/>
        <v>0</v>
      </c>
      <c r="AC20">
        <f t="shared" si="2"/>
        <v>0</v>
      </c>
    </row>
    <row r="21" spans="3:29" ht="13" x14ac:dyDescent="0.15">
      <c r="C21" s="73"/>
      <c r="D21" s="17"/>
      <c r="F21" s="71" t="str">
        <f t="shared" si="0"/>
        <v/>
      </c>
      <c r="J21" s="88">
        <v>6</v>
      </c>
      <c r="K21" s="89" t="str">
        <f>IF(ISERROR(P7),"",P7)</f>
        <v/>
      </c>
      <c r="L21" s="90" t="str">
        <f>IF(ISERROR(P8),"",P8)</f>
        <v/>
      </c>
      <c r="M21" s="91" t="str">
        <f>IF(ISERROR(P4),"",P4)</f>
        <v/>
      </c>
      <c r="N21" s="90" t="str">
        <f>IF(ISERROR(P5),"",P5)</f>
        <v/>
      </c>
      <c r="U21" s="72"/>
      <c r="AB21">
        <f t="shared" si="1"/>
        <v>0</v>
      </c>
      <c r="AC21">
        <f t="shared" si="2"/>
        <v>0</v>
      </c>
    </row>
    <row r="22" spans="3:29" ht="13" x14ac:dyDescent="0.15">
      <c r="C22" s="73"/>
      <c r="D22" s="17"/>
      <c r="F22" s="71" t="str">
        <f t="shared" si="0"/>
        <v/>
      </c>
      <c r="J22" s="88">
        <v>7</v>
      </c>
      <c r="K22" s="89" t="str">
        <f>IF(ISERROR(Q7),"",Q7)</f>
        <v/>
      </c>
      <c r="L22" s="90" t="str">
        <f>IF(ISERROR(Q8),"",Q8)</f>
        <v/>
      </c>
      <c r="M22" s="91" t="str">
        <f>IF(ISERROR(Q4),"",Q4)</f>
        <v/>
      </c>
      <c r="N22" s="90" t="str">
        <f>IF(ISERROR(Q5),"",Q5)</f>
        <v/>
      </c>
      <c r="U22" s="72"/>
      <c r="AB22">
        <f t="shared" si="1"/>
        <v>0</v>
      </c>
      <c r="AC22">
        <f t="shared" si="2"/>
        <v>0</v>
      </c>
    </row>
    <row r="23" spans="3:29" ht="13" x14ac:dyDescent="0.15">
      <c r="C23" s="73"/>
      <c r="D23" s="17"/>
      <c r="F23" s="71" t="str">
        <f t="shared" si="0"/>
        <v/>
      </c>
      <c r="J23" s="88">
        <v>8</v>
      </c>
      <c r="K23" s="89" t="str">
        <f>IF(ISERROR(R7),"",R7)</f>
        <v/>
      </c>
      <c r="L23" s="90" t="str">
        <f>IF(ISERROR(R8),"",R8)</f>
        <v/>
      </c>
      <c r="M23" s="91" t="str">
        <f>IF(ISERROR(R4),"",R4)</f>
        <v/>
      </c>
      <c r="N23" s="90" t="str">
        <f>IF(ISERROR(R5),"",R5)</f>
        <v/>
      </c>
      <c r="U23" s="72"/>
      <c r="AB23">
        <f t="shared" si="1"/>
        <v>0</v>
      </c>
      <c r="AC23">
        <f t="shared" si="2"/>
        <v>0</v>
      </c>
    </row>
    <row r="24" spans="3:29" ht="13" x14ac:dyDescent="0.15">
      <c r="C24" s="73"/>
      <c r="D24" s="17"/>
      <c r="F24" s="71" t="str">
        <f t="shared" si="0"/>
        <v/>
      </c>
      <c r="J24" s="88">
        <v>9</v>
      </c>
      <c r="K24" s="89" t="str">
        <f>IF(ISERROR(S7),"",S7)</f>
        <v/>
      </c>
      <c r="L24" s="90" t="str">
        <f>IF(ISERROR(S8),"",S8)</f>
        <v/>
      </c>
      <c r="M24" s="91" t="str">
        <f>IF(ISERROR(S4),"",S4)</f>
        <v/>
      </c>
      <c r="N24" s="90" t="str">
        <f>IF(ISERROR(S5),"",S5)</f>
        <v/>
      </c>
      <c r="U24" s="72"/>
      <c r="AB24">
        <f t="shared" si="1"/>
        <v>0</v>
      </c>
      <c r="AC24">
        <f t="shared" si="2"/>
        <v>0</v>
      </c>
    </row>
    <row r="25" spans="3:29" ht="13" x14ac:dyDescent="0.15">
      <c r="C25" s="73"/>
      <c r="D25" s="17"/>
      <c r="F25" s="71" t="str">
        <f t="shared" si="0"/>
        <v/>
      </c>
      <c r="J25" s="92">
        <v>10</v>
      </c>
      <c r="K25" s="93" t="str">
        <f>IF(ISERROR(T7),"",T7)</f>
        <v/>
      </c>
      <c r="L25" s="94" t="str">
        <f>IF(ISERROR(T8),"",T8)</f>
        <v/>
      </c>
      <c r="M25" s="95" t="str">
        <f>IF(ISERROR(T4),"",T4)</f>
        <v/>
      </c>
      <c r="N25" s="94" t="str">
        <f>IF(ISERROR(T5),"",T5)</f>
        <v/>
      </c>
      <c r="U25" s="72"/>
      <c r="AB25">
        <f t="shared" si="1"/>
        <v>0</v>
      </c>
      <c r="AC25">
        <f t="shared" si="2"/>
        <v>0</v>
      </c>
    </row>
    <row r="26" spans="3:29" ht="13" x14ac:dyDescent="0.15">
      <c r="C26" s="73"/>
      <c r="D26" s="17"/>
      <c r="F26" s="71" t="str">
        <f t="shared" si="0"/>
        <v/>
      </c>
      <c r="U26" s="72"/>
      <c r="AB26">
        <f t="shared" si="1"/>
        <v>0</v>
      </c>
      <c r="AC26">
        <f t="shared" si="2"/>
        <v>0</v>
      </c>
    </row>
    <row r="27" spans="3:29" ht="13" x14ac:dyDescent="0.15">
      <c r="C27" s="73"/>
      <c r="D27" s="17"/>
      <c r="F27" s="71" t="str">
        <f t="shared" si="0"/>
        <v/>
      </c>
      <c r="J27" s="54"/>
      <c r="U27" s="72"/>
      <c r="AB27">
        <f t="shared" si="1"/>
        <v>0</v>
      </c>
      <c r="AC27">
        <f t="shared" si="2"/>
        <v>0</v>
      </c>
    </row>
    <row r="28" spans="3:29" ht="13" x14ac:dyDescent="0.15">
      <c r="C28" s="73"/>
      <c r="D28" s="17"/>
      <c r="F28" s="71" t="str">
        <f t="shared" si="0"/>
        <v/>
      </c>
      <c r="J28" s="17"/>
      <c r="K28" s="17"/>
      <c r="L28" s="73"/>
      <c r="M28" s="17"/>
      <c r="N28" s="17"/>
      <c r="U28" s="72"/>
      <c r="AB28">
        <f t="shared" si="1"/>
        <v>0</v>
      </c>
      <c r="AC28">
        <f t="shared" si="2"/>
        <v>0</v>
      </c>
    </row>
    <row r="29" spans="3:29" ht="13" x14ac:dyDescent="0.15">
      <c r="C29" s="73"/>
      <c r="D29" s="17"/>
      <c r="F29" s="71" t="str">
        <f t="shared" si="0"/>
        <v/>
      </c>
      <c r="J29" s="17"/>
      <c r="K29" s="17"/>
      <c r="L29" s="73"/>
      <c r="M29" s="17"/>
      <c r="N29" s="17"/>
      <c r="U29" s="72"/>
      <c r="AB29">
        <f t="shared" si="1"/>
        <v>0</v>
      </c>
      <c r="AC29">
        <f t="shared" si="2"/>
        <v>0</v>
      </c>
    </row>
    <row r="30" spans="3:29" ht="13" x14ac:dyDescent="0.15">
      <c r="C30" s="73"/>
      <c r="D30" s="17"/>
      <c r="F30" s="71" t="str">
        <f t="shared" si="0"/>
        <v/>
      </c>
      <c r="U30" s="72"/>
      <c r="AB30">
        <f t="shared" si="1"/>
        <v>0</v>
      </c>
      <c r="AC30">
        <f t="shared" si="2"/>
        <v>0</v>
      </c>
    </row>
    <row r="31" spans="3:29" ht="13" x14ac:dyDescent="0.15">
      <c r="C31" s="73"/>
      <c r="D31" s="17"/>
      <c r="F31" s="71" t="str">
        <f t="shared" si="0"/>
        <v/>
      </c>
      <c r="U31" s="72"/>
      <c r="AB31">
        <f t="shared" si="1"/>
        <v>0</v>
      </c>
      <c r="AC31">
        <f t="shared" si="2"/>
        <v>0</v>
      </c>
    </row>
    <row r="32" spans="3:29" ht="13" x14ac:dyDescent="0.15">
      <c r="C32" s="73"/>
      <c r="D32" s="17"/>
      <c r="F32" s="71" t="str">
        <f t="shared" si="0"/>
        <v/>
      </c>
      <c r="U32" s="72"/>
      <c r="AB32">
        <f t="shared" si="1"/>
        <v>0</v>
      </c>
      <c r="AC32">
        <f t="shared" si="2"/>
        <v>0</v>
      </c>
    </row>
    <row r="33" spans="3:29" ht="13" x14ac:dyDescent="0.15">
      <c r="C33" s="73"/>
      <c r="D33" s="17"/>
      <c r="F33" s="71" t="str">
        <f t="shared" si="0"/>
        <v/>
      </c>
      <c r="U33" s="72"/>
      <c r="AB33">
        <f t="shared" si="1"/>
        <v>0</v>
      </c>
      <c r="AC33">
        <f t="shared" si="2"/>
        <v>0</v>
      </c>
    </row>
    <row r="34" spans="3:29" ht="13" x14ac:dyDescent="0.15">
      <c r="C34" s="73"/>
      <c r="D34" s="17"/>
      <c r="F34" s="71" t="str">
        <f t="shared" ref="F34:F65" si="10">IF(ISBLANK(B34),"",IF(ISNUMBER($K$10),D34*$K$10,E34))</f>
        <v/>
      </c>
      <c r="U34" s="72"/>
      <c r="AB34">
        <f t="shared" ref="AB34:AB65" si="11">B34</f>
        <v>0</v>
      </c>
      <c r="AC34">
        <f t="shared" ref="AC34:AC65" si="12">A34</f>
        <v>0</v>
      </c>
    </row>
    <row r="35" spans="3:29" ht="13" x14ac:dyDescent="0.15">
      <c r="C35" s="73"/>
      <c r="D35" s="17"/>
      <c r="F35" s="71" t="str">
        <f t="shared" si="10"/>
        <v/>
      </c>
      <c r="U35" s="72"/>
      <c r="AB35">
        <f t="shared" si="11"/>
        <v>0</v>
      </c>
      <c r="AC35">
        <f t="shared" si="12"/>
        <v>0</v>
      </c>
    </row>
    <row r="36" spans="3:29" ht="13" x14ac:dyDescent="0.15">
      <c r="C36" s="73"/>
      <c r="D36" s="17"/>
      <c r="F36" s="71" t="str">
        <f t="shared" si="10"/>
        <v/>
      </c>
      <c r="U36" s="72"/>
      <c r="AB36">
        <f t="shared" si="11"/>
        <v>0</v>
      </c>
      <c r="AC36">
        <f t="shared" si="12"/>
        <v>0</v>
      </c>
    </row>
    <row r="37" spans="3:29" ht="13" x14ac:dyDescent="0.15">
      <c r="C37" s="73"/>
      <c r="D37" s="17"/>
      <c r="F37" s="71" t="str">
        <f t="shared" si="10"/>
        <v/>
      </c>
      <c r="U37" s="72"/>
      <c r="AB37">
        <f t="shared" si="11"/>
        <v>0</v>
      </c>
      <c r="AC37">
        <f t="shared" si="12"/>
        <v>0</v>
      </c>
    </row>
    <row r="38" spans="3:29" ht="13" x14ac:dyDescent="0.15">
      <c r="C38" s="73"/>
      <c r="D38" s="17"/>
      <c r="F38" s="71" t="str">
        <f t="shared" si="10"/>
        <v/>
      </c>
      <c r="U38" s="72"/>
      <c r="AB38">
        <f t="shared" si="11"/>
        <v>0</v>
      </c>
      <c r="AC38">
        <f t="shared" si="12"/>
        <v>0</v>
      </c>
    </row>
    <row r="39" spans="3:29" ht="13" x14ac:dyDescent="0.15">
      <c r="C39" s="73"/>
      <c r="D39" s="17"/>
      <c r="F39" s="71" t="str">
        <f t="shared" si="10"/>
        <v/>
      </c>
      <c r="U39" s="72"/>
      <c r="AB39">
        <f t="shared" si="11"/>
        <v>0</v>
      </c>
      <c r="AC39">
        <f t="shared" si="12"/>
        <v>0</v>
      </c>
    </row>
    <row r="40" spans="3:29" ht="13" x14ac:dyDescent="0.15">
      <c r="C40" s="73"/>
      <c r="D40" s="17"/>
      <c r="F40" s="71" t="str">
        <f t="shared" si="10"/>
        <v/>
      </c>
      <c r="U40" s="72"/>
      <c r="AB40">
        <f t="shared" si="11"/>
        <v>0</v>
      </c>
      <c r="AC40">
        <f t="shared" si="12"/>
        <v>0</v>
      </c>
    </row>
    <row r="41" spans="3:29" ht="13" x14ac:dyDescent="0.15">
      <c r="C41" s="73"/>
      <c r="D41" s="17"/>
      <c r="F41" s="71" t="str">
        <f t="shared" si="10"/>
        <v/>
      </c>
      <c r="U41" s="72"/>
      <c r="AB41">
        <f t="shared" si="11"/>
        <v>0</v>
      </c>
      <c r="AC41">
        <f t="shared" si="12"/>
        <v>0</v>
      </c>
    </row>
    <row r="42" spans="3:29" ht="13" x14ac:dyDescent="0.15">
      <c r="C42" s="73"/>
      <c r="D42" s="17"/>
      <c r="F42" s="71" t="str">
        <f t="shared" si="10"/>
        <v/>
      </c>
      <c r="AB42">
        <f t="shared" si="11"/>
        <v>0</v>
      </c>
      <c r="AC42">
        <f t="shared" si="12"/>
        <v>0</v>
      </c>
    </row>
    <row r="43" spans="3:29" ht="13" x14ac:dyDescent="0.15">
      <c r="C43" s="73"/>
      <c r="D43" s="17"/>
      <c r="F43" s="71" t="str">
        <f t="shared" si="10"/>
        <v/>
      </c>
      <c r="AB43">
        <f t="shared" si="11"/>
        <v>0</v>
      </c>
      <c r="AC43">
        <f t="shared" si="12"/>
        <v>0</v>
      </c>
    </row>
    <row r="44" spans="3:29" ht="13" x14ac:dyDescent="0.15">
      <c r="C44" s="73"/>
      <c r="D44" s="17"/>
      <c r="F44" s="71" t="str">
        <f t="shared" si="10"/>
        <v/>
      </c>
      <c r="AB44">
        <f t="shared" si="11"/>
        <v>0</v>
      </c>
      <c r="AC44">
        <f t="shared" si="12"/>
        <v>0</v>
      </c>
    </row>
    <row r="45" spans="3:29" ht="13" x14ac:dyDescent="0.15">
      <c r="C45" s="73"/>
      <c r="D45" s="17"/>
      <c r="F45" s="71" t="str">
        <f t="shared" si="10"/>
        <v/>
      </c>
      <c r="AB45">
        <f t="shared" si="11"/>
        <v>0</v>
      </c>
      <c r="AC45">
        <f t="shared" si="12"/>
        <v>0</v>
      </c>
    </row>
    <row r="46" spans="3:29" ht="13" x14ac:dyDescent="0.15">
      <c r="C46" s="73"/>
      <c r="D46" s="17"/>
      <c r="F46" s="71" t="str">
        <f t="shared" si="10"/>
        <v/>
      </c>
      <c r="AB46">
        <f t="shared" si="11"/>
        <v>0</v>
      </c>
      <c r="AC46">
        <f t="shared" si="12"/>
        <v>0</v>
      </c>
    </row>
    <row r="47" spans="3:29" ht="13" x14ac:dyDescent="0.15">
      <c r="C47" s="73"/>
      <c r="D47" s="17"/>
      <c r="F47" s="71" t="str">
        <f t="shared" si="10"/>
        <v/>
      </c>
      <c r="AB47">
        <f t="shared" si="11"/>
        <v>0</v>
      </c>
      <c r="AC47">
        <f t="shared" si="12"/>
        <v>0</v>
      </c>
    </row>
    <row r="48" spans="3:29" ht="13" x14ac:dyDescent="0.15">
      <c r="C48" s="73"/>
      <c r="D48" s="17"/>
      <c r="F48" s="71" t="str">
        <f t="shared" si="10"/>
        <v/>
      </c>
      <c r="AB48">
        <f t="shared" si="11"/>
        <v>0</v>
      </c>
      <c r="AC48">
        <f t="shared" si="12"/>
        <v>0</v>
      </c>
    </row>
    <row r="49" spans="3:29" ht="13" x14ac:dyDescent="0.15">
      <c r="C49" s="73"/>
      <c r="D49" s="17"/>
      <c r="F49" s="71" t="str">
        <f t="shared" si="10"/>
        <v/>
      </c>
      <c r="AB49">
        <f t="shared" si="11"/>
        <v>0</v>
      </c>
      <c r="AC49">
        <f t="shared" si="12"/>
        <v>0</v>
      </c>
    </row>
    <row r="50" spans="3:29" ht="13" x14ac:dyDescent="0.15">
      <c r="C50" s="17"/>
      <c r="D50" s="17"/>
      <c r="F50" s="71" t="str">
        <f t="shared" si="10"/>
        <v/>
      </c>
      <c r="AB50">
        <f t="shared" si="11"/>
        <v>0</v>
      </c>
      <c r="AC50">
        <f t="shared" si="12"/>
        <v>0</v>
      </c>
    </row>
    <row r="51" spans="3:29" ht="13" x14ac:dyDescent="0.15">
      <c r="C51" s="17"/>
      <c r="D51" s="17"/>
      <c r="F51" s="71" t="str">
        <f t="shared" si="10"/>
        <v/>
      </c>
      <c r="AB51">
        <f t="shared" si="11"/>
        <v>0</v>
      </c>
      <c r="AC51">
        <f t="shared" si="12"/>
        <v>0</v>
      </c>
    </row>
    <row r="52" spans="3:29" ht="13" x14ac:dyDescent="0.15">
      <c r="C52" s="17"/>
      <c r="D52" s="17"/>
      <c r="F52" s="71" t="str">
        <f t="shared" si="10"/>
        <v/>
      </c>
      <c r="AB52">
        <f t="shared" si="11"/>
        <v>0</v>
      </c>
      <c r="AC52">
        <f t="shared" si="12"/>
        <v>0</v>
      </c>
    </row>
    <row r="53" spans="3:29" ht="13" x14ac:dyDescent="0.15">
      <c r="C53" s="17"/>
      <c r="D53" s="17"/>
      <c r="F53" s="71" t="str">
        <f t="shared" si="10"/>
        <v/>
      </c>
      <c r="AB53">
        <f t="shared" si="11"/>
        <v>0</v>
      </c>
      <c r="AC53">
        <f t="shared" si="12"/>
        <v>0</v>
      </c>
    </row>
    <row r="54" spans="3:29" ht="13" x14ac:dyDescent="0.15">
      <c r="C54" s="17"/>
      <c r="D54" s="17"/>
      <c r="F54" s="71" t="str">
        <f t="shared" si="10"/>
        <v/>
      </c>
      <c r="AB54">
        <f t="shared" si="11"/>
        <v>0</v>
      </c>
      <c r="AC54">
        <f t="shared" si="12"/>
        <v>0</v>
      </c>
    </row>
    <row r="55" spans="3:29" ht="13" x14ac:dyDescent="0.15">
      <c r="C55" s="17"/>
      <c r="D55" s="17"/>
      <c r="F55" s="71" t="str">
        <f t="shared" si="10"/>
        <v/>
      </c>
      <c r="AB55">
        <f t="shared" si="11"/>
        <v>0</v>
      </c>
      <c r="AC55">
        <f t="shared" si="12"/>
        <v>0</v>
      </c>
    </row>
    <row r="56" spans="3:29" ht="13" x14ac:dyDescent="0.15">
      <c r="C56" s="17"/>
      <c r="D56" s="17"/>
      <c r="F56" s="71" t="str">
        <f t="shared" si="10"/>
        <v/>
      </c>
      <c r="AB56">
        <f t="shared" si="11"/>
        <v>0</v>
      </c>
      <c r="AC56">
        <f t="shared" si="12"/>
        <v>0</v>
      </c>
    </row>
    <row r="57" spans="3:29" ht="13" x14ac:dyDescent="0.15">
      <c r="C57" s="17"/>
      <c r="D57" s="17"/>
      <c r="F57" s="71" t="str">
        <f t="shared" si="10"/>
        <v/>
      </c>
      <c r="AB57">
        <f t="shared" si="11"/>
        <v>0</v>
      </c>
      <c r="AC57">
        <f t="shared" si="12"/>
        <v>0</v>
      </c>
    </row>
    <row r="58" spans="3:29" ht="13" x14ac:dyDescent="0.15">
      <c r="C58" s="17"/>
      <c r="D58" s="17"/>
      <c r="F58" s="71" t="str">
        <f t="shared" si="10"/>
        <v/>
      </c>
      <c r="AB58">
        <f t="shared" si="11"/>
        <v>0</v>
      </c>
      <c r="AC58">
        <f t="shared" si="12"/>
        <v>0</v>
      </c>
    </row>
    <row r="59" spans="3:29" ht="13" x14ac:dyDescent="0.15">
      <c r="C59" s="17"/>
      <c r="D59" s="17"/>
      <c r="F59" s="71" t="str">
        <f t="shared" si="10"/>
        <v/>
      </c>
      <c r="AB59">
        <f t="shared" si="11"/>
        <v>0</v>
      </c>
      <c r="AC59">
        <f t="shared" si="12"/>
        <v>0</v>
      </c>
    </row>
    <row r="60" spans="3:29" ht="13" x14ac:dyDescent="0.15">
      <c r="C60" s="17"/>
      <c r="D60" s="17"/>
      <c r="F60" s="71" t="str">
        <f t="shared" si="10"/>
        <v/>
      </c>
      <c r="AB60">
        <f t="shared" si="11"/>
        <v>0</v>
      </c>
      <c r="AC60">
        <f t="shared" si="12"/>
        <v>0</v>
      </c>
    </row>
    <row r="61" spans="3:29" ht="13" x14ac:dyDescent="0.15">
      <c r="C61" s="17"/>
      <c r="D61" s="17"/>
      <c r="F61" s="71" t="str">
        <f t="shared" si="10"/>
        <v/>
      </c>
      <c r="AB61">
        <f t="shared" si="11"/>
        <v>0</v>
      </c>
      <c r="AC61">
        <f t="shared" si="12"/>
        <v>0</v>
      </c>
    </row>
    <row r="62" spans="3:29" ht="13" x14ac:dyDescent="0.15">
      <c r="C62" s="17"/>
      <c r="D62" s="17"/>
      <c r="F62" s="71" t="str">
        <f t="shared" si="10"/>
        <v/>
      </c>
      <c r="AB62">
        <f t="shared" si="11"/>
        <v>0</v>
      </c>
      <c r="AC62">
        <f t="shared" si="12"/>
        <v>0</v>
      </c>
    </row>
    <row r="63" spans="3:29" ht="13" x14ac:dyDescent="0.15">
      <c r="C63" s="17"/>
      <c r="D63" s="17"/>
      <c r="F63" s="71" t="str">
        <f t="shared" si="10"/>
        <v/>
      </c>
      <c r="AB63">
        <f t="shared" si="11"/>
        <v>0</v>
      </c>
      <c r="AC63">
        <f t="shared" si="12"/>
        <v>0</v>
      </c>
    </row>
    <row r="64" spans="3:29" ht="13" x14ac:dyDescent="0.15">
      <c r="C64" s="17"/>
      <c r="D64" s="17"/>
      <c r="F64" s="71" t="str">
        <f t="shared" si="10"/>
        <v/>
      </c>
      <c r="AB64">
        <f t="shared" si="11"/>
        <v>0</v>
      </c>
      <c r="AC64">
        <f t="shared" si="12"/>
        <v>0</v>
      </c>
    </row>
    <row r="65" spans="3:29" ht="13" x14ac:dyDescent="0.15">
      <c r="C65" s="17"/>
      <c r="D65" s="17"/>
      <c r="F65" s="71" t="str">
        <f t="shared" si="10"/>
        <v/>
      </c>
      <c r="AB65">
        <f t="shared" si="11"/>
        <v>0</v>
      </c>
      <c r="AC65">
        <f t="shared" si="12"/>
        <v>0</v>
      </c>
    </row>
    <row r="66" spans="3:29" ht="13" x14ac:dyDescent="0.15">
      <c r="C66" s="17"/>
      <c r="D66" s="17"/>
      <c r="F66" s="71" t="str">
        <f t="shared" ref="F66:F97" si="13">IF(ISBLANK(B66),"",IF(ISNUMBER($K$10),D66*$K$10,E66))</f>
        <v/>
      </c>
      <c r="AB66">
        <f t="shared" ref="AB66:AB97" si="14">B66</f>
        <v>0</v>
      </c>
      <c r="AC66">
        <f t="shared" ref="AC66:AC97" si="15">A66</f>
        <v>0</v>
      </c>
    </row>
    <row r="67" spans="3:29" ht="13" x14ac:dyDescent="0.15">
      <c r="C67" s="17"/>
      <c r="D67" s="17"/>
      <c r="F67" s="71" t="str">
        <f t="shared" si="13"/>
        <v/>
      </c>
      <c r="AB67">
        <f t="shared" si="14"/>
        <v>0</v>
      </c>
      <c r="AC67">
        <f t="shared" si="15"/>
        <v>0</v>
      </c>
    </row>
    <row r="68" spans="3:29" ht="13" x14ac:dyDescent="0.15">
      <c r="C68" s="17"/>
      <c r="D68" s="17"/>
      <c r="F68" s="71" t="str">
        <f t="shared" si="13"/>
        <v/>
      </c>
      <c r="AB68">
        <f t="shared" si="14"/>
        <v>0</v>
      </c>
      <c r="AC68">
        <f t="shared" si="15"/>
        <v>0</v>
      </c>
    </row>
    <row r="69" spans="3:29" ht="13" x14ac:dyDescent="0.15">
      <c r="C69" s="17"/>
      <c r="D69" s="17"/>
      <c r="F69" s="71" t="str">
        <f t="shared" si="13"/>
        <v/>
      </c>
      <c r="AB69">
        <f t="shared" si="14"/>
        <v>0</v>
      </c>
      <c r="AC69">
        <f t="shared" si="15"/>
        <v>0</v>
      </c>
    </row>
    <row r="70" spans="3:29" ht="13" x14ac:dyDescent="0.15">
      <c r="C70" s="17"/>
      <c r="D70" s="17"/>
      <c r="F70" s="71" t="str">
        <f t="shared" si="13"/>
        <v/>
      </c>
      <c r="AB70">
        <f t="shared" si="14"/>
        <v>0</v>
      </c>
      <c r="AC70">
        <f t="shared" si="15"/>
        <v>0</v>
      </c>
    </row>
    <row r="71" spans="3:29" ht="13" x14ac:dyDescent="0.15">
      <c r="C71" s="17"/>
      <c r="D71" s="17"/>
      <c r="F71" s="71" t="str">
        <f t="shared" si="13"/>
        <v/>
      </c>
      <c r="AB71">
        <f t="shared" si="14"/>
        <v>0</v>
      </c>
      <c r="AC71">
        <f t="shared" si="15"/>
        <v>0</v>
      </c>
    </row>
    <row r="72" spans="3:29" ht="13" x14ac:dyDescent="0.15">
      <c r="C72" s="17"/>
      <c r="D72" s="17"/>
      <c r="F72" s="71" t="str">
        <f t="shared" si="13"/>
        <v/>
      </c>
      <c r="AB72">
        <f t="shared" si="14"/>
        <v>0</v>
      </c>
      <c r="AC72">
        <f t="shared" si="15"/>
        <v>0</v>
      </c>
    </row>
    <row r="73" spans="3:29" ht="13" x14ac:dyDescent="0.15">
      <c r="C73" s="17"/>
      <c r="D73" s="17"/>
      <c r="F73" s="71" t="str">
        <f t="shared" si="13"/>
        <v/>
      </c>
      <c r="AB73">
        <f t="shared" si="14"/>
        <v>0</v>
      </c>
      <c r="AC73">
        <f t="shared" si="15"/>
        <v>0</v>
      </c>
    </row>
    <row r="74" spans="3:29" ht="13" x14ac:dyDescent="0.15">
      <c r="C74" s="17"/>
      <c r="D74" s="17"/>
      <c r="F74" s="71" t="str">
        <f t="shared" si="13"/>
        <v/>
      </c>
      <c r="AB74">
        <f t="shared" si="14"/>
        <v>0</v>
      </c>
      <c r="AC74">
        <f t="shared" si="15"/>
        <v>0</v>
      </c>
    </row>
    <row r="75" spans="3:29" ht="13" x14ac:dyDescent="0.15">
      <c r="C75" s="17"/>
      <c r="D75" s="17"/>
      <c r="F75" s="71" t="str">
        <f t="shared" si="13"/>
        <v/>
      </c>
      <c r="AB75">
        <f t="shared" si="14"/>
        <v>0</v>
      </c>
      <c r="AC75">
        <f t="shared" si="15"/>
        <v>0</v>
      </c>
    </row>
    <row r="76" spans="3:29" ht="13" x14ac:dyDescent="0.15">
      <c r="C76" s="17"/>
      <c r="D76" s="17"/>
      <c r="F76" s="71" t="str">
        <f t="shared" si="13"/>
        <v/>
      </c>
      <c r="AB76">
        <f t="shared" si="14"/>
        <v>0</v>
      </c>
      <c r="AC76">
        <f t="shared" si="15"/>
        <v>0</v>
      </c>
    </row>
    <row r="77" spans="3:29" ht="13" x14ac:dyDescent="0.15">
      <c r="C77" s="17"/>
      <c r="D77" s="17"/>
      <c r="F77" s="71" t="str">
        <f t="shared" si="13"/>
        <v/>
      </c>
      <c r="AB77">
        <f t="shared" si="14"/>
        <v>0</v>
      </c>
      <c r="AC77">
        <f t="shared" si="15"/>
        <v>0</v>
      </c>
    </row>
    <row r="78" spans="3:29" ht="13" x14ac:dyDescent="0.15">
      <c r="C78" s="17"/>
      <c r="D78" s="17"/>
      <c r="F78" s="71" t="str">
        <f t="shared" si="13"/>
        <v/>
      </c>
      <c r="AB78">
        <f t="shared" si="14"/>
        <v>0</v>
      </c>
      <c r="AC78">
        <f t="shared" si="15"/>
        <v>0</v>
      </c>
    </row>
    <row r="79" spans="3:29" ht="13" x14ac:dyDescent="0.15">
      <c r="C79" s="17"/>
      <c r="D79" s="17"/>
      <c r="F79" s="71" t="str">
        <f t="shared" si="13"/>
        <v/>
      </c>
      <c r="AB79">
        <f t="shared" si="14"/>
        <v>0</v>
      </c>
      <c r="AC79">
        <f t="shared" si="15"/>
        <v>0</v>
      </c>
    </row>
    <row r="80" spans="3:29" ht="13" x14ac:dyDescent="0.15">
      <c r="C80" s="17"/>
      <c r="D80" s="17"/>
      <c r="F80" s="71" t="str">
        <f t="shared" si="13"/>
        <v/>
      </c>
      <c r="AB80">
        <f t="shared" si="14"/>
        <v>0</v>
      </c>
      <c r="AC80">
        <f t="shared" si="15"/>
        <v>0</v>
      </c>
    </row>
    <row r="81" spans="3:29" ht="13" x14ac:dyDescent="0.15">
      <c r="C81" s="17"/>
      <c r="D81" s="17"/>
      <c r="F81" s="71" t="str">
        <f t="shared" si="13"/>
        <v/>
      </c>
      <c r="AB81">
        <f t="shared" si="14"/>
        <v>0</v>
      </c>
      <c r="AC81">
        <f t="shared" si="15"/>
        <v>0</v>
      </c>
    </row>
    <row r="82" spans="3:29" ht="13" x14ac:dyDescent="0.15">
      <c r="C82" s="17"/>
      <c r="D82" s="17"/>
      <c r="F82" s="71" t="str">
        <f t="shared" si="13"/>
        <v/>
      </c>
      <c r="AB82">
        <f t="shared" si="14"/>
        <v>0</v>
      </c>
      <c r="AC82">
        <f t="shared" si="15"/>
        <v>0</v>
      </c>
    </row>
    <row r="83" spans="3:29" ht="13" x14ac:dyDescent="0.15">
      <c r="C83" s="17"/>
      <c r="D83" s="17"/>
      <c r="F83" s="71" t="str">
        <f t="shared" si="13"/>
        <v/>
      </c>
      <c r="AB83">
        <f t="shared" si="14"/>
        <v>0</v>
      </c>
      <c r="AC83">
        <f t="shared" si="15"/>
        <v>0</v>
      </c>
    </row>
    <row r="84" spans="3:29" ht="13" x14ac:dyDescent="0.15">
      <c r="C84" s="17"/>
      <c r="D84" s="17"/>
      <c r="F84" s="71" t="str">
        <f t="shared" si="13"/>
        <v/>
      </c>
      <c r="AB84">
        <f t="shared" si="14"/>
        <v>0</v>
      </c>
      <c r="AC84">
        <f t="shared" si="15"/>
        <v>0</v>
      </c>
    </row>
    <row r="85" spans="3:29" ht="13" x14ac:dyDescent="0.15">
      <c r="C85" s="17"/>
      <c r="D85" s="17"/>
      <c r="F85" s="71" t="str">
        <f t="shared" si="13"/>
        <v/>
      </c>
      <c r="AB85">
        <f t="shared" si="14"/>
        <v>0</v>
      </c>
      <c r="AC85">
        <f t="shared" si="15"/>
        <v>0</v>
      </c>
    </row>
    <row r="86" spans="3:29" ht="13" x14ac:dyDescent="0.15">
      <c r="C86" s="17"/>
      <c r="D86" s="17"/>
      <c r="F86" s="71" t="str">
        <f t="shared" si="13"/>
        <v/>
      </c>
      <c r="AB86">
        <f t="shared" si="14"/>
        <v>0</v>
      </c>
      <c r="AC86">
        <f t="shared" si="15"/>
        <v>0</v>
      </c>
    </row>
    <row r="87" spans="3:29" ht="13" x14ac:dyDescent="0.15">
      <c r="C87" s="17"/>
      <c r="D87" s="17"/>
      <c r="F87" s="71" t="str">
        <f t="shared" si="13"/>
        <v/>
      </c>
      <c r="AB87">
        <f t="shared" si="14"/>
        <v>0</v>
      </c>
      <c r="AC87">
        <f t="shared" si="15"/>
        <v>0</v>
      </c>
    </row>
    <row r="88" spans="3:29" ht="13" x14ac:dyDescent="0.15">
      <c r="C88" s="17"/>
      <c r="D88" s="17"/>
      <c r="F88" s="71" t="str">
        <f t="shared" si="13"/>
        <v/>
      </c>
      <c r="AB88">
        <f t="shared" si="14"/>
        <v>0</v>
      </c>
      <c r="AC88">
        <f t="shared" si="15"/>
        <v>0</v>
      </c>
    </row>
    <row r="89" spans="3:29" ht="13" x14ac:dyDescent="0.15">
      <c r="C89" s="17"/>
      <c r="D89" s="17"/>
      <c r="F89" s="71" t="str">
        <f t="shared" si="13"/>
        <v/>
      </c>
      <c r="AB89">
        <f t="shared" si="14"/>
        <v>0</v>
      </c>
      <c r="AC89">
        <f t="shared" si="15"/>
        <v>0</v>
      </c>
    </row>
    <row r="90" spans="3:29" ht="13" x14ac:dyDescent="0.15">
      <c r="C90" s="17"/>
      <c r="D90" s="17"/>
      <c r="F90" s="71" t="str">
        <f t="shared" si="13"/>
        <v/>
      </c>
      <c r="AB90">
        <f t="shared" si="14"/>
        <v>0</v>
      </c>
      <c r="AC90">
        <f t="shared" si="15"/>
        <v>0</v>
      </c>
    </row>
    <row r="91" spans="3:29" ht="13" x14ac:dyDescent="0.15">
      <c r="C91" s="17"/>
      <c r="D91" s="17"/>
      <c r="F91" s="71" t="str">
        <f t="shared" si="13"/>
        <v/>
      </c>
      <c r="AB91">
        <f t="shared" si="14"/>
        <v>0</v>
      </c>
      <c r="AC91">
        <f t="shared" si="15"/>
        <v>0</v>
      </c>
    </row>
    <row r="92" spans="3:29" ht="13" x14ac:dyDescent="0.15">
      <c r="C92" s="17"/>
      <c r="D92" s="17"/>
      <c r="F92" s="71" t="str">
        <f t="shared" si="13"/>
        <v/>
      </c>
      <c r="AB92">
        <f t="shared" si="14"/>
        <v>0</v>
      </c>
      <c r="AC92">
        <f t="shared" si="15"/>
        <v>0</v>
      </c>
    </row>
    <row r="93" spans="3:29" ht="13" x14ac:dyDescent="0.15">
      <c r="C93" s="17"/>
      <c r="D93" s="17"/>
      <c r="F93" s="71" t="str">
        <f t="shared" si="13"/>
        <v/>
      </c>
      <c r="AB93">
        <f t="shared" si="14"/>
        <v>0</v>
      </c>
      <c r="AC93">
        <f t="shared" si="15"/>
        <v>0</v>
      </c>
    </row>
    <row r="94" spans="3:29" ht="13" x14ac:dyDescent="0.15">
      <c r="C94" s="17"/>
      <c r="D94" s="17"/>
      <c r="F94" s="71" t="str">
        <f t="shared" si="13"/>
        <v/>
      </c>
      <c r="AB94">
        <f t="shared" si="14"/>
        <v>0</v>
      </c>
      <c r="AC94">
        <f t="shared" si="15"/>
        <v>0</v>
      </c>
    </row>
    <row r="95" spans="3:29" ht="13" x14ac:dyDescent="0.15">
      <c r="C95" s="17"/>
      <c r="D95" s="17"/>
      <c r="F95" s="71" t="str">
        <f t="shared" si="13"/>
        <v/>
      </c>
      <c r="AB95">
        <f t="shared" si="14"/>
        <v>0</v>
      </c>
      <c r="AC95">
        <f t="shared" si="15"/>
        <v>0</v>
      </c>
    </row>
    <row r="96" spans="3:29" ht="13" x14ac:dyDescent="0.15">
      <c r="C96" s="17"/>
      <c r="D96" s="17"/>
      <c r="F96" s="71" t="str">
        <f t="shared" si="13"/>
        <v/>
      </c>
      <c r="AB96">
        <f t="shared" si="14"/>
        <v>0</v>
      </c>
      <c r="AC96">
        <f t="shared" si="15"/>
        <v>0</v>
      </c>
    </row>
    <row r="97" spans="3:29" ht="13" x14ac:dyDescent="0.15">
      <c r="C97" s="17"/>
      <c r="D97" s="17"/>
      <c r="F97" s="71" t="str">
        <f t="shared" si="13"/>
        <v/>
      </c>
      <c r="AB97">
        <f t="shared" si="14"/>
        <v>0</v>
      </c>
      <c r="AC97">
        <f t="shared" si="15"/>
        <v>0</v>
      </c>
    </row>
    <row r="98" spans="3:29" ht="13" x14ac:dyDescent="0.15">
      <c r="C98" s="17"/>
      <c r="D98" s="17"/>
      <c r="F98" s="71" t="str">
        <f t="shared" ref="F98:F129" si="16">IF(ISBLANK(B98),"",IF(ISNUMBER($K$10),D98*$K$10,E98))</f>
        <v/>
      </c>
      <c r="AB98">
        <f t="shared" ref="AB98:AB129" si="17">B98</f>
        <v>0</v>
      </c>
      <c r="AC98">
        <f t="shared" ref="AC98:AC129" si="18">A98</f>
        <v>0</v>
      </c>
    </row>
    <row r="99" spans="3:29" ht="13" x14ac:dyDescent="0.15">
      <c r="C99" s="17"/>
      <c r="D99" s="17"/>
      <c r="F99" s="71" t="str">
        <f t="shared" si="16"/>
        <v/>
      </c>
      <c r="AB99">
        <f t="shared" si="17"/>
        <v>0</v>
      </c>
      <c r="AC99">
        <f t="shared" si="18"/>
        <v>0</v>
      </c>
    </row>
    <row r="100" spans="3:29" ht="13" x14ac:dyDescent="0.15">
      <c r="C100" s="17"/>
      <c r="D100" s="17"/>
      <c r="F100" s="71" t="str">
        <f t="shared" si="16"/>
        <v/>
      </c>
      <c r="AB100">
        <f t="shared" si="17"/>
        <v>0</v>
      </c>
      <c r="AC100">
        <f t="shared" si="18"/>
        <v>0</v>
      </c>
    </row>
    <row r="101" spans="3:29" ht="13" x14ac:dyDescent="0.15">
      <c r="C101" s="17"/>
      <c r="D101" s="17"/>
      <c r="F101" s="71" t="str">
        <f t="shared" si="16"/>
        <v/>
      </c>
      <c r="AB101">
        <f t="shared" si="17"/>
        <v>0</v>
      </c>
      <c r="AC101">
        <f t="shared" si="18"/>
        <v>0</v>
      </c>
    </row>
    <row r="102" spans="3:29" ht="13" x14ac:dyDescent="0.15">
      <c r="C102" s="17"/>
      <c r="D102" s="17"/>
      <c r="F102" s="71" t="str">
        <f t="shared" si="16"/>
        <v/>
      </c>
      <c r="AB102">
        <f t="shared" si="17"/>
        <v>0</v>
      </c>
      <c r="AC102">
        <f t="shared" si="18"/>
        <v>0</v>
      </c>
    </row>
    <row r="103" spans="3:29" ht="13" x14ac:dyDescent="0.15">
      <c r="C103" s="17"/>
      <c r="D103" s="17"/>
      <c r="F103" s="71" t="str">
        <f t="shared" si="16"/>
        <v/>
      </c>
      <c r="AB103">
        <f t="shared" si="17"/>
        <v>0</v>
      </c>
      <c r="AC103">
        <f t="shared" si="18"/>
        <v>0</v>
      </c>
    </row>
    <row r="104" spans="3:29" ht="13" x14ac:dyDescent="0.15">
      <c r="C104" s="17"/>
      <c r="D104" s="17"/>
      <c r="F104" s="71" t="str">
        <f t="shared" si="16"/>
        <v/>
      </c>
      <c r="AB104">
        <f t="shared" si="17"/>
        <v>0</v>
      </c>
      <c r="AC104">
        <f t="shared" si="18"/>
        <v>0</v>
      </c>
    </row>
    <row r="105" spans="3:29" ht="13" x14ac:dyDescent="0.15">
      <c r="C105" s="17"/>
      <c r="D105" s="17"/>
      <c r="F105" s="71" t="str">
        <f t="shared" si="16"/>
        <v/>
      </c>
      <c r="AB105">
        <f t="shared" si="17"/>
        <v>0</v>
      </c>
      <c r="AC105">
        <f t="shared" si="18"/>
        <v>0</v>
      </c>
    </row>
    <row r="106" spans="3:29" ht="13" x14ac:dyDescent="0.15">
      <c r="C106" s="17"/>
      <c r="D106" s="17"/>
      <c r="F106" s="71" t="str">
        <f t="shared" si="16"/>
        <v/>
      </c>
      <c r="AB106">
        <f t="shared" si="17"/>
        <v>0</v>
      </c>
      <c r="AC106">
        <f t="shared" si="18"/>
        <v>0</v>
      </c>
    </row>
    <row r="107" spans="3:29" ht="13" x14ac:dyDescent="0.15">
      <c r="C107" s="17"/>
      <c r="D107" s="17"/>
      <c r="F107" s="71" t="str">
        <f t="shared" si="16"/>
        <v/>
      </c>
      <c r="AB107">
        <f t="shared" si="17"/>
        <v>0</v>
      </c>
      <c r="AC107">
        <f t="shared" si="18"/>
        <v>0</v>
      </c>
    </row>
    <row r="108" spans="3:29" ht="13" x14ac:dyDescent="0.15">
      <c r="C108" s="17"/>
      <c r="D108" s="17"/>
      <c r="F108" s="71" t="str">
        <f t="shared" si="16"/>
        <v/>
      </c>
      <c r="AB108">
        <f t="shared" si="17"/>
        <v>0</v>
      </c>
      <c r="AC108">
        <f t="shared" si="18"/>
        <v>0</v>
      </c>
    </row>
    <row r="109" spans="3:29" ht="13" x14ac:dyDescent="0.15">
      <c r="C109" s="17"/>
      <c r="D109" s="17"/>
      <c r="F109" s="71" t="str">
        <f t="shared" si="16"/>
        <v/>
      </c>
      <c r="AB109">
        <f t="shared" si="17"/>
        <v>0</v>
      </c>
      <c r="AC109">
        <f t="shared" si="18"/>
        <v>0</v>
      </c>
    </row>
    <row r="110" spans="3:29" ht="13" x14ac:dyDescent="0.15">
      <c r="C110" s="17"/>
      <c r="D110" s="17"/>
      <c r="F110" s="71" t="str">
        <f t="shared" si="16"/>
        <v/>
      </c>
      <c r="AB110">
        <f t="shared" si="17"/>
        <v>0</v>
      </c>
      <c r="AC110">
        <f t="shared" si="18"/>
        <v>0</v>
      </c>
    </row>
    <row r="111" spans="3:29" ht="13" x14ac:dyDescent="0.15">
      <c r="C111" s="17"/>
      <c r="D111" s="17"/>
      <c r="F111" s="71" t="str">
        <f t="shared" si="16"/>
        <v/>
      </c>
      <c r="AB111">
        <f t="shared" si="17"/>
        <v>0</v>
      </c>
      <c r="AC111">
        <f t="shared" si="18"/>
        <v>0</v>
      </c>
    </row>
    <row r="112" spans="3:29" ht="13" x14ac:dyDescent="0.15">
      <c r="C112" s="17"/>
      <c r="D112" s="17"/>
      <c r="F112" s="71" t="str">
        <f t="shared" si="16"/>
        <v/>
      </c>
      <c r="AB112">
        <f t="shared" si="17"/>
        <v>0</v>
      </c>
      <c r="AC112">
        <f t="shared" si="18"/>
        <v>0</v>
      </c>
    </row>
    <row r="113" spans="3:29" ht="13" x14ac:dyDescent="0.15">
      <c r="C113" s="17"/>
      <c r="D113" s="17"/>
      <c r="F113" s="71" t="str">
        <f t="shared" si="16"/>
        <v/>
      </c>
      <c r="AB113">
        <f t="shared" si="17"/>
        <v>0</v>
      </c>
      <c r="AC113">
        <f t="shared" si="18"/>
        <v>0</v>
      </c>
    </row>
    <row r="114" spans="3:29" ht="13" x14ac:dyDescent="0.15">
      <c r="C114" s="17"/>
      <c r="D114" s="17"/>
      <c r="F114" s="71" t="str">
        <f t="shared" si="16"/>
        <v/>
      </c>
      <c r="AB114">
        <f t="shared" si="17"/>
        <v>0</v>
      </c>
      <c r="AC114">
        <f t="shared" si="18"/>
        <v>0</v>
      </c>
    </row>
    <row r="115" spans="3:29" ht="13" x14ac:dyDescent="0.15">
      <c r="C115" s="17"/>
      <c r="D115" s="17"/>
      <c r="F115" s="71" t="str">
        <f t="shared" si="16"/>
        <v/>
      </c>
      <c r="AB115">
        <f t="shared" si="17"/>
        <v>0</v>
      </c>
      <c r="AC115">
        <f t="shared" si="18"/>
        <v>0</v>
      </c>
    </row>
    <row r="116" spans="3:29" ht="13" x14ac:dyDescent="0.15">
      <c r="C116" s="17"/>
      <c r="D116" s="17"/>
      <c r="F116" s="71" t="str">
        <f t="shared" si="16"/>
        <v/>
      </c>
      <c r="AB116">
        <f t="shared" si="17"/>
        <v>0</v>
      </c>
      <c r="AC116">
        <f t="shared" si="18"/>
        <v>0</v>
      </c>
    </row>
    <row r="117" spans="3:29" ht="13" x14ac:dyDescent="0.15">
      <c r="C117" s="17"/>
      <c r="D117" s="17"/>
      <c r="F117" s="71" t="str">
        <f t="shared" si="16"/>
        <v/>
      </c>
      <c r="AB117">
        <f t="shared" si="17"/>
        <v>0</v>
      </c>
      <c r="AC117">
        <f t="shared" si="18"/>
        <v>0</v>
      </c>
    </row>
    <row r="118" spans="3:29" ht="13" x14ac:dyDescent="0.15">
      <c r="C118" s="17"/>
      <c r="D118" s="17"/>
      <c r="F118" s="71" t="str">
        <f t="shared" si="16"/>
        <v/>
      </c>
      <c r="AB118">
        <f t="shared" si="17"/>
        <v>0</v>
      </c>
      <c r="AC118">
        <f t="shared" si="18"/>
        <v>0</v>
      </c>
    </row>
    <row r="119" spans="3:29" ht="13" x14ac:dyDescent="0.15">
      <c r="C119" s="17"/>
      <c r="D119" s="17"/>
      <c r="F119" s="71" t="str">
        <f t="shared" si="16"/>
        <v/>
      </c>
      <c r="AB119">
        <f t="shared" si="17"/>
        <v>0</v>
      </c>
      <c r="AC119">
        <f t="shared" si="18"/>
        <v>0</v>
      </c>
    </row>
    <row r="120" spans="3:29" ht="13" x14ac:dyDescent="0.15">
      <c r="C120" s="17"/>
      <c r="D120" s="17"/>
      <c r="F120" s="71" t="str">
        <f t="shared" si="16"/>
        <v/>
      </c>
      <c r="AB120">
        <f t="shared" si="17"/>
        <v>0</v>
      </c>
      <c r="AC120">
        <f t="shared" si="18"/>
        <v>0</v>
      </c>
    </row>
    <row r="121" spans="3:29" ht="13" x14ac:dyDescent="0.15">
      <c r="C121" s="17"/>
      <c r="D121" s="17"/>
      <c r="F121" s="71" t="str">
        <f t="shared" si="16"/>
        <v/>
      </c>
      <c r="AB121">
        <f t="shared" si="17"/>
        <v>0</v>
      </c>
      <c r="AC121">
        <f t="shared" si="18"/>
        <v>0</v>
      </c>
    </row>
    <row r="122" spans="3:29" ht="13" x14ac:dyDescent="0.15">
      <c r="C122" s="17"/>
      <c r="D122" s="17"/>
      <c r="F122" s="71" t="str">
        <f t="shared" si="16"/>
        <v/>
      </c>
      <c r="AB122">
        <f t="shared" si="17"/>
        <v>0</v>
      </c>
      <c r="AC122">
        <f t="shared" si="18"/>
        <v>0</v>
      </c>
    </row>
    <row r="123" spans="3:29" ht="13" x14ac:dyDescent="0.15">
      <c r="C123" s="17"/>
      <c r="D123" s="17"/>
      <c r="F123" s="71" t="str">
        <f t="shared" si="16"/>
        <v/>
      </c>
      <c r="AB123">
        <f t="shared" si="17"/>
        <v>0</v>
      </c>
      <c r="AC123">
        <f t="shared" si="18"/>
        <v>0</v>
      </c>
    </row>
    <row r="124" spans="3:29" ht="13" x14ac:dyDescent="0.15">
      <c r="C124" s="17"/>
      <c r="D124" s="17"/>
      <c r="F124" s="71" t="str">
        <f t="shared" si="16"/>
        <v/>
      </c>
      <c r="AB124">
        <f t="shared" si="17"/>
        <v>0</v>
      </c>
      <c r="AC124">
        <f t="shared" si="18"/>
        <v>0</v>
      </c>
    </row>
    <row r="125" spans="3:29" ht="13" x14ac:dyDescent="0.15">
      <c r="C125" s="17"/>
      <c r="D125" s="17"/>
      <c r="F125" s="71" t="str">
        <f t="shared" si="16"/>
        <v/>
      </c>
      <c r="AB125">
        <f t="shared" si="17"/>
        <v>0</v>
      </c>
      <c r="AC125">
        <f t="shared" si="18"/>
        <v>0</v>
      </c>
    </row>
    <row r="126" spans="3:29" ht="13" x14ac:dyDescent="0.15">
      <c r="C126" s="17"/>
      <c r="D126" s="17"/>
      <c r="F126" s="71" t="str">
        <f t="shared" si="16"/>
        <v/>
      </c>
      <c r="AB126">
        <f t="shared" si="17"/>
        <v>0</v>
      </c>
      <c r="AC126">
        <f t="shared" si="18"/>
        <v>0</v>
      </c>
    </row>
    <row r="127" spans="3:29" ht="13" x14ac:dyDescent="0.15">
      <c r="C127" s="17"/>
      <c r="D127" s="17"/>
      <c r="F127" s="71" t="str">
        <f t="shared" si="16"/>
        <v/>
      </c>
      <c r="AB127">
        <f t="shared" si="17"/>
        <v>0</v>
      </c>
      <c r="AC127">
        <f t="shared" si="18"/>
        <v>0</v>
      </c>
    </row>
    <row r="128" spans="3:29" ht="13" x14ac:dyDescent="0.15">
      <c r="C128" s="17"/>
      <c r="D128" s="17"/>
      <c r="F128" s="71" t="str">
        <f t="shared" si="16"/>
        <v/>
      </c>
      <c r="AB128">
        <f t="shared" si="17"/>
        <v>0</v>
      </c>
      <c r="AC128">
        <f t="shared" si="18"/>
        <v>0</v>
      </c>
    </row>
    <row r="129" spans="3:29" ht="13" x14ac:dyDescent="0.15">
      <c r="C129" s="17"/>
      <c r="D129" s="17"/>
      <c r="F129" s="71" t="str">
        <f t="shared" si="16"/>
        <v/>
      </c>
      <c r="AB129">
        <f t="shared" si="17"/>
        <v>0</v>
      </c>
      <c r="AC129">
        <f t="shared" si="18"/>
        <v>0</v>
      </c>
    </row>
    <row r="130" spans="3:29" ht="13" x14ac:dyDescent="0.15">
      <c r="C130" s="17"/>
      <c r="D130" s="17"/>
      <c r="F130" s="71" t="str">
        <f t="shared" ref="F130:F161" si="19">IF(ISBLANK(B130),"",IF(ISNUMBER($K$10),D130*$K$10,E130))</f>
        <v/>
      </c>
      <c r="AB130">
        <f t="shared" ref="AB130:AB161" si="20">B130</f>
        <v>0</v>
      </c>
      <c r="AC130">
        <f t="shared" ref="AC130:AC161" si="21">A130</f>
        <v>0</v>
      </c>
    </row>
    <row r="131" spans="3:29" ht="13" x14ac:dyDescent="0.15">
      <c r="C131" s="17"/>
      <c r="D131" s="17"/>
      <c r="F131" s="71" t="str">
        <f t="shared" si="19"/>
        <v/>
      </c>
      <c r="AB131">
        <f t="shared" si="20"/>
        <v>0</v>
      </c>
      <c r="AC131">
        <f t="shared" si="21"/>
        <v>0</v>
      </c>
    </row>
    <row r="132" spans="3:29" ht="13" x14ac:dyDescent="0.15">
      <c r="C132" s="17"/>
      <c r="D132" s="17"/>
      <c r="F132" s="71" t="str">
        <f t="shared" si="19"/>
        <v/>
      </c>
      <c r="AB132">
        <f t="shared" si="20"/>
        <v>0</v>
      </c>
      <c r="AC132">
        <f t="shared" si="21"/>
        <v>0</v>
      </c>
    </row>
    <row r="133" spans="3:29" ht="13" x14ac:dyDescent="0.15">
      <c r="C133" s="17"/>
      <c r="D133" s="17"/>
      <c r="F133" s="71" t="str">
        <f t="shared" si="19"/>
        <v/>
      </c>
      <c r="AB133">
        <f t="shared" si="20"/>
        <v>0</v>
      </c>
      <c r="AC133">
        <f t="shared" si="21"/>
        <v>0</v>
      </c>
    </row>
    <row r="134" spans="3:29" ht="13" x14ac:dyDescent="0.15">
      <c r="C134" s="17"/>
      <c r="D134" s="17"/>
      <c r="F134" s="71" t="str">
        <f t="shared" si="19"/>
        <v/>
      </c>
      <c r="AB134">
        <f t="shared" si="20"/>
        <v>0</v>
      </c>
      <c r="AC134">
        <f t="shared" si="21"/>
        <v>0</v>
      </c>
    </row>
    <row r="135" spans="3:29" ht="13" x14ac:dyDescent="0.15">
      <c r="C135" s="17"/>
      <c r="D135" s="17"/>
      <c r="F135" s="71" t="str">
        <f t="shared" si="19"/>
        <v/>
      </c>
      <c r="AB135">
        <f t="shared" si="20"/>
        <v>0</v>
      </c>
      <c r="AC135">
        <f t="shared" si="21"/>
        <v>0</v>
      </c>
    </row>
    <row r="136" spans="3:29" ht="13" x14ac:dyDescent="0.15">
      <c r="C136" s="17"/>
      <c r="D136" s="17"/>
      <c r="F136" s="71" t="str">
        <f t="shared" si="19"/>
        <v/>
      </c>
      <c r="AB136">
        <f t="shared" si="20"/>
        <v>0</v>
      </c>
      <c r="AC136">
        <f t="shared" si="21"/>
        <v>0</v>
      </c>
    </row>
    <row r="137" spans="3:29" ht="13" x14ac:dyDescent="0.15">
      <c r="C137" s="17"/>
      <c r="D137" s="17"/>
      <c r="F137" s="71" t="str">
        <f t="shared" si="19"/>
        <v/>
      </c>
      <c r="AB137">
        <f t="shared" si="20"/>
        <v>0</v>
      </c>
      <c r="AC137">
        <f t="shared" si="21"/>
        <v>0</v>
      </c>
    </row>
    <row r="138" spans="3:29" ht="13" x14ac:dyDescent="0.15">
      <c r="C138" s="17"/>
      <c r="D138" s="17"/>
      <c r="F138" s="71" t="str">
        <f t="shared" si="19"/>
        <v/>
      </c>
      <c r="AB138">
        <f t="shared" si="20"/>
        <v>0</v>
      </c>
      <c r="AC138">
        <f t="shared" si="21"/>
        <v>0</v>
      </c>
    </row>
    <row r="139" spans="3:29" ht="13" x14ac:dyDescent="0.15">
      <c r="C139" s="17"/>
      <c r="D139" s="17"/>
      <c r="F139" s="71" t="str">
        <f t="shared" si="19"/>
        <v/>
      </c>
      <c r="AB139">
        <f t="shared" si="20"/>
        <v>0</v>
      </c>
      <c r="AC139">
        <f t="shared" si="21"/>
        <v>0</v>
      </c>
    </row>
    <row r="140" spans="3:29" ht="13" x14ac:dyDescent="0.15">
      <c r="C140" s="17"/>
      <c r="D140" s="17"/>
      <c r="F140" s="71" t="str">
        <f t="shared" si="19"/>
        <v/>
      </c>
      <c r="AB140">
        <f t="shared" si="20"/>
        <v>0</v>
      </c>
      <c r="AC140">
        <f t="shared" si="21"/>
        <v>0</v>
      </c>
    </row>
    <row r="141" spans="3:29" ht="13" x14ac:dyDescent="0.15">
      <c r="C141" s="17"/>
      <c r="D141" s="17"/>
      <c r="F141" s="71" t="str">
        <f t="shared" si="19"/>
        <v/>
      </c>
      <c r="AB141">
        <f t="shared" si="20"/>
        <v>0</v>
      </c>
      <c r="AC141">
        <f t="shared" si="21"/>
        <v>0</v>
      </c>
    </row>
    <row r="142" spans="3:29" ht="13" x14ac:dyDescent="0.15">
      <c r="C142" s="17"/>
      <c r="D142" s="17"/>
      <c r="F142" s="71" t="str">
        <f t="shared" si="19"/>
        <v/>
      </c>
      <c r="AB142">
        <f t="shared" si="20"/>
        <v>0</v>
      </c>
      <c r="AC142">
        <f t="shared" si="21"/>
        <v>0</v>
      </c>
    </row>
    <row r="143" spans="3:29" ht="13" x14ac:dyDescent="0.15">
      <c r="C143" s="17"/>
      <c r="D143" s="17"/>
      <c r="F143" s="71" t="str">
        <f t="shared" si="19"/>
        <v/>
      </c>
      <c r="AB143">
        <f t="shared" si="20"/>
        <v>0</v>
      </c>
      <c r="AC143">
        <f t="shared" si="21"/>
        <v>0</v>
      </c>
    </row>
    <row r="144" spans="3:29" ht="13" x14ac:dyDescent="0.15">
      <c r="C144" s="17"/>
      <c r="D144" s="17"/>
      <c r="F144" s="71" t="str">
        <f t="shared" si="19"/>
        <v/>
      </c>
      <c r="AB144">
        <f t="shared" si="20"/>
        <v>0</v>
      </c>
      <c r="AC144">
        <f t="shared" si="21"/>
        <v>0</v>
      </c>
    </row>
    <row r="145" spans="3:29" ht="13" x14ac:dyDescent="0.15">
      <c r="C145" s="17"/>
      <c r="D145" s="17"/>
      <c r="F145" s="71" t="str">
        <f t="shared" si="19"/>
        <v/>
      </c>
      <c r="AB145">
        <f t="shared" si="20"/>
        <v>0</v>
      </c>
      <c r="AC145">
        <f t="shared" si="21"/>
        <v>0</v>
      </c>
    </row>
    <row r="146" spans="3:29" ht="13" x14ac:dyDescent="0.15">
      <c r="C146" s="17"/>
      <c r="D146" s="17"/>
      <c r="F146" s="71" t="str">
        <f t="shared" si="19"/>
        <v/>
      </c>
      <c r="AB146">
        <f t="shared" si="20"/>
        <v>0</v>
      </c>
      <c r="AC146">
        <f t="shared" si="21"/>
        <v>0</v>
      </c>
    </row>
    <row r="147" spans="3:29" ht="13" x14ac:dyDescent="0.15">
      <c r="C147" s="17"/>
      <c r="D147" s="17"/>
      <c r="F147" s="71" t="str">
        <f t="shared" si="19"/>
        <v/>
      </c>
      <c r="AB147">
        <f t="shared" si="20"/>
        <v>0</v>
      </c>
      <c r="AC147">
        <f t="shared" si="21"/>
        <v>0</v>
      </c>
    </row>
    <row r="148" spans="3:29" ht="13" x14ac:dyDescent="0.15">
      <c r="C148" s="17"/>
      <c r="D148" s="17"/>
      <c r="F148" s="71" t="str">
        <f t="shared" si="19"/>
        <v/>
      </c>
      <c r="AB148">
        <f t="shared" si="20"/>
        <v>0</v>
      </c>
      <c r="AC148">
        <f t="shared" si="21"/>
        <v>0</v>
      </c>
    </row>
    <row r="149" spans="3:29" ht="13" x14ac:dyDescent="0.15">
      <c r="C149" s="17"/>
      <c r="D149" s="17"/>
      <c r="F149" s="71" t="str">
        <f t="shared" si="19"/>
        <v/>
      </c>
      <c r="AB149">
        <f t="shared" si="20"/>
        <v>0</v>
      </c>
      <c r="AC149">
        <f t="shared" si="21"/>
        <v>0</v>
      </c>
    </row>
    <row r="150" spans="3:29" ht="13" x14ac:dyDescent="0.15">
      <c r="C150" s="17"/>
      <c r="D150" s="17"/>
      <c r="F150" s="71" t="str">
        <f t="shared" si="19"/>
        <v/>
      </c>
      <c r="AB150">
        <f t="shared" si="20"/>
        <v>0</v>
      </c>
      <c r="AC150">
        <f t="shared" si="21"/>
        <v>0</v>
      </c>
    </row>
    <row r="151" spans="3:29" ht="13" x14ac:dyDescent="0.15">
      <c r="C151" s="17"/>
      <c r="D151" s="17"/>
      <c r="F151" s="71" t="str">
        <f t="shared" si="19"/>
        <v/>
      </c>
      <c r="AB151">
        <f t="shared" si="20"/>
        <v>0</v>
      </c>
      <c r="AC151">
        <f t="shared" si="21"/>
        <v>0</v>
      </c>
    </row>
    <row r="152" spans="3:29" ht="13" x14ac:dyDescent="0.15">
      <c r="C152" s="17"/>
      <c r="D152" s="17"/>
      <c r="F152" s="71" t="str">
        <f t="shared" si="19"/>
        <v/>
      </c>
      <c r="AB152">
        <f t="shared" si="20"/>
        <v>0</v>
      </c>
      <c r="AC152">
        <f t="shared" si="21"/>
        <v>0</v>
      </c>
    </row>
    <row r="153" spans="3:29" ht="13" x14ac:dyDescent="0.15">
      <c r="C153" s="17"/>
      <c r="D153" s="17"/>
      <c r="F153" s="71" t="str">
        <f t="shared" si="19"/>
        <v/>
      </c>
      <c r="AB153">
        <f t="shared" si="20"/>
        <v>0</v>
      </c>
      <c r="AC153">
        <f t="shared" si="21"/>
        <v>0</v>
      </c>
    </row>
    <row r="154" spans="3:29" ht="13" x14ac:dyDescent="0.15">
      <c r="C154" s="17"/>
      <c r="D154" s="17"/>
      <c r="F154" s="71" t="str">
        <f t="shared" si="19"/>
        <v/>
      </c>
      <c r="AB154">
        <f t="shared" si="20"/>
        <v>0</v>
      </c>
      <c r="AC154">
        <f t="shared" si="21"/>
        <v>0</v>
      </c>
    </row>
    <row r="155" spans="3:29" ht="13" x14ac:dyDescent="0.15">
      <c r="C155" s="17"/>
      <c r="D155" s="17"/>
      <c r="F155" s="71" t="str">
        <f t="shared" si="19"/>
        <v/>
      </c>
      <c r="AB155">
        <f t="shared" si="20"/>
        <v>0</v>
      </c>
      <c r="AC155">
        <f t="shared" si="21"/>
        <v>0</v>
      </c>
    </row>
    <row r="156" spans="3:29" ht="13" x14ac:dyDescent="0.15">
      <c r="C156" s="17"/>
      <c r="D156" s="17"/>
      <c r="F156" s="71" t="str">
        <f t="shared" si="19"/>
        <v/>
      </c>
      <c r="AB156">
        <f t="shared" si="20"/>
        <v>0</v>
      </c>
      <c r="AC156">
        <f t="shared" si="21"/>
        <v>0</v>
      </c>
    </row>
    <row r="157" spans="3:29" ht="13" x14ac:dyDescent="0.15">
      <c r="C157" s="17"/>
      <c r="D157" s="17"/>
      <c r="F157" s="71" t="str">
        <f t="shared" si="19"/>
        <v/>
      </c>
      <c r="AB157">
        <f t="shared" si="20"/>
        <v>0</v>
      </c>
      <c r="AC157">
        <f t="shared" si="21"/>
        <v>0</v>
      </c>
    </row>
    <row r="158" spans="3:29" ht="13" x14ac:dyDescent="0.15">
      <c r="C158" s="17"/>
      <c r="D158" s="17"/>
      <c r="F158" s="71" t="str">
        <f t="shared" si="19"/>
        <v/>
      </c>
      <c r="AB158">
        <f t="shared" si="20"/>
        <v>0</v>
      </c>
      <c r="AC158">
        <f t="shared" si="21"/>
        <v>0</v>
      </c>
    </row>
    <row r="159" spans="3:29" ht="13" x14ac:dyDescent="0.15">
      <c r="C159" s="17"/>
      <c r="D159" s="17"/>
      <c r="F159" s="71" t="str">
        <f t="shared" si="19"/>
        <v/>
      </c>
      <c r="AB159">
        <f t="shared" si="20"/>
        <v>0</v>
      </c>
      <c r="AC159">
        <f t="shared" si="21"/>
        <v>0</v>
      </c>
    </row>
    <row r="160" spans="3:29" ht="13" x14ac:dyDescent="0.15">
      <c r="C160" s="17"/>
      <c r="D160" s="17"/>
      <c r="F160" s="71" t="str">
        <f t="shared" si="19"/>
        <v/>
      </c>
      <c r="AB160">
        <f t="shared" si="20"/>
        <v>0</v>
      </c>
      <c r="AC160">
        <f t="shared" si="21"/>
        <v>0</v>
      </c>
    </row>
    <row r="161" spans="3:29" ht="13" x14ac:dyDescent="0.15">
      <c r="C161" s="17"/>
      <c r="D161" s="17"/>
      <c r="F161" s="71" t="str">
        <f t="shared" si="19"/>
        <v/>
      </c>
      <c r="AB161">
        <f t="shared" si="20"/>
        <v>0</v>
      </c>
      <c r="AC161">
        <f t="shared" si="21"/>
        <v>0</v>
      </c>
    </row>
    <row r="162" spans="3:29" ht="13" x14ac:dyDescent="0.15">
      <c r="C162" s="17"/>
      <c r="D162" s="17"/>
      <c r="F162" s="71" t="str">
        <f t="shared" ref="F162:F193" si="22">IF(ISBLANK(B162),"",IF(ISNUMBER($K$10),D162*$K$10,E162))</f>
        <v/>
      </c>
      <c r="AB162">
        <f t="shared" ref="AB162:AB193" si="23">B162</f>
        <v>0</v>
      </c>
      <c r="AC162">
        <f t="shared" ref="AC162:AC193" si="24">A162</f>
        <v>0</v>
      </c>
    </row>
    <row r="163" spans="3:29" ht="13" x14ac:dyDescent="0.15">
      <c r="C163" s="17"/>
      <c r="D163" s="17"/>
      <c r="F163" s="71" t="str">
        <f t="shared" si="22"/>
        <v/>
      </c>
      <c r="AB163">
        <f t="shared" si="23"/>
        <v>0</v>
      </c>
      <c r="AC163">
        <f t="shared" si="24"/>
        <v>0</v>
      </c>
    </row>
    <row r="164" spans="3:29" ht="13" x14ac:dyDescent="0.15">
      <c r="C164" s="17"/>
      <c r="D164" s="17"/>
      <c r="F164" s="71" t="str">
        <f t="shared" si="22"/>
        <v/>
      </c>
      <c r="AB164">
        <f t="shared" si="23"/>
        <v>0</v>
      </c>
      <c r="AC164">
        <f t="shared" si="24"/>
        <v>0</v>
      </c>
    </row>
    <row r="165" spans="3:29" ht="13" x14ac:dyDescent="0.15">
      <c r="C165" s="17"/>
      <c r="D165" s="17"/>
      <c r="F165" s="71" t="str">
        <f t="shared" si="22"/>
        <v/>
      </c>
      <c r="AB165">
        <f t="shared" si="23"/>
        <v>0</v>
      </c>
      <c r="AC165">
        <f t="shared" si="24"/>
        <v>0</v>
      </c>
    </row>
    <row r="166" spans="3:29" ht="13" x14ac:dyDescent="0.15">
      <c r="C166" s="17"/>
      <c r="D166" s="17"/>
      <c r="F166" s="71" t="str">
        <f t="shared" si="22"/>
        <v/>
      </c>
      <c r="AB166">
        <f t="shared" si="23"/>
        <v>0</v>
      </c>
      <c r="AC166">
        <f t="shared" si="24"/>
        <v>0</v>
      </c>
    </row>
    <row r="167" spans="3:29" ht="13" x14ac:dyDescent="0.15">
      <c r="C167" s="17"/>
      <c r="D167" s="17"/>
      <c r="F167" s="71" t="str">
        <f t="shared" si="22"/>
        <v/>
      </c>
      <c r="AB167">
        <f t="shared" si="23"/>
        <v>0</v>
      </c>
      <c r="AC167">
        <f t="shared" si="24"/>
        <v>0</v>
      </c>
    </row>
    <row r="168" spans="3:29" ht="13" x14ac:dyDescent="0.15">
      <c r="C168" s="17"/>
      <c r="D168" s="17"/>
      <c r="F168" s="71" t="str">
        <f t="shared" si="22"/>
        <v/>
      </c>
      <c r="AB168">
        <f t="shared" si="23"/>
        <v>0</v>
      </c>
      <c r="AC168">
        <f t="shared" si="24"/>
        <v>0</v>
      </c>
    </row>
    <row r="169" spans="3:29" ht="13" x14ac:dyDescent="0.15">
      <c r="C169" s="17"/>
      <c r="D169" s="17"/>
      <c r="F169" s="71" t="str">
        <f t="shared" si="22"/>
        <v/>
      </c>
      <c r="AB169">
        <f t="shared" si="23"/>
        <v>0</v>
      </c>
      <c r="AC169">
        <f t="shared" si="24"/>
        <v>0</v>
      </c>
    </row>
    <row r="170" spans="3:29" ht="13" x14ac:dyDescent="0.15">
      <c r="C170" s="17"/>
      <c r="D170" s="17"/>
      <c r="F170" s="71" t="str">
        <f t="shared" si="22"/>
        <v/>
      </c>
      <c r="AB170">
        <f t="shared" si="23"/>
        <v>0</v>
      </c>
      <c r="AC170">
        <f t="shared" si="24"/>
        <v>0</v>
      </c>
    </row>
    <row r="171" spans="3:29" ht="13" x14ac:dyDescent="0.15">
      <c r="C171" s="17"/>
      <c r="D171" s="17"/>
      <c r="F171" s="71" t="str">
        <f t="shared" si="22"/>
        <v/>
      </c>
      <c r="AB171">
        <f t="shared" si="23"/>
        <v>0</v>
      </c>
      <c r="AC171">
        <f t="shared" si="24"/>
        <v>0</v>
      </c>
    </row>
    <row r="172" spans="3:29" ht="13" x14ac:dyDescent="0.15">
      <c r="C172" s="17"/>
      <c r="D172" s="17"/>
      <c r="F172" s="71" t="str">
        <f t="shared" si="22"/>
        <v/>
      </c>
      <c r="AB172">
        <f t="shared" si="23"/>
        <v>0</v>
      </c>
      <c r="AC172">
        <f t="shared" si="24"/>
        <v>0</v>
      </c>
    </row>
    <row r="173" spans="3:29" ht="13" x14ac:dyDescent="0.15">
      <c r="C173" s="17"/>
      <c r="D173" s="17"/>
      <c r="F173" s="71" t="str">
        <f t="shared" si="22"/>
        <v/>
      </c>
      <c r="AB173">
        <f t="shared" si="23"/>
        <v>0</v>
      </c>
      <c r="AC173">
        <f t="shared" si="24"/>
        <v>0</v>
      </c>
    </row>
    <row r="174" spans="3:29" ht="13" x14ac:dyDescent="0.15">
      <c r="C174" s="17"/>
      <c r="D174" s="17"/>
      <c r="F174" s="71" t="str">
        <f t="shared" si="22"/>
        <v/>
      </c>
      <c r="AB174">
        <f t="shared" si="23"/>
        <v>0</v>
      </c>
      <c r="AC174">
        <f t="shared" si="24"/>
        <v>0</v>
      </c>
    </row>
    <row r="175" spans="3:29" ht="13" x14ac:dyDescent="0.15">
      <c r="C175" s="17"/>
      <c r="D175" s="17"/>
      <c r="F175" s="71" t="str">
        <f t="shared" si="22"/>
        <v/>
      </c>
      <c r="AB175">
        <f t="shared" si="23"/>
        <v>0</v>
      </c>
      <c r="AC175">
        <f t="shared" si="24"/>
        <v>0</v>
      </c>
    </row>
    <row r="176" spans="3:29" ht="13" x14ac:dyDescent="0.15">
      <c r="C176" s="17"/>
      <c r="D176" s="17"/>
      <c r="F176" s="71" t="str">
        <f t="shared" si="22"/>
        <v/>
      </c>
      <c r="AB176">
        <f t="shared" si="23"/>
        <v>0</v>
      </c>
      <c r="AC176">
        <f t="shared" si="24"/>
        <v>0</v>
      </c>
    </row>
    <row r="177" spans="3:29" ht="13" x14ac:dyDescent="0.15">
      <c r="C177" s="17"/>
      <c r="D177" s="17"/>
      <c r="F177" s="71" t="str">
        <f t="shared" si="22"/>
        <v/>
      </c>
      <c r="AB177">
        <f t="shared" si="23"/>
        <v>0</v>
      </c>
      <c r="AC177">
        <f t="shared" si="24"/>
        <v>0</v>
      </c>
    </row>
    <row r="178" spans="3:29" ht="13" x14ac:dyDescent="0.15">
      <c r="C178" s="17"/>
      <c r="D178" s="17"/>
      <c r="F178" s="71" t="str">
        <f t="shared" si="22"/>
        <v/>
      </c>
      <c r="AB178">
        <f t="shared" si="23"/>
        <v>0</v>
      </c>
      <c r="AC178">
        <f t="shared" si="24"/>
        <v>0</v>
      </c>
    </row>
    <row r="179" spans="3:29" ht="13" x14ac:dyDescent="0.15">
      <c r="C179" s="17"/>
      <c r="D179" s="17"/>
      <c r="F179" s="71" t="str">
        <f t="shared" si="22"/>
        <v/>
      </c>
      <c r="AB179">
        <f t="shared" si="23"/>
        <v>0</v>
      </c>
      <c r="AC179">
        <f t="shared" si="24"/>
        <v>0</v>
      </c>
    </row>
    <row r="180" spans="3:29" ht="13" x14ac:dyDescent="0.15">
      <c r="C180" s="17"/>
      <c r="D180" s="17"/>
      <c r="F180" s="71" t="str">
        <f t="shared" si="22"/>
        <v/>
      </c>
      <c r="AB180">
        <f t="shared" si="23"/>
        <v>0</v>
      </c>
      <c r="AC180">
        <f t="shared" si="24"/>
        <v>0</v>
      </c>
    </row>
    <row r="181" spans="3:29" ht="13" x14ac:dyDescent="0.15">
      <c r="C181" s="17"/>
      <c r="D181" s="17"/>
      <c r="F181" s="71" t="str">
        <f t="shared" si="22"/>
        <v/>
      </c>
      <c r="AB181">
        <f t="shared" si="23"/>
        <v>0</v>
      </c>
      <c r="AC181">
        <f t="shared" si="24"/>
        <v>0</v>
      </c>
    </row>
    <row r="182" spans="3:29" ht="13" x14ac:dyDescent="0.15">
      <c r="C182" s="17"/>
      <c r="D182" s="17"/>
      <c r="F182" s="71" t="str">
        <f t="shared" si="22"/>
        <v/>
      </c>
      <c r="AB182">
        <f t="shared" si="23"/>
        <v>0</v>
      </c>
      <c r="AC182">
        <f t="shared" si="24"/>
        <v>0</v>
      </c>
    </row>
    <row r="183" spans="3:29" ht="13" x14ac:dyDescent="0.15">
      <c r="C183" s="17"/>
      <c r="D183" s="17"/>
      <c r="F183" s="71" t="str">
        <f t="shared" si="22"/>
        <v/>
      </c>
      <c r="AB183">
        <f t="shared" si="23"/>
        <v>0</v>
      </c>
      <c r="AC183">
        <f t="shared" si="24"/>
        <v>0</v>
      </c>
    </row>
    <row r="184" spans="3:29" ht="13" x14ac:dyDescent="0.15">
      <c r="C184" s="17"/>
      <c r="D184" s="17"/>
      <c r="F184" s="71" t="str">
        <f t="shared" si="22"/>
        <v/>
      </c>
      <c r="AB184">
        <f t="shared" si="23"/>
        <v>0</v>
      </c>
      <c r="AC184">
        <f t="shared" si="24"/>
        <v>0</v>
      </c>
    </row>
    <row r="185" spans="3:29" ht="13" x14ac:dyDescent="0.15">
      <c r="C185" s="17"/>
      <c r="D185" s="17"/>
      <c r="F185" s="71" t="str">
        <f t="shared" si="22"/>
        <v/>
      </c>
      <c r="AB185">
        <f t="shared" si="23"/>
        <v>0</v>
      </c>
      <c r="AC185">
        <f t="shared" si="24"/>
        <v>0</v>
      </c>
    </row>
    <row r="186" spans="3:29" ht="13" x14ac:dyDescent="0.15">
      <c r="C186" s="17"/>
      <c r="D186" s="17"/>
      <c r="F186" s="71" t="str">
        <f t="shared" si="22"/>
        <v/>
      </c>
      <c r="AB186">
        <f t="shared" si="23"/>
        <v>0</v>
      </c>
      <c r="AC186">
        <f t="shared" si="24"/>
        <v>0</v>
      </c>
    </row>
    <row r="187" spans="3:29" ht="13" x14ac:dyDescent="0.15">
      <c r="C187" s="17"/>
      <c r="D187" s="17"/>
      <c r="F187" s="71" t="str">
        <f t="shared" si="22"/>
        <v/>
      </c>
      <c r="AB187">
        <f t="shared" si="23"/>
        <v>0</v>
      </c>
      <c r="AC187">
        <f t="shared" si="24"/>
        <v>0</v>
      </c>
    </row>
    <row r="188" spans="3:29" ht="13" x14ac:dyDescent="0.15">
      <c r="C188" s="17"/>
      <c r="D188" s="17"/>
      <c r="F188" s="71" t="str">
        <f t="shared" si="22"/>
        <v/>
      </c>
      <c r="AB188">
        <f t="shared" si="23"/>
        <v>0</v>
      </c>
      <c r="AC188">
        <f t="shared" si="24"/>
        <v>0</v>
      </c>
    </row>
    <row r="189" spans="3:29" ht="13" x14ac:dyDescent="0.15">
      <c r="C189" s="17"/>
      <c r="D189" s="17"/>
      <c r="F189" s="71" t="str">
        <f t="shared" si="22"/>
        <v/>
      </c>
      <c r="AB189">
        <f t="shared" si="23"/>
        <v>0</v>
      </c>
      <c r="AC189">
        <f t="shared" si="24"/>
        <v>0</v>
      </c>
    </row>
    <row r="190" spans="3:29" ht="13" x14ac:dyDescent="0.15">
      <c r="C190" s="17"/>
      <c r="D190" s="17"/>
      <c r="F190" s="71" t="str">
        <f t="shared" si="22"/>
        <v/>
      </c>
      <c r="AB190">
        <f t="shared" si="23"/>
        <v>0</v>
      </c>
      <c r="AC190">
        <f t="shared" si="24"/>
        <v>0</v>
      </c>
    </row>
    <row r="191" spans="3:29" ht="13" x14ac:dyDescent="0.15">
      <c r="C191" s="17"/>
      <c r="D191" s="17"/>
      <c r="F191" s="71" t="str">
        <f t="shared" si="22"/>
        <v/>
      </c>
      <c r="AB191">
        <f t="shared" si="23"/>
        <v>0</v>
      </c>
      <c r="AC191">
        <f t="shared" si="24"/>
        <v>0</v>
      </c>
    </row>
    <row r="192" spans="3:29" ht="13" x14ac:dyDescent="0.15">
      <c r="C192" s="17"/>
      <c r="D192" s="17"/>
      <c r="F192" s="71" t="str">
        <f t="shared" si="22"/>
        <v/>
      </c>
      <c r="AB192">
        <f t="shared" si="23"/>
        <v>0</v>
      </c>
      <c r="AC192">
        <f t="shared" si="24"/>
        <v>0</v>
      </c>
    </row>
    <row r="193" spans="3:29" ht="13" x14ac:dyDescent="0.15">
      <c r="C193" s="17"/>
      <c r="D193" s="17"/>
      <c r="F193" s="71" t="str">
        <f t="shared" si="22"/>
        <v/>
      </c>
      <c r="AB193">
        <f t="shared" si="23"/>
        <v>0</v>
      </c>
      <c r="AC193">
        <f t="shared" si="24"/>
        <v>0</v>
      </c>
    </row>
    <row r="194" spans="3:29" ht="13" x14ac:dyDescent="0.15">
      <c r="C194" s="17"/>
      <c r="D194" s="17"/>
      <c r="F194" s="71" t="str">
        <f t="shared" ref="F194:F200" si="25">IF(ISBLANK(B194),"",IF(ISNUMBER($K$10),D194*$K$10,E194))</f>
        <v/>
      </c>
      <c r="AB194">
        <f t="shared" ref="AB194:AB200" si="26">B194</f>
        <v>0</v>
      </c>
      <c r="AC194">
        <f t="shared" ref="AC194:AC200" si="27">A194</f>
        <v>0</v>
      </c>
    </row>
    <row r="195" spans="3:29" ht="13" x14ac:dyDescent="0.15">
      <c r="C195" s="17"/>
      <c r="D195" s="17"/>
      <c r="F195" s="71" t="str">
        <f t="shared" si="25"/>
        <v/>
      </c>
      <c r="AB195">
        <f t="shared" si="26"/>
        <v>0</v>
      </c>
      <c r="AC195">
        <f t="shared" si="27"/>
        <v>0</v>
      </c>
    </row>
    <row r="196" spans="3:29" ht="13" x14ac:dyDescent="0.15">
      <c r="C196" s="17"/>
      <c r="D196" s="17"/>
      <c r="F196" s="71" t="str">
        <f t="shared" si="25"/>
        <v/>
      </c>
      <c r="AB196">
        <f t="shared" si="26"/>
        <v>0</v>
      </c>
      <c r="AC196">
        <f t="shared" si="27"/>
        <v>0</v>
      </c>
    </row>
    <row r="197" spans="3:29" ht="13" x14ac:dyDescent="0.15">
      <c r="C197" s="17"/>
      <c r="D197" s="17"/>
      <c r="F197" s="71" t="str">
        <f t="shared" si="25"/>
        <v/>
      </c>
      <c r="AB197">
        <f t="shared" si="26"/>
        <v>0</v>
      </c>
      <c r="AC197">
        <f t="shared" si="27"/>
        <v>0</v>
      </c>
    </row>
    <row r="198" spans="3:29" ht="13" x14ac:dyDescent="0.15">
      <c r="C198" s="17"/>
      <c r="D198" s="17"/>
      <c r="F198" s="71" t="str">
        <f t="shared" si="25"/>
        <v/>
      </c>
      <c r="AB198">
        <f t="shared" si="26"/>
        <v>0</v>
      </c>
      <c r="AC198">
        <f t="shared" si="27"/>
        <v>0</v>
      </c>
    </row>
    <row r="199" spans="3:29" ht="13" x14ac:dyDescent="0.15">
      <c r="C199" s="17"/>
      <c r="D199" s="17"/>
      <c r="F199" s="71" t="str">
        <f t="shared" si="25"/>
        <v/>
      </c>
      <c r="AB199">
        <f t="shared" si="26"/>
        <v>0</v>
      </c>
      <c r="AC199">
        <f t="shared" si="27"/>
        <v>0</v>
      </c>
    </row>
    <row r="200" spans="3:29" ht="13" x14ac:dyDescent="0.15">
      <c r="C200" s="17"/>
      <c r="D200" s="17"/>
      <c r="F200" s="71" t="str">
        <f t="shared" si="25"/>
        <v/>
      </c>
      <c r="AB200">
        <f t="shared" si="26"/>
        <v>0</v>
      </c>
      <c r="AC200">
        <f t="shared" si="27"/>
        <v>0</v>
      </c>
    </row>
  </sheetData>
  <autoFilter ref="A1:E57" xr:uid="{00000000-0009-0000-0000-000002000000}"/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100"/>
  <sheetViews>
    <sheetView zoomScaleNormal="100" workbookViewId="0">
      <selection activeCell="E4" sqref="E4"/>
    </sheetView>
  </sheetViews>
  <sheetFormatPr baseColWidth="10" defaultColWidth="8.796875" defaultRowHeight="11" x14ac:dyDescent="0.15"/>
  <cols>
    <col min="1" max="1" width="11.3984375" style="17" customWidth="1"/>
    <col min="2" max="2" width="8.3984375" style="17" customWidth="1"/>
    <col min="3" max="3" width="10.19921875" style="17" customWidth="1"/>
    <col min="4" max="4" width="11.3984375" style="96" customWidth="1"/>
    <col min="5" max="5" width="11.59765625" style="17" customWidth="1"/>
    <col min="6" max="6" width="9.3984375" style="17" customWidth="1"/>
    <col min="7" max="7" width="8.796875" style="17"/>
    <col min="8" max="8" width="11.796875" style="17" customWidth="1"/>
    <col min="9" max="9" width="10.796875" style="17" customWidth="1"/>
    <col min="10" max="10" width="8.796875" style="17"/>
    <col min="12" max="12" width="10" customWidth="1"/>
    <col min="13" max="13" width="11.3984375" customWidth="1"/>
    <col min="15" max="17" width="10.19921875" customWidth="1"/>
  </cols>
  <sheetData>
    <row r="1" spans="1:24" ht="13" x14ac:dyDescent="0.15">
      <c r="A1" s="97" t="s">
        <v>68</v>
      </c>
      <c r="B1" s="54"/>
      <c r="C1" s="54"/>
      <c r="D1" s="98"/>
      <c r="E1" s="54"/>
      <c r="F1" s="54"/>
      <c r="G1" s="54"/>
      <c r="H1" s="99" t="s">
        <v>69</v>
      </c>
      <c r="I1" s="100"/>
      <c r="J1" s="101"/>
      <c r="L1" s="102" t="s">
        <v>70</v>
      </c>
      <c r="M1" s="103"/>
      <c r="N1" s="104"/>
      <c r="O1" s="105" t="s">
        <v>71</v>
      </c>
      <c r="P1" s="106" t="s">
        <v>72</v>
      </c>
      <c r="Q1" s="107" t="s">
        <v>73</v>
      </c>
      <c r="W1" t="s">
        <v>74</v>
      </c>
      <c r="X1" t="s">
        <v>75</v>
      </c>
    </row>
    <row r="2" spans="1:24" ht="13" x14ac:dyDescent="0.15">
      <c r="A2" s="108" t="s">
        <v>76</v>
      </c>
      <c r="B2" s="108" t="s">
        <v>77</v>
      </c>
      <c r="C2" s="108" t="s">
        <v>2</v>
      </c>
      <c r="D2" s="109" t="s">
        <v>78</v>
      </c>
      <c r="E2" s="108" t="s">
        <v>79</v>
      </c>
      <c r="F2" s="108" t="s">
        <v>80</v>
      </c>
      <c r="H2" s="110" t="s">
        <v>81</v>
      </c>
      <c r="I2" s="110" t="s">
        <v>77</v>
      </c>
      <c r="J2" s="110" t="s">
        <v>2</v>
      </c>
      <c r="L2" s="111" t="s">
        <v>82</v>
      </c>
      <c r="M2" s="112">
        <f>RCertification!G48</f>
        <v>0</v>
      </c>
      <c r="N2" s="113">
        <f>RCertification!H48</f>
        <v>0</v>
      </c>
      <c r="O2" s="114">
        <f>RCertification!H54*N2*N3</f>
        <v>0</v>
      </c>
      <c r="P2" s="115">
        <f>IF(ISNUMBER(M4),RCertification!I54*N2*N4,"")</f>
        <v>0</v>
      </c>
      <c r="Q2" s="116">
        <f>IF(ISNUMBER(M4),RCertification!I55*N3*N4,"")</f>
        <v>0</v>
      </c>
      <c r="W2" t="s">
        <v>83</v>
      </c>
      <c r="X2" t="s">
        <v>84</v>
      </c>
    </row>
    <row r="3" spans="1:24" ht="13" x14ac:dyDescent="0.15">
      <c r="A3" s="14"/>
      <c r="B3" s="14"/>
      <c r="C3" s="14"/>
      <c r="D3" s="14"/>
      <c r="E3" s="117" t="str">
        <f t="shared" ref="E3:E34" si="0">IF(ISNUMBER(C3),C3*C3*$M$4+C3*$M$3+$M$2,"")</f>
        <v/>
      </c>
      <c r="F3" s="118" t="str">
        <f t="shared" ref="F3:F34" si="1">IF(ISNUMBER(C3),(D3-E3)/D3,"")</f>
        <v/>
      </c>
      <c r="H3" s="14"/>
      <c r="I3" s="14"/>
      <c r="J3" s="55"/>
      <c r="L3" s="111" t="s">
        <v>85</v>
      </c>
      <c r="M3" s="112">
        <f>RCertification!G49</f>
        <v>0</v>
      </c>
      <c r="N3" s="113">
        <f>RCertification!H49</f>
        <v>0</v>
      </c>
      <c r="O3" s="119"/>
      <c r="P3" s="120"/>
      <c r="Q3" s="121"/>
    </row>
    <row r="4" spans="1:24" ht="13" x14ac:dyDescent="0.15">
      <c r="D4" s="17"/>
      <c r="E4" s="117" t="str">
        <f t="shared" si="0"/>
        <v/>
      </c>
      <c r="F4" s="118" t="str">
        <f t="shared" si="1"/>
        <v/>
      </c>
      <c r="J4" s="64"/>
      <c r="L4" s="122" t="s">
        <v>86</v>
      </c>
      <c r="M4" s="123">
        <f>RCertification!G50</f>
        <v>0</v>
      </c>
      <c r="N4" s="124">
        <f>RCertification!H50</f>
        <v>0</v>
      </c>
      <c r="O4" s="125"/>
      <c r="P4" s="126"/>
      <c r="Q4" s="127"/>
      <c r="W4" t="s">
        <v>87</v>
      </c>
    </row>
    <row r="5" spans="1:24" ht="13" x14ac:dyDescent="0.15">
      <c r="D5" s="17"/>
      <c r="E5" s="117" t="str">
        <f t="shared" si="0"/>
        <v/>
      </c>
      <c r="F5" s="118" t="str">
        <f t="shared" si="1"/>
        <v/>
      </c>
      <c r="J5" s="64"/>
      <c r="W5" t="s">
        <v>88</v>
      </c>
    </row>
    <row r="6" spans="1:24" ht="13" x14ac:dyDescent="0.15">
      <c r="D6" s="17"/>
      <c r="E6" s="117" t="str">
        <f t="shared" si="0"/>
        <v/>
      </c>
      <c r="F6" s="118" t="str">
        <f t="shared" si="1"/>
        <v/>
      </c>
      <c r="J6" s="64"/>
      <c r="L6" s="23" t="s">
        <v>89</v>
      </c>
      <c r="W6" t="s">
        <v>90</v>
      </c>
    </row>
    <row r="7" spans="1:24" ht="13" x14ac:dyDescent="0.15">
      <c r="D7" s="17"/>
      <c r="E7" s="117" t="str">
        <f t="shared" si="0"/>
        <v/>
      </c>
      <c r="F7" s="118" t="str">
        <f t="shared" si="1"/>
        <v/>
      </c>
      <c r="J7" s="64"/>
      <c r="L7" s="128" t="s">
        <v>91</v>
      </c>
      <c r="M7" s="129"/>
      <c r="N7" s="129"/>
      <c r="O7" s="129"/>
      <c r="P7" s="129"/>
      <c r="Q7" s="129"/>
      <c r="R7" s="129"/>
      <c r="S7" s="129"/>
      <c r="T7" s="130"/>
    </row>
    <row r="8" spans="1:24" ht="13" x14ac:dyDescent="0.15">
      <c r="D8" s="17"/>
      <c r="E8" s="117" t="str">
        <f t="shared" si="0"/>
        <v/>
      </c>
      <c r="F8" s="118" t="str">
        <f t="shared" si="1"/>
        <v/>
      </c>
      <c r="J8" s="64"/>
      <c r="L8" s="131"/>
      <c r="M8" s="132"/>
      <c r="N8" s="132"/>
      <c r="O8" s="132"/>
      <c r="P8" s="132"/>
      <c r="Q8" s="132"/>
      <c r="R8" s="132"/>
      <c r="S8" s="132"/>
      <c r="T8" s="133"/>
    </row>
    <row r="9" spans="1:24" ht="13" x14ac:dyDescent="0.15">
      <c r="D9" s="17"/>
      <c r="E9" s="117" t="str">
        <f t="shared" si="0"/>
        <v/>
      </c>
      <c r="F9" s="118" t="str">
        <f t="shared" si="1"/>
        <v/>
      </c>
      <c r="J9" s="64"/>
      <c r="L9" s="131"/>
      <c r="M9" s="134" t="s">
        <v>77</v>
      </c>
      <c r="N9" s="134" t="s">
        <v>77</v>
      </c>
      <c r="O9" s="134" t="s">
        <v>77</v>
      </c>
      <c r="P9" s="134" t="s">
        <v>77</v>
      </c>
      <c r="Q9" s="134" t="s">
        <v>77</v>
      </c>
      <c r="R9" s="134" t="s">
        <v>77</v>
      </c>
      <c r="S9" s="134" t="s">
        <v>77</v>
      </c>
      <c r="T9" s="135" t="s">
        <v>77</v>
      </c>
    </row>
    <row r="10" spans="1:24" ht="13" x14ac:dyDescent="0.15">
      <c r="D10" s="17"/>
      <c r="E10" s="117" t="str">
        <f t="shared" si="0"/>
        <v/>
      </c>
      <c r="F10" s="118" t="str">
        <f t="shared" si="1"/>
        <v/>
      </c>
      <c r="J10" s="64"/>
      <c r="L10" s="131"/>
      <c r="M10" s="134">
        <v>1</v>
      </c>
      <c r="N10" s="134">
        <v>2</v>
      </c>
      <c r="O10" s="134">
        <v>3</v>
      </c>
      <c r="P10" s="134">
        <v>4</v>
      </c>
      <c r="Q10" s="134">
        <v>5</v>
      </c>
      <c r="R10" s="134">
        <v>6</v>
      </c>
      <c r="S10" s="134">
        <v>7</v>
      </c>
      <c r="T10" s="135">
        <v>8</v>
      </c>
    </row>
    <row r="11" spans="1:24" ht="13" x14ac:dyDescent="0.15">
      <c r="D11" s="17"/>
      <c r="E11" s="117" t="str">
        <f t="shared" si="0"/>
        <v/>
      </c>
      <c r="F11" s="118" t="str">
        <f t="shared" si="1"/>
        <v/>
      </c>
      <c r="J11" s="64"/>
      <c r="L11" s="136" t="s">
        <v>92</v>
      </c>
      <c r="M11" s="137" t="e">
        <f t="shared" ref="M11:T11" si="2">DAVERAGE($A$2:$F$100,"Past Conc",M9:M10)</f>
        <v>#DIV/0!</v>
      </c>
      <c r="N11" s="137" t="e">
        <f t="shared" si="2"/>
        <v>#DIV/0!</v>
      </c>
      <c r="O11" s="137" t="e">
        <f t="shared" si="2"/>
        <v>#DIV/0!</v>
      </c>
      <c r="P11" s="137" t="e">
        <f t="shared" si="2"/>
        <v>#DIV/0!</v>
      </c>
      <c r="Q11" s="137" t="e">
        <f t="shared" si="2"/>
        <v>#DIV/0!</v>
      </c>
      <c r="R11" s="137" t="e">
        <f t="shared" si="2"/>
        <v>#DIV/0!</v>
      </c>
      <c r="S11" s="137" t="e">
        <f t="shared" si="2"/>
        <v>#DIV/0!</v>
      </c>
      <c r="T11" s="138" t="e">
        <f t="shared" si="2"/>
        <v>#DIV/0!</v>
      </c>
    </row>
    <row r="12" spans="1:24" ht="13" x14ac:dyDescent="0.15">
      <c r="D12" s="17"/>
      <c r="E12" s="117" t="str">
        <f t="shared" si="0"/>
        <v/>
      </c>
      <c r="F12" s="118" t="str">
        <f t="shared" si="1"/>
        <v/>
      </c>
      <c r="J12" s="64"/>
      <c r="L12" s="136" t="s">
        <v>93</v>
      </c>
      <c r="M12" s="137" t="e">
        <f t="shared" ref="M12:T12" si="3">DAVERAGE($A$2:$F$100,"Ratio",M9:M10)</f>
        <v>#DIV/0!</v>
      </c>
      <c r="N12" s="137" t="e">
        <f t="shared" si="3"/>
        <v>#DIV/0!</v>
      </c>
      <c r="O12" s="137" t="e">
        <f t="shared" si="3"/>
        <v>#DIV/0!</v>
      </c>
      <c r="P12" s="137" t="e">
        <f t="shared" si="3"/>
        <v>#DIV/0!</v>
      </c>
      <c r="Q12" s="137" t="e">
        <f t="shared" si="3"/>
        <v>#DIV/0!</v>
      </c>
      <c r="R12" s="137" t="e">
        <f t="shared" si="3"/>
        <v>#DIV/0!</v>
      </c>
      <c r="S12" s="137" t="e">
        <f t="shared" si="3"/>
        <v>#DIV/0!</v>
      </c>
      <c r="T12" s="138" t="e">
        <f t="shared" si="3"/>
        <v>#DIV/0!</v>
      </c>
    </row>
    <row r="13" spans="1:24" ht="13" x14ac:dyDescent="0.15">
      <c r="D13" s="17"/>
      <c r="E13" s="117" t="str">
        <f t="shared" si="0"/>
        <v/>
      </c>
      <c r="F13" s="118" t="str">
        <f t="shared" si="1"/>
        <v/>
      </c>
      <c r="J13" s="64"/>
      <c r="L13" s="136" t="s">
        <v>94</v>
      </c>
      <c r="M13" s="137" t="e">
        <f t="shared" ref="M13:T13" si="4">DSTDEV($A$2:$F$100,"Ratio",M9:M10)/SQRT(DCOUNT($A$2:$F$100,"Ratio",M9:M10))</f>
        <v>#DIV/0!</v>
      </c>
      <c r="N13" s="137" t="e">
        <f t="shared" si="4"/>
        <v>#DIV/0!</v>
      </c>
      <c r="O13" s="137" t="e">
        <f t="shared" si="4"/>
        <v>#DIV/0!</v>
      </c>
      <c r="P13" s="137" t="e">
        <f t="shared" si="4"/>
        <v>#DIV/0!</v>
      </c>
      <c r="Q13" s="137" t="e">
        <f t="shared" si="4"/>
        <v>#DIV/0!</v>
      </c>
      <c r="R13" s="137" t="e">
        <f t="shared" si="4"/>
        <v>#DIV/0!</v>
      </c>
      <c r="S13" s="137" t="e">
        <f t="shared" si="4"/>
        <v>#DIV/0!</v>
      </c>
      <c r="T13" s="138" t="e">
        <f t="shared" si="4"/>
        <v>#DIV/0!</v>
      </c>
    </row>
    <row r="14" spans="1:24" ht="13" x14ac:dyDescent="0.15">
      <c r="D14" s="17"/>
      <c r="E14" s="117" t="str">
        <f t="shared" si="0"/>
        <v/>
      </c>
      <c r="F14" s="118" t="str">
        <f t="shared" si="1"/>
        <v/>
      </c>
      <c r="J14" s="64"/>
      <c r="L14" s="136" t="s">
        <v>95</v>
      </c>
      <c r="M14" s="137" t="e">
        <f t="shared" ref="M14:T14" si="5">M12^2*$M$4+M12*$M$3+$M$2</f>
        <v>#DIV/0!</v>
      </c>
      <c r="N14" s="137" t="e">
        <f t="shared" si="5"/>
        <v>#DIV/0!</v>
      </c>
      <c r="O14" s="137" t="e">
        <f t="shared" si="5"/>
        <v>#DIV/0!</v>
      </c>
      <c r="P14" s="137" t="e">
        <f t="shared" si="5"/>
        <v>#DIV/0!</v>
      </c>
      <c r="Q14" s="137" t="e">
        <f t="shared" si="5"/>
        <v>#DIV/0!</v>
      </c>
      <c r="R14" s="137" t="e">
        <f t="shared" si="5"/>
        <v>#DIV/0!</v>
      </c>
      <c r="S14" s="137" t="e">
        <f t="shared" si="5"/>
        <v>#DIV/0!</v>
      </c>
      <c r="T14" s="138" t="e">
        <f t="shared" si="5"/>
        <v>#DIV/0!</v>
      </c>
    </row>
    <row r="15" spans="1:24" ht="13" x14ac:dyDescent="0.15">
      <c r="D15" s="17"/>
      <c r="E15" s="117" t="str">
        <f t="shared" si="0"/>
        <v/>
      </c>
      <c r="F15" s="118" t="str">
        <f t="shared" si="1"/>
        <v/>
      </c>
      <c r="J15" s="64"/>
      <c r="L15" s="136" t="s">
        <v>96</v>
      </c>
      <c r="M15" s="137" t="e">
        <f t="shared" ref="M15:T15" si="6">SQRT(($M$3+2*$M$4*M12)^2*M13^2+$N$2^2+($N$3^2*M12^2)+($N$4^2*M12^4)+(2*M12*$O$2)+(2*$P$2*M12^2)+(2*$Q$2*M12^3))</f>
        <v>#DIV/0!</v>
      </c>
      <c r="N15" s="137" t="e">
        <f t="shared" si="6"/>
        <v>#DIV/0!</v>
      </c>
      <c r="O15" s="137" t="e">
        <f t="shared" si="6"/>
        <v>#DIV/0!</v>
      </c>
      <c r="P15" s="137" t="e">
        <f t="shared" si="6"/>
        <v>#DIV/0!</v>
      </c>
      <c r="Q15" s="137" t="e">
        <f t="shared" si="6"/>
        <v>#DIV/0!</v>
      </c>
      <c r="R15" s="137" t="e">
        <f t="shared" si="6"/>
        <v>#DIV/0!</v>
      </c>
      <c r="S15" s="137" t="e">
        <f t="shared" si="6"/>
        <v>#DIV/0!</v>
      </c>
      <c r="T15" s="138" t="e">
        <f t="shared" si="6"/>
        <v>#DIV/0!</v>
      </c>
    </row>
    <row r="16" spans="1:24" ht="13" x14ac:dyDescent="0.15">
      <c r="D16" s="17"/>
      <c r="E16" s="117" t="str">
        <f t="shared" si="0"/>
        <v/>
      </c>
      <c r="F16" s="118" t="str">
        <f t="shared" si="1"/>
        <v/>
      </c>
      <c r="J16" s="64"/>
      <c r="K16" s="17"/>
      <c r="L16" s="136" t="s">
        <v>97</v>
      </c>
      <c r="M16" s="139" t="e">
        <f t="shared" ref="M16:T16" si="7">(M11-M14)/M11</f>
        <v>#DIV/0!</v>
      </c>
      <c r="N16" s="139" t="e">
        <f t="shared" si="7"/>
        <v>#DIV/0!</v>
      </c>
      <c r="O16" s="139" t="e">
        <f t="shared" si="7"/>
        <v>#DIV/0!</v>
      </c>
      <c r="P16" s="139" t="e">
        <f t="shared" si="7"/>
        <v>#DIV/0!</v>
      </c>
      <c r="Q16" s="139" t="e">
        <f t="shared" si="7"/>
        <v>#DIV/0!</v>
      </c>
      <c r="R16" s="139" t="e">
        <f t="shared" si="7"/>
        <v>#DIV/0!</v>
      </c>
      <c r="S16" s="139" t="e">
        <f t="shared" si="7"/>
        <v>#DIV/0!</v>
      </c>
      <c r="T16" s="140" t="e">
        <f t="shared" si="7"/>
        <v>#DIV/0!</v>
      </c>
    </row>
    <row r="17" spans="4:22" ht="13" x14ac:dyDescent="0.15">
      <c r="D17" s="17"/>
      <c r="E17" s="117" t="str">
        <f t="shared" si="0"/>
        <v/>
      </c>
      <c r="F17" s="118" t="str">
        <f t="shared" si="1"/>
        <v/>
      </c>
      <c r="J17" s="64"/>
      <c r="K17" s="17"/>
      <c r="L17" s="136" t="s">
        <v>98</v>
      </c>
      <c r="M17" s="141" t="str">
        <f t="shared" ref="M17:T17" si="8">IF(ISERROR(M16),"",ABS(M16))</f>
        <v/>
      </c>
      <c r="N17" s="141" t="str">
        <f t="shared" si="8"/>
        <v/>
      </c>
      <c r="O17" s="141" t="str">
        <f t="shared" si="8"/>
        <v/>
      </c>
      <c r="P17" s="141" t="str">
        <f t="shared" si="8"/>
        <v/>
      </c>
      <c r="Q17" s="141" t="str">
        <f t="shared" si="8"/>
        <v/>
      </c>
      <c r="R17" s="141" t="str">
        <f t="shared" si="8"/>
        <v/>
      </c>
      <c r="S17" s="141" t="str">
        <f t="shared" si="8"/>
        <v/>
      </c>
      <c r="T17" s="142" t="str">
        <f t="shared" si="8"/>
        <v/>
      </c>
      <c r="U17" s="7"/>
      <c r="V17" s="7"/>
    </row>
    <row r="18" spans="4:22" ht="13" x14ac:dyDescent="0.15">
      <c r="D18" s="17"/>
      <c r="E18" s="117" t="str">
        <f t="shared" si="0"/>
        <v/>
      </c>
      <c r="F18" s="118" t="str">
        <f t="shared" si="1"/>
        <v/>
      </c>
      <c r="J18" s="64"/>
      <c r="K18" s="17"/>
      <c r="L18" s="143" t="s">
        <v>99</v>
      </c>
      <c r="M18" s="144"/>
      <c r="N18" s="145" t="e">
        <f>AVERAGE(M17:T17)</f>
        <v>#DIV/0!</v>
      </c>
      <c r="O18" s="146"/>
      <c r="P18" s="146"/>
      <c r="Q18" s="147"/>
      <c r="R18" s="147"/>
      <c r="S18" s="148"/>
      <c r="T18" s="149"/>
      <c r="U18" s="7"/>
      <c r="V18" s="7"/>
    </row>
    <row r="19" spans="4:22" ht="13" x14ac:dyDescent="0.15">
      <c r="D19" s="17"/>
      <c r="E19" s="117" t="str">
        <f t="shared" si="0"/>
        <v/>
      </c>
      <c r="F19" s="118" t="str">
        <f t="shared" si="1"/>
        <v/>
      </c>
      <c r="J19" s="64"/>
      <c r="K19" s="17"/>
      <c r="L19" s="17"/>
      <c r="M19" s="80"/>
      <c r="N19" s="80"/>
      <c r="O19" s="81"/>
    </row>
    <row r="20" spans="4:22" ht="13" x14ac:dyDescent="0.15">
      <c r="D20" s="17"/>
      <c r="E20" s="117" t="str">
        <f t="shared" si="0"/>
        <v/>
      </c>
      <c r="F20" s="118" t="str">
        <f t="shared" si="1"/>
        <v/>
      </c>
      <c r="J20" s="64"/>
      <c r="K20" s="17"/>
      <c r="L20" s="23" t="s">
        <v>100</v>
      </c>
      <c r="M20" s="80"/>
      <c r="N20" s="80"/>
      <c r="O20" s="81"/>
      <c r="Q20" s="7"/>
      <c r="R20" s="7"/>
      <c r="S20" s="7"/>
      <c r="T20" s="7"/>
    </row>
    <row r="21" spans="4:22" ht="13" x14ac:dyDescent="0.15">
      <c r="D21" s="17"/>
      <c r="E21" s="117" t="str">
        <f t="shared" si="0"/>
        <v/>
      </c>
      <c r="F21" s="118" t="str">
        <f t="shared" si="1"/>
        <v/>
      </c>
      <c r="J21" s="64"/>
      <c r="K21" s="17"/>
      <c r="L21" s="150" t="s">
        <v>69</v>
      </c>
      <c r="M21" s="84"/>
      <c r="N21" s="84"/>
      <c r="O21" s="151"/>
      <c r="Q21" s="7"/>
      <c r="R21" s="7"/>
      <c r="S21" s="7"/>
      <c r="T21" s="7"/>
    </row>
    <row r="22" spans="4:22" ht="13" x14ac:dyDescent="0.15">
      <c r="D22" s="17"/>
      <c r="E22" s="117" t="str">
        <f t="shared" si="0"/>
        <v/>
      </c>
      <c r="F22" s="118" t="str">
        <f t="shared" si="1"/>
        <v/>
      </c>
      <c r="J22" s="64"/>
      <c r="K22" s="17"/>
      <c r="L22" s="152"/>
      <c r="M22" s="153"/>
      <c r="N22" s="153"/>
      <c r="O22" s="154"/>
    </row>
    <row r="23" spans="4:22" ht="13" x14ac:dyDescent="0.15">
      <c r="D23" s="17"/>
      <c r="E23" s="117" t="str">
        <f t="shared" si="0"/>
        <v/>
      </c>
      <c r="F23" s="118" t="str">
        <f t="shared" si="1"/>
        <v/>
      </c>
      <c r="J23" s="64"/>
      <c r="L23" s="152"/>
      <c r="M23" s="153" t="s">
        <v>77</v>
      </c>
      <c r="N23" s="153" t="s">
        <v>77</v>
      </c>
      <c r="O23" s="155" t="s">
        <v>77</v>
      </c>
      <c r="P23" s="80"/>
      <c r="Q23" s="80"/>
    </row>
    <row r="24" spans="4:22" ht="13" x14ac:dyDescent="0.15">
      <c r="D24" s="17"/>
      <c r="E24" s="117" t="str">
        <f t="shared" si="0"/>
        <v/>
      </c>
      <c r="F24" s="118" t="str">
        <f t="shared" si="1"/>
        <v/>
      </c>
      <c r="J24" s="64"/>
      <c r="L24" s="152"/>
      <c r="M24" s="153">
        <v>2</v>
      </c>
      <c r="N24" s="153">
        <v>3</v>
      </c>
      <c r="O24" s="155">
        <v>4</v>
      </c>
      <c r="P24" s="80"/>
      <c r="Q24" s="80"/>
    </row>
    <row r="25" spans="4:22" ht="13" x14ac:dyDescent="0.15">
      <c r="D25" s="17"/>
      <c r="E25" s="117" t="str">
        <f t="shared" si="0"/>
        <v/>
      </c>
      <c r="F25" s="118" t="str">
        <f t="shared" si="1"/>
        <v/>
      </c>
      <c r="J25" s="64"/>
      <c r="L25" s="136" t="s">
        <v>2</v>
      </c>
      <c r="M25" s="156" t="e">
        <f>DAVERAGE($H$2:$J$50,3,M$23:M$24)</f>
        <v>#DIV/0!</v>
      </c>
      <c r="N25" s="156" t="e">
        <f>DAVERAGE($H$2:$J$50,3,N$23:N$24)</f>
        <v>#DIV/0!</v>
      </c>
      <c r="O25" s="154" t="e">
        <f>DAVERAGE($H$2:$J$50,3,O$23:O$24)</f>
        <v>#DIV/0!</v>
      </c>
      <c r="P25" s="81"/>
      <c r="Q25" s="81"/>
    </row>
    <row r="26" spans="4:22" ht="13" x14ac:dyDescent="0.15">
      <c r="D26" s="17"/>
      <c r="E26" s="117" t="str">
        <f t="shared" si="0"/>
        <v/>
      </c>
      <c r="F26" s="118" t="str">
        <f t="shared" si="1"/>
        <v/>
      </c>
      <c r="J26" s="64"/>
      <c r="K26" s="17"/>
      <c r="L26" s="136" t="s">
        <v>62</v>
      </c>
      <c r="M26" s="156" t="e">
        <f>DSTDEV($H$2:$J$50,3,M$23:M$24)/SQRT(DCOUNT($H$2:$J$50,3,M$23:M$24))</f>
        <v>#DIV/0!</v>
      </c>
      <c r="N26" s="156" t="e">
        <f>DSTDEV($H$2:$J$50,3,N$23:N$24)/SQRT(DCOUNT($H$2:$J$50,3,N$23:N$24))</f>
        <v>#DIV/0!</v>
      </c>
      <c r="O26" s="154" t="e">
        <f>DSTDEV($H$2:$J$50,3,O$23:O$24)/SQRT(DCOUNT($H$2:$J$50,3,O$23:O$24))</f>
        <v>#DIV/0!</v>
      </c>
      <c r="P26" s="81"/>
      <c r="Q26" s="81"/>
    </row>
    <row r="27" spans="4:22" ht="13" x14ac:dyDescent="0.15">
      <c r="D27" s="17"/>
      <c r="E27" s="117" t="str">
        <f t="shared" si="0"/>
        <v/>
      </c>
      <c r="F27" s="118" t="str">
        <f t="shared" si="1"/>
        <v/>
      </c>
      <c r="J27" s="64"/>
      <c r="K27" s="56"/>
      <c r="L27" s="136"/>
      <c r="M27" s="156"/>
      <c r="N27" s="156"/>
      <c r="O27" s="154"/>
    </row>
    <row r="28" spans="4:22" ht="13" x14ac:dyDescent="0.15">
      <c r="D28" s="17"/>
      <c r="E28" s="117" t="str">
        <f t="shared" si="0"/>
        <v/>
      </c>
      <c r="F28" s="118" t="str">
        <f t="shared" si="1"/>
        <v/>
      </c>
      <c r="J28" s="64"/>
      <c r="K28" s="56"/>
      <c r="L28" s="157"/>
      <c r="M28" s="158" t="s">
        <v>101</v>
      </c>
      <c r="N28" s="159">
        <f>COUNT(J3:J50)</f>
        <v>0</v>
      </c>
      <c r="O28" s="149"/>
    </row>
    <row r="29" spans="4:22" ht="13" x14ac:dyDescent="0.15">
      <c r="D29" s="17"/>
      <c r="E29" s="117" t="str">
        <f t="shared" si="0"/>
        <v/>
      </c>
      <c r="F29" s="118" t="str">
        <f t="shared" si="1"/>
        <v/>
      </c>
      <c r="J29" s="64"/>
      <c r="K29" s="17"/>
      <c r="L29" s="79" t="s">
        <v>102</v>
      </c>
    </row>
    <row r="30" spans="4:22" ht="13" x14ac:dyDescent="0.15">
      <c r="D30" s="17"/>
      <c r="E30" s="117" t="str">
        <f t="shared" si="0"/>
        <v/>
      </c>
      <c r="F30" s="118" t="str">
        <f t="shared" si="1"/>
        <v/>
      </c>
      <c r="J30" s="64"/>
      <c r="K30" s="17"/>
      <c r="M30" s="6"/>
      <c r="N30" s="6"/>
      <c r="O30" s="6"/>
      <c r="P30" s="7"/>
      <c r="Q30" s="7"/>
      <c r="R30" s="7"/>
      <c r="S30" s="7"/>
    </row>
    <row r="31" spans="4:22" ht="13" x14ac:dyDescent="0.15">
      <c r="D31" s="17"/>
      <c r="E31" s="117" t="str">
        <f t="shared" si="0"/>
        <v/>
      </c>
      <c r="F31" s="118" t="str">
        <f t="shared" si="1"/>
        <v/>
      </c>
      <c r="J31" s="64"/>
      <c r="K31" s="17"/>
      <c r="M31" s="56"/>
      <c r="N31" s="17"/>
      <c r="O31" s="17"/>
    </row>
    <row r="32" spans="4:22" ht="13" x14ac:dyDescent="0.15">
      <c r="D32" s="17"/>
      <c r="E32" s="117" t="str">
        <f t="shared" si="0"/>
        <v/>
      </c>
      <c r="F32" s="118" t="str">
        <f t="shared" si="1"/>
        <v/>
      </c>
      <c r="J32" s="64"/>
      <c r="K32" s="17"/>
      <c r="M32" s="56"/>
      <c r="N32" s="17"/>
      <c r="O32" s="17"/>
    </row>
    <row r="33" spans="4:15" ht="13" x14ac:dyDescent="0.15">
      <c r="D33" s="17"/>
      <c r="E33" s="117" t="str">
        <f t="shared" si="0"/>
        <v/>
      </c>
      <c r="F33" s="118" t="str">
        <f t="shared" si="1"/>
        <v/>
      </c>
      <c r="J33" s="64"/>
      <c r="K33" s="17"/>
      <c r="M33" s="80"/>
      <c r="N33" s="17"/>
      <c r="O33" s="17"/>
    </row>
    <row r="34" spans="4:15" ht="13" x14ac:dyDescent="0.15">
      <c r="D34" s="17"/>
      <c r="E34" s="117" t="str">
        <f t="shared" si="0"/>
        <v/>
      </c>
      <c r="F34" s="118" t="str">
        <f t="shared" si="1"/>
        <v/>
      </c>
      <c r="J34" s="64"/>
      <c r="K34" s="17"/>
      <c r="L34" s="17"/>
      <c r="M34" s="80"/>
      <c r="N34" s="17"/>
      <c r="O34" s="17"/>
    </row>
    <row r="35" spans="4:15" ht="13" x14ac:dyDescent="0.15">
      <c r="D35" s="17"/>
      <c r="E35" s="117" t="str">
        <f t="shared" ref="E35:E66" si="9">IF(ISNUMBER(C35),C35*C35*$M$4+C35*$M$3+$M$2,"")</f>
        <v/>
      </c>
      <c r="F35" s="118" t="str">
        <f t="shared" ref="F35:F66" si="10">IF(ISNUMBER(C35),(D35-E35)/D35,"")</f>
        <v/>
      </c>
      <c r="J35" s="64"/>
      <c r="L35" s="17"/>
      <c r="M35" s="80"/>
      <c r="N35" s="17"/>
      <c r="O35" s="17"/>
    </row>
    <row r="36" spans="4:15" ht="13" x14ac:dyDescent="0.15">
      <c r="D36" s="17"/>
      <c r="E36" s="117" t="str">
        <f t="shared" si="9"/>
        <v/>
      </c>
      <c r="F36" s="118" t="str">
        <f t="shared" si="10"/>
        <v/>
      </c>
      <c r="J36" s="64"/>
      <c r="K36" s="17"/>
      <c r="L36" s="17"/>
      <c r="M36" s="80"/>
      <c r="N36" s="17"/>
      <c r="O36" s="17"/>
    </row>
    <row r="37" spans="4:15" ht="13" x14ac:dyDescent="0.15">
      <c r="D37" s="17"/>
      <c r="E37" s="117" t="str">
        <f t="shared" si="9"/>
        <v/>
      </c>
      <c r="F37" s="118" t="str">
        <f t="shared" si="10"/>
        <v/>
      </c>
      <c r="J37" s="64"/>
      <c r="K37" s="17"/>
      <c r="L37" s="17"/>
      <c r="M37" s="80"/>
      <c r="N37" s="17"/>
      <c r="O37" s="17"/>
    </row>
    <row r="38" spans="4:15" ht="13" x14ac:dyDescent="0.15">
      <c r="D38" s="17"/>
      <c r="E38" s="117" t="str">
        <f t="shared" si="9"/>
        <v/>
      </c>
      <c r="F38" s="118" t="str">
        <f t="shared" si="10"/>
        <v/>
      </c>
      <c r="J38" s="64"/>
      <c r="K38" s="17"/>
      <c r="L38" s="17"/>
      <c r="M38" s="80"/>
      <c r="N38" s="17"/>
      <c r="O38" s="17"/>
    </row>
    <row r="39" spans="4:15" ht="13" x14ac:dyDescent="0.15">
      <c r="D39" s="17"/>
      <c r="E39" s="117" t="str">
        <f t="shared" si="9"/>
        <v/>
      </c>
      <c r="F39" s="118" t="str">
        <f t="shared" si="10"/>
        <v/>
      </c>
      <c r="K39" s="17"/>
      <c r="L39" s="17"/>
      <c r="M39" s="80"/>
      <c r="N39" s="17"/>
      <c r="O39" s="17"/>
    </row>
    <row r="40" spans="4:15" ht="13" x14ac:dyDescent="0.15">
      <c r="D40" s="17"/>
      <c r="E40" s="117" t="str">
        <f t="shared" si="9"/>
        <v/>
      </c>
      <c r="F40" s="118" t="str">
        <f t="shared" si="10"/>
        <v/>
      </c>
      <c r="K40" s="17"/>
      <c r="L40" s="17"/>
      <c r="M40" s="80"/>
      <c r="N40" s="17"/>
      <c r="O40" s="17"/>
    </row>
    <row r="41" spans="4:15" ht="13" x14ac:dyDescent="0.15">
      <c r="D41" s="17"/>
      <c r="E41" s="117" t="str">
        <f t="shared" si="9"/>
        <v/>
      </c>
      <c r="F41" s="118" t="str">
        <f t="shared" si="10"/>
        <v/>
      </c>
      <c r="K41" s="17"/>
      <c r="L41" s="17"/>
      <c r="M41" s="80"/>
      <c r="N41" s="17"/>
      <c r="O41" s="17"/>
    </row>
    <row r="42" spans="4:15" ht="13" x14ac:dyDescent="0.15">
      <c r="D42" s="17"/>
      <c r="E42" s="117" t="str">
        <f t="shared" si="9"/>
        <v/>
      </c>
      <c r="F42" s="118" t="str">
        <f t="shared" si="10"/>
        <v/>
      </c>
      <c r="L42" s="17"/>
      <c r="M42" s="80"/>
      <c r="N42" s="17"/>
      <c r="O42" s="17"/>
    </row>
    <row r="43" spans="4:15" ht="13" x14ac:dyDescent="0.15">
      <c r="D43" s="17"/>
      <c r="E43" s="117" t="str">
        <f t="shared" si="9"/>
        <v/>
      </c>
      <c r="F43" s="118" t="str">
        <f t="shared" si="10"/>
        <v/>
      </c>
      <c r="L43" s="17"/>
      <c r="M43" s="80"/>
      <c r="N43" s="17"/>
      <c r="O43" s="17"/>
    </row>
    <row r="44" spans="4:15" ht="13" x14ac:dyDescent="0.15">
      <c r="D44" s="17"/>
      <c r="E44" s="117" t="str">
        <f t="shared" si="9"/>
        <v/>
      </c>
      <c r="F44" s="118" t="str">
        <f t="shared" si="10"/>
        <v/>
      </c>
      <c r="L44" s="17"/>
      <c r="M44" s="80"/>
      <c r="N44" s="17"/>
      <c r="O44" s="17"/>
    </row>
    <row r="45" spans="4:15" ht="13" x14ac:dyDescent="0.15">
      <c r="D45" s="17"/>
      <c r="E45" s="117" t="str">
        <f t="shared" si="9"/>
        <v/>
      </c>
      <c r="F45" s="118" t="str">
        <f t="shared" si="10"/>
        <v/>
      </c>
      <c r="L45" s="17"/>
      <c r="M45" s="80"/>
      <c r="N45" s="17"/>
      <c r="O45" s="17"/>
    </row>
    <row r="46" spans="4:15" ht="13" x14ac:dyDescent="0.15">
      <c r="D46" s="17"/>
      <c r="E46" s="117" t="str">
        <f t="shared" si="9"/>
        <v/>
      </c>
      <c r="F46" s="118" t="str">
        <f t="shared" si="10"/>
        <v/>
      </c>
      <c r="N46" s="17"/>
      <c r="O46" s="17"/>
    </row>
    <row r="47" spans="4:15" ht="13" x14ac:dyDescent="0.15">
      <c r="D47" s="17"/>
      <c r="E47" s="117" t="str">
        <f t="shared" si="9"/>
        <v/>
      </c>
      <c r="F47" s="118" t="str">
        <f t="shared" si="10"/>
        <v/>
      </c>
      <c r="N47" s="17"/>
      <c r="O47" s="17"/>
    </row>
    <row r="48" spans="4:15" ht="13" x14ac:dyDescent="0.15">
      <c r="D48" s="17"/>
      <c r="E48" s="117" t="str">
        <f t="shared" si="9"/>
        <v/>
      </c>
      <c r="F48" s="118" t="str">
        <f t="shared" si="10"/>
        <v/>
      </c>
      <c r="N48" s="17"/>
      <c r="O48" s="17"/>
    </row>
    <row r="49" spans="4:15" ht="13" x14ac:dyDescent="0.15">
      <c r="D49" s="17"/>
      <c r="E49" s="117" t="str">
        <f t="shared" si="9"/>
        <v/>
      </c>
      <c r="F49" s="118" t="str">
        <f t="shared" si="10"/>
        <v/>
      </c>
      <c r="N49" s="17"/>
      <c r="O49" s="17"/>
    </row>
    <row r="50" spans="4:15" ht="13" x14ac:dyDescent="0.15">
      <c r="D50" s="17"/>
      <c r="E50" s="117" t="str">
        <f t="shared" si="9"/>
        <v/>
      </c>
      <c r="F50" s="118" t="str">
        <f t="shared" si="10"/>
        <v/>
      </c>
      <c r="N50" s="17"/>
      <c r="O50" s="17"/>
    </row>
    <row r="51" spans="4:15" ht="13" x14ac:dyDescent="0.15">
      <c r="D51" s="17"/>
      <c r="E51" s="117" t="str">
        <f t="shared" si="9"/>
        <v/>
      </c>
      <c r="F51" s="118" t="str">
        <f t="shared" si="10"/>
        <v/>
      </c>
      <c r="N51" s="17"/>
      <c r="O51" s="17"/>
    </row>
    <row r="52" spans="4:15" ht="13" x14ac:dyDescent="0.15">
      <c r="D52" s="17"/>
      <c r="E52" s="117" t="str">
        <f t="shared" si="9"/>
        <v/>
      </c>
      <c r="F52" s="118" t="str">
        <f t="shared" si="10"/>
        <v/>
      </c>
      <c r="N52" s="17"/>
      <c r="O52" s="17"/>
    </row>
    <row r="53" spans="4:15" ht="13" x14ac:dyDescent="0.15">
      <c r="D53" s="17"/>
      <c r="E53" s="117" t="str">
        <f t="shared" si="9"/>
        <v/>
      </c>
      <c r="F53" s="118" t="str">
        <f t="shared" si="10"/>
        <v/>
      </c>
      <c r="N53" s="17"/>
      <c r="O53" s="17"/>
    </row>
    <row r="54" spans="4:15" ht="13" x14ac:dyDescent="0.15">
      <c r="D54" s="17"/>
      <c r="E54" s="117" t="str">
        <f t="shared" si="9"/>
        <v/>
      </c>
      <c r="F54" s="118" t="str">
        <f t="shared" si="10"/>
        <v/>
      </c>
      <c r="N54" s="17"/>
      <c r="O54" s="17"/>
    </row>
    <row r="55" spans="4:15" ht="13" x14ac:dyDescent="0.15">
      <c r="D55" s="17"/>
      <c r="E55" s="117" t="str">
        <f t="shared" si="9"/>
        <v/>
      </c>
      <c r="F55" s="118" t="str">
        <f t="shared" si="10"/>
        <v/>
      </c>
      <c r="N55" s="17"/>
      <c r="O55" s="17"/>
    </row>
    <row r="56" spans="4:15" ht="13" x14ac:dyDescent="0.15">
      <c r="D56" s="17"/>
      <c r="E56" s="117" t="str">
        <f t="shared" si="9"/>
        <v/>
      </c>
      <c r="F56" s="118" t="str">
        <f t="shared" si="10"/>
        <v/>
      </c>
      <c r="N56" s="17"/>
      <c r="O56" s="17"/>
    </row>
    <row r="57" spans="4:15" ht="13" x14ac:dyDescent="0.15">
      <c r="D57" s="17"/>
      <c r="E57" s="117" t="str">
        <f t="shared" si="9"/>
        <v/>
      </c>
      <c r="F57" s="118" t="str">
        <f t="shared" si="10"/>
        <v/>
      </c>
      <c r="N57" s="17"/>
      <c r="O57" s="17"/>
    </row>
    <row r="58" spans="4:15" ht="13" x14ac:dyDescent="0.15">
      <c r="D58" s="17"/>
      <c r="E58" s="117" t="str">
        <f t="shared" si="9"/>
        <v/>
      </c>
      <c r="F58" s="118" t="str">
        <f t="shared" si="10"/>
        <v/>
      </c>
      <c r="N58" s="17"/>
      <c r="O58" s="17"/>
    </row>
    <row r="59" spans="4:15" ht="13" x14ac:dyDescent="0.15">
      <c r="D59" s="17"/>
      <c r="E59" s="117" t="str">
        <f t="shared" si="9"/>
        <v/>
      </c>
      <c r="F59" s="118" t="str">
        <f t="shared" si="10"/>
        <v/>
      </c>
      <c r="N59" s="17"/>
      <c r="O59" s="17"/>
    </row>
    <row r="60" spans="4:15" ht="13" x14ac:dyDescent="0.15">
      <c r="D60" s="17"/>
      <c r="E60" s="117" t="str">
        <f t="shared" si="9"/>
        <v/>
      </c>
      <c r="F60" s="118" t="str">
        <f t="shared" si="10"/>
        <v/>
      </c>
      <c r="N60" s="17"/>
      <c r="O60" s="17"/>
    </row>
    <row r="61" spans="4:15" ht="13" x14ac:dyDescent="0.15">
      <c r="D61" s="17"/>
      <c r="E61" s="117" t="str">
        <f t="shared" si="9"/>
        <v/>
      </c>
      <c r="F61" s="118" t="str">
        <f t="shared" si="10"/>
        <v/>
      </c>
      <c r="N61" s="17"/>
      <c r="O61" s="17"/>
    </row>
    <row r="62" spans="4:15" ht="13" x14ac:dyDescent="0.15">
      <c r="D62" s="17"/>
      <c r="E62" s="117" t="str">
        <f t="shared" si="9"/>
        <v/>
      </c>
      <c r="F62" s="118" t="str">
        <f t="shared" si="10"/>
        <v/>
      </c>
      <c r="N62" s="17"/>
      <c r="O62" s="17"/>
    </row>
    <row r="63" spans="4:15" ht="13" x14ac:dyDescent="0.15">
      <c r="D63" s="17"/>
      <c r="E63" s="117" t="str">
        <f t="shared" si="9"/>
        <v/>
      </c>
      <c r="F63" s="118" t="str">
        <f t="shared" si="10"/>
        <v/>
      </c>
      <c r="N63" s="17"/>
      <c r="O63" s="17"/>
    </row>
    <row r="64" spans="4:15" ht="13" x14ac:dyDescent="0.15">
      <c r="D64" s="17"/>
      <c r="E64" s="117" t="str">
        <f t="shared" si="9"/>
        <v/>
      </c>
      <c r="F64" s="118" t="str">
        <f t="shared" si="10"/>
        <v/>
      </c>
      <c r="N64" s="17"/>
      <c r="O64" s="17"/>
    </row>
    <row r="65" spans="4:15" ht="13" x14ac:dyDescent="0.15">
      <c r="D65" s="17"/>
      <c r="E65" s="117" t="str">
        <f t="shared" si="9"/>
        <v/>
      </c>
      <c r="F65" s="118" t="str">
        <f t="shared" si="10"/>
        <v/>
      </c>
      <c r="N65" s="17"/>
      <c r="O65" s="17"/>
    </row>
    <row r="66" spans="4:15" ht="13" x14ac:dyDescent="0.15">
      <c r="D66" s="17"/>
      <c r="E66" s="117" t="str">
        <f t="shared" si="9"/>
        <v/>
      </c>
      <c r="F66" s="118" t="str">
        <f t="shared" si="10"/>
        <v/>
      </c>
      <c r="N66" s="17"/>
      <c r="O66" s="17"/>
    </row>
    <row r="67" spans="4:15" ht="13" x14ac:dyDescent="0.15">
      <c r="D67" s="17"/>
      <c r="E67" s="117" t="str">
        <f t="shared" ref="E67:E100" si="11">IF(ISNUMBER(C67),C67*C67*$M$4+C67*$M$3+$M$2,"")</f>
        <v/>
      </c>
      <c r="F67" s="118" t="str">
        <f t="shared" ref="F67:F98" si="12">IF(ISNUMBER(C67),(D67-E67)/D67,"")</f>
        <v/>
      </c>
      <c r="N67" s="17"/>
      <c r="O67" s="17"/>
    </row>
    <row r="68" spans="4:15" ht="13" x14ac:dyDescent="0.15">
      <c r="D68" s="17"/>
      <c r="E68" s="117" t="str">
        <f t="shared" si="11"/>
        <v/>
      </c>
      <c r="F68" s="118" t="str">
        <f t="shared" si="12"/>
        <v/>
      </c>
    </row>
    <row r="69" spans="4:15" ht="13" x14ac:dyDescent="0.15">
      <c r="D69" s="17"/>
      <c r="E69" s="117" t="str">
        <f t="shared" si="11"/>
        <v/>
      </c>
      <c r="F69" s="118" t="str">
        <f t="shared" si="12"/>
        <v/>
      </c>
    </row>
    <row r="70" spans="4:15" ht="13" x14ac:dyDescent="0.15">
      <c r="D70" s="17"/>
      <c r="E70" s="117" t="str">
        <f t="shared" si="11"/>
        <v/>
      </c>
      <c r="F70" s="118" t="str">
        <f t="shared" si="12"/>
        <v/>
      </c>
    </row>
    <row r="71" spans="4:15" ht="13" x14ac:dyDescent="0.15">
      <c r="D71" s="17"/>
      <c r="E71" s="117" t="str">
        <f t="shared" si="11"/>
        <v/>
      </c>
      <c r="F71" s="118" t="str">
        <f t="shared" si="12"/>
        <v/>
      </c>
    </row>
    <row r="72" spans="4:15" ht="13" x14ac:dyDescent="0.15">
      <c r="D72" s="17"/>
      <c r="E72" s="117" t="str">
        <f t="shared" si="11"/>
        <v/>
      </c>
      <c r="F72" s="118" t="str">
        <f t="shared" si="12"/>
        <v/>
      </c>
    </row>
    <row r="73" spans="4:15" ht="13" x14ac:dyDescent="0.15">
      <c r="D73" s="17"/>
      <c r="E73" s="117" t="str">
        <f t="shared" si="11"/>
        <v/>
      </c>
      <c r="F73" s="118" t="str">
        <f t="shared" si="12"/>
        <v/>
      </c>
    </row>
    <row r="74" spans="4:15" ht="13" x14ac:dyDescent="0.15">
      <c r="D74" s="17"/>
      <c r="E74" s="117" t="str">
        <f t="shared" si="11"/>
        <v/>
      </c>
      <c r="F74" s="118" t="str">
        <f t="shared" si="12"/>
        <v/>
      </c>
    </row>
    <row r="75" spans="4:15" ht="13" x14ac:dyDescent="0.15">
      <c r="D75" s="17"/>
      <c r="E75" s="117" t="str">
        <f t="shared" si="11"/>
        <v/>
      </c>
      <c r="F75" s="118" t="str">
        <f t="shared" si="12"/>
        <v/>
      </c>
    </row>
    <row r="76" spans="4:15" ht="13" x14ac:dyDescent="0.15">
      <c r="D76" s="17"/>
      <c r="E76" s="117" t="str">
        <f t="shared" si="11"/>
        <v/>
      </c>
      <c r="F76" s="118" t="str">
        <f t="shared" si="12"/>
        <v/>
      </c>
    </row>
    <row r="77" spans="4:15" ht="13" x14ac:dyDescent="0.15">
      <c r="D77" s="17"/>
      <c r="E77" s="117" t="str">
        <f t="shared" si="11"/>
        <v/>
      </c>
      <c r="F77" s="118" t="str">
        <f t="shared" si="12"/>
        <v/>
      </c>
    </row>
    <row r="78" spans="4:15" ht="13" x14ac:dyDescent="0.15">
      <c r="D78" s="17"/>
      <c r="E78" s="117" t="str">
        <f t="shared" si="11"/>
        <v/>
      </c>
      <c r="F78" s="118" t="str">
        <f t="shared" si="12"/>
        <v/>
      </c>
    </row>
    <row r="79" spans="4:15" ht="13" x14ac:dyDescent="0.15">
      <c r="D79" s="17"/>
      <c r="E79" s="117" t="str">
        <f t="shared" si="11"/>
        <v/>
      </c>
      <c r="F79" s="118" t="str">
        <f t="shared" si="12"/>
        <v/>
      </c>
    </row>
    <row r="80" spans="4:15" ht="13" x14ac:dyDescent="0.15">
      <c r="D80" s="17"/>
      <c r="E80" s="117" t="str">
        <f t="shared" si="11"/>
        <v/>
      </c>
      <c r="F80" s="118" t="str">
        <f t="shared" si="12"/>
        <v/>
      </c>
    </row>
    <row r="81" spans="4:6" ht="13" x14ac:dyDescent="0.15">
      <c r="D81" s="17"/>
      <c r="E81" s="117" t="str">
        <f t="shared" si="11"/>
        <v/>
      </c>
      <c r="F81" s="118" t="str">
        <f t="shared" si="12"/>
        <v/>
      </c>
    </row>
    <row r="82" spans="4:6" ht="13" x14ac:dyDescent="0.15">
      <c r="D82" s="17"/>
      <c r="E82" s="117" t="str">
        <f t="shared" si="11"/>
        <v/>
      </c>
      <c r="F82" s="118" t="str">
        <f t="shared" si="12"/>
        <v/>
      </c>
    </row>
    <row r="83" spans="4:6" ht="13" x14ac:dyDescent="0.15">
      <c r="D83" s="17"/>
      <c r="E83" s="117" t="str">
        <f t="shared" si="11"/>
        <v/>
      </c>
      <c r="F83" s="118" t="str">
        <f t="shared" si="12"/>
        <v/>
      </c>
    </row>
    <row r="84" spans="4:6" ht="13" x14ac:dyDescent="0.15">
      <c r="D84" s="17"/>
      <c r="E84" s="117" t="str">
        <f t="shared" si="11"/>
        <v/>
      </c>
      <c r="F84" s="118" t="str">
        <f t="shared" si="12"/>
        <v/>
      </c>
    </row>
    <row r="85" spans="4:6" ht="13" x14ac:dyDescent="0.15">
      <c r="D85" s="17"/>
      <c r="E85" s="117" t="str">
        <f t="shared" si="11"/>
        <v/>
      </c>
      <c r="F85" s="118" t="str">
        <f t="shared" si="12"/>
        <v/>
      </c>
    </row>
    <row r="86" spans="4:6" ht="13" x14ac:dyDescent="0.15">
      <c r="D86" s="17"/>
      <c r="E86" s="117" t="str">
        <f t="shared" si="11"/>
        <v/>
      </c>
      <c r="F86" s="118" t="str">
        <f t="shared" si="12"/>
        <v/>
      </c>
    </row>
    <row r="87" spans="4:6" ht="13" x14ac:dyDescent="0.15">
      <c r="D87" s="17"/>
      <c r="E87" s="117" t="str">
        <f t="shared" si="11"/>
        <v/>
      </c>
      <c r="F87" s="118" t="str">
        <f t="shared" si="12"/>
        <v/>
      </c>
    </row>
    <row r="88" spans="4:6" ht="13" x14ac:dyDescent="0.15">
      <c r="D88" s="17"/>
      <c r="E88" s="117" t="str">
        <f t="shared" si="11"/>
        <v/>
      </c>
      <c r="F88" s="118" t="str">
        <f t="shared" si="12"/>
        <v/>
      </c>
    </row>
    <row r="89" spans="4:6" ht="13" x14ac:dyDescent="0.15">
      <c r="D89" s="17"/>
      <c r="E89" s="117" t="str">
        <f t="shared" si="11"/>
        <v/>
      </c>
      <c r="F89" s="118" t="str">
        <f t="shared" si="12"/>
        <v/>
      </c>
    </row>
    <row r="90" spans="4:6" ht="13" x14ac:dyDescent="0.15">
      <c r="D90" s="17"/>
      <c r="E90" s="117" t="str">
        <f t="shared" si="11"/>
        <v/>
      </c>
      <c r="F90" s="118" t="str">
        <f t="shared" si="12"/>
        <v/>
      </c>
    </row>
    <row r="91" spans="4:6" ht="13" x14ac:dyDescent="0.15">
      <c r="D91" s="17"/>
      <c r="E91" s="117" t="str">
        <f t="shared" si="11"/>
        <v/>
      </c>
      <c r="F91" s="118" t="str">
        <f t="shared" si="12"/>
        <v/>
      </c>
    </row>
    <row r="92" spans="4:6" ht="13" x14ac:dyDescent="0.15">
      <c r="D92" s="17"/>
      <c r="E92" s="117" t="str">
        <f t="shared" si="11"/>
        <v/>
      </c>
      <c r="F92" s="118" t="str">
        <f t="shared" si="12"/>
        <v/>
      </c>
    </row>
    <row r="93" spans="4:6" ht="13" x14ac:dyDescent="0.15">
      <c r="D93" s="17"/>
      <c r="E93" s="117" t="str">
        <f t="shared" si="11"/>
        <v/>
      </c>
      <c r="F93" s="118" t="str">
        <f t="shared" si="12"/>
        <v/>
      </c>
    </row>
    <row r="94" spans="4:6" ht="13" x14ac:dyDescent="0.15">
      <c r="D94" s="17"/>
      <c r="E94" s="117" t="str">
        <f t="shared" si="11"/>
        <v/>
      </c>
      <c r="F94" s="118" t="str">
        <f t="shared" si="12"/>
        <v/>
      </c>
    </row>
    <row r="95" spans="4:6" ht="13" x14ac:dyDescent="0.15">
      <c r="D95" s="17"/>
      <c r="E95" s="117" t="str">
        <f t="shared" si="11"/>
        <v/>
      </c>
      <c r="F95" s="118" t="str">
        <f t="shared" si="12"/>
        <v/>
      </c>
    </row>
    <row r="96" spans="4:6" ht="13" x14ac:dyDescent="0.15">
      <c r="D96" s="17"/>
      <c r="E96" s="117" t="str">
        <f t="shared" si="11"/>
        <v/>
      </c>
      <c r="F96" s="118" t="str">
        <f t="shared" si="12"/>
        <v/>
      </c>
    </row>
    <row r="97" spans="4:6" ht="13" x14ac:dyDescent="0.15">
      <c r="D97" s="17"/>
      <c r="E97" s="117" t="str">
        <f t="shared" si="11"/>
        <v/>
      </c>
      <c r="F97" s="118" t="str">
        <f t="shared" si="12"/>
        <v/>
      </c>
    </row>
    <row r="98" spans="4:6" ht="13" x14ac:dyDescent="0.15">
      <c r="D98" s="17"/>
      <c r="E98" s="117" t="str">
        <f t="shared" si="11"/>
        <v/>
      </c>
      <c r="F98" s="118" t="str">
        <f t="shared" si="12"/>
        <v/>
      </c>
    </row>
    <row r="99" spans="4:6" ht="13" x14ac:dyDescent="0.15">
      <c r="D99" s="17"/>
      <c r="E99" s="117" t="str">
        <f t="shared" si="11"/>
        <v/>
      </c>
      <c r="F99" s="118" t="str">
        <f t="shared" ref="F99:F100" si="13">IF(ISNUMBER(C99),(D99-E99)/D99,"")</f>
        <v/>
      </c>
    </row>
    <row r="100" spans="4:6" ht="13" x14ac:dyDescent="0.15">
      <c r="D100" s="17"/>
      <c r="E100" s="117" t="str">
        <f t="shared" si="11"/>
        <v/>
      </c>
      <c r="F100" s="118" t="str">
        <f t="shared" si="13"/>
        <v/>
      </c>
    </row>
  </sheetData>
  <autoFilter ref="A2:F2" xr:uid="{00000000-0009-0000-0000-000003000000}"/>
  <conditionalFormatting sqref="M2:Q4">
    <cfRule type="cellIs" dxfId="3" priority="2" operator="equal">
      <formula>0</formula>
    </cfRule>
  </conditionalFormatting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200"/>
  <sheetViews>
    <sheetView topLeftCell="A93" zoomScaleNormal="100" workbookViewId="0">
      <selection activeCell="F187" sqref="F187"/>
    </sheetView>
  </sheetViews>
  <sheetFormatPr baseColWidth="10" defaultColWidth="8.796875" defaultRowHeight="11" x14ac:dyDescent="0.15"/>
  <cols>
    <col min="1" max="1" width="9.3984375" customWidth="1"/>
    <col min="2" max="6" width="9.796875" customWidth="1"/>
    <col min="7" max="7" width="10.796875" customWidth="1"/>
    <col min="8" max="8" width="9.796875" customWidth="1"/>
    <col min="9" max="9" width="10.3984375" customWidth="1"/>
    <col min="10" max="16" width="9.796875" customWidth="1"/>
    <col min="19" max="19" width="4" customWidth="1"/>
    <col min="21" max="21" width="2.796875" customWidth="1"/>
    <col min="23" max="23" width="2.796875" customWidth="1"/>
    <col min="24" max="24" width="13.19921875" customWidth="1"/>
    <col min="26" max="26" width="12.3984375" customWidth="1"/>
    <col min="27" max="27" width="11.59765625" customWidth="1"/>
    <col min="28" max="28" width="12.3984375" customWidth="1"/>
    <col min="29" max="29" width="4" customWidth="1"/>
  </cols>
  <sheetData>
    <row r="1" spans="1:32" ht="12" x14ac:dyDescent="0.15">
      <c r="A1" s="160" t="s">
        <v>103</v>
      </c>
      <c r="B1" s="160" t="s">
        <v>104</v>
      </c>
      <c r="C1" s="160"/>
      <c r="D1" s="160"/>
      <c r="E1" s="160"/>
      <c r="F1" s="161"/>
      <c r="O1" s="60"/>
      <c r="P1" s="60"/>
      <c r="Q1" s="60"/>
      <c r="R1" s="162" t="s">
        <v>105</v>
      </c>
      <c r="S1" s="162"/>
      <c r="T1" s="162" t="s">
        <v>106</v>
      </c>
      <c r="U1" s="162"/>
      <c r="V1" s="162" t="s">
        <v>107</v>
      </c>
      <c r="W1" s="162"/>
      <c r="X1" s="60" t="s">
        <v>108</v>
      </c>
      <c r="AD1" s="60" t="s">
        <v>109</v>
      </c>
    </row>
    <row r="2" spans="1:32" ht="12" x14ac:dyDescent="0.15">
      <c r="A2" s="161"/>
      <c r="B2" s="161"/>
      <c r="C2" s="161"/>
      <c r="D2" s="161"/>
      <c r="E2" s="161"/>
      <c r="F2" s="161"/>
      <c r="O2" s="163" t="s">
        <v>110</v>
      </c>
      <c r="P2" s="163" t="s">
        <v>105</v>
      </c>
      <c r="Q2" s="163" t="s">
        <v>111</v>
      </c>
      <c r="R2" s="163" t="s">
        <v>112</v>
      </c>
      <c r="S2" s="163" t="s">
        <v>113</v>
      </c>
      <c r="T2" s="163" t="s">
        <v>112</v>
      </c>
      <c r="U2" s="163" t="s">
        <v>113</v>
      </c>
      <c r="V2" s="163" t="s">
        <v>112</v>
      </c>
      <c r="W2" s="163" t="s">
        <v>113</v>
      </c>
      <c r="X2" s="164" t="s">
        <v>114</v>
      </c>
      <c r="Y2" s="163" t="s">
        <v>115</v>
      </c>
      <c r="Z2" s="164" t="s">
        <v>116</v>
      </c>
      <c r="AA2" s="164" t="s">
        <v>117</v>
      </c>
      <c r="AB2" s="164" t="s">
        <v>118</v>
      </c>
      <c r="AC2" s="164" t="s">
        <v>113</v>
      </c>
      <c r="AD2" s="164" t="s">
        <v>119</v>
      </c>
      <c r="AE2" s="164" t="s">
        <v>120</v>
      </c>
      <c r="AF2" s="164" t="s">
        <v>121</v>
      </c>
    </row>
    <row r="3" spans="1:32" ht="12" x14ac:dyDescent="0.15">
      <c r="B3" s="165" t="s">
        <v>122</v>
      </c>
      <c r="C3" s="166" t="e">
        <f>DAVERAGE(RatioData,"Ratio",H4:H5)</f>
        <v>#DIV/0!</v>
      </c>
      <c r="D3" s="167" t="s">
        <v>123</v>
      </c>
      <c r="E3" s="168" t="s">
        <v>124</v>
      </c>
      <c r="F3" s="168"/>
      <c r="G3" s="169"/>
      <c r="H3" s="170" t="s">
        <v>125</v>
      </c>
      <c r="I3" s="170"/>
      <c r="Z3" t="str">
        <f t="shared" ref="Z3:Z34" si="0">IF(ISNUMBER(AA3),AA3^2,"")</f>
        <v/>
      </c>
      <c r="AB3" s="171" t="str">
        <f t="shared" ref="AB3:AB34" si="1">IF(ISNUMBER(AA3),Z3/SUM(Z$3:Z$200),"")</f>
        <v/>
      </c>
    </row>
    <row r="4" spans="1:32" ht="12" x14ac:dyDescent="0.15">
      <c r="B4" s="172"/>
      <c r="C4" s="173" t="e">
        <f>DSTDEV(RatioData,"Ratio",H4:H5)</f>
        <v>#DIV/0!</v>
      </c>
      <c r="D4" s="174" t="s">
        <v>123</v>
      </c>
      <c r="E4" s="161" t="s">
        <v>126</v>
      </c>
      <c r="F4" s="161"/>
      <c r="G4" s="175"/>
      <c r="H4" s="176" t="s">
        <v>1</v>
      </c>
      <c r="I4" s="170"/>
      <c r="Z4" t="str">
        <f t="shared" si="0"/>
        <v/>
      </c>
      <c r="AB4" s="171" t="str">
        <f t="shared" si="1"/>
        <v/>
      </c>
    </row>
    <row r="5" spans="1:32" ht="12" x14ac:dyDescent="0.15">
      <c r="B5" s="172"/>
      <c r="C5">
        <f>DCOUNT(RatioData,"Ratio",H4:H5)</f>
        <v>0</v>
      </c>
      <c r="D5" s="174" t="s">
        <v>123</v>
      </c>
      <c r="E5" s="161" t="s">
        <v>127</v>
      </c>
      <c r="F5" s="161"/>
      <c r="G5" s="175"/>
      <c r="H5" s="176"/>
      <c r="I5" s="170"/>
      <c r="Z5" t="str">
        <f t="shared" si="0"/>
        <v/>
      </c>
      <c r="AB5" s="171" t="str">
        <f t="shared" si="1"/>
        <v/>
      </c>
    </row>
    <row r="6" spans="1:32" ht="12" x14ac:dyDescent="0.15">
      <c r="B6" s="172" t="s">
        <v>128</v>
      </c>
      <c r="C6" s="177" t="e">
        <f>C4/SQRT(C5)</f>
        <v>#DIV/0!</v>
      </c>
      <c r="D6" s="174" t="s">
        <v>123</v>
      </c>
      <c r="E6" s="161" t="s">
        <v>129</v>
      </c>
      <c r="F6" s="161"/>
      <c r="G6" s="175"/>
      <c r="Z6" t="str">
        <f t="shared" si="0"/>
        <v/>
      </c>
      <c r="AB6" s="171" t="str">
        <f t="shared" si="1"/>
        <v/>
      </c>
    </row>
    <row r="7" spans="1:32" ht="12" x14ac:dyDescent="0.15">
      <c r="B7" s="178" t="s">
        <v>130</v>
      </c>
      <c r="C7" s="179">
        <f>C5-1</f>
        <v>-1</v>
      </c>
      <c r="D7" s="180" t="s">
        <v>123</v>
      </c>
      <c r="E7" s="179" t="s">
        <v>131</v>
      </c>
      <c r="F7" s="179"/>
      <c r="G7" s="181"/>
      <c r="Z7" t="str">
        <f t="shared" si="0"/>
        <v/>
      </c>
      <c r="AB7" s="171" t="str">
        <f t="shared" si="1"/>
        <v/>
      </c>
    </row>
    <row r="8" spans="1:32" x14ac:dyDescent="0.15">
      <c r="Z8" t="str">
        <f t="shared" si="0"/>
        <v/>
      </c>
      <c r="AB8" s="171" t="str">
        <f t="shared" si="1"/>
        <v/>
      </c>
    </row>
    <row r="9" spans="1:32" x14ac:dyDescent="0.15">
      <c r="Z9" t="str">
        <f t="shared" si="0"/>
        <v/>
      </c>
      <c r="AB9" s="171" t="str">
        <f t="shared" si="1"/>
        <v/>
      </c>
    </row>
    <row r="10" spans="1:32" ht="12" x14ac:dyDescent="0.15">
      <c r="A10" s="160" t="s">
        <v>132</v>
      </c>
      <c r="B10" s="160" t="s">
        <v>133</v>
      </c>
      <c r="Z10" t="str">
        <f t="shared" si="0"/>
        <v/>
      </c>
      <c r="AB10" s="171" t="str">
        <f t="shared" si="1"/>
        <v/>
      </c>
    </row>
    <row r="11" spans="1:32" x14ac:dyDescent="0.15">
      <c r="Z11" t="str">
        <f t="shared" si="0"/>
        <v/>
      </c>
      <c r="AB11" s="171" t="str">
        <f t="shared" si="1"/>
        <v/>
      </c>
    </row>
    <row r="12" spans="1:32" x14ac:dyDescent="0.15">
      <c r="Z12" t="str">
        <f t="shared" si="0"/>
        <v/>
      </c>
      <c r="AB12" s="171" t="str">
        <f t="shared" si="1"/>
        <v/>
      </c>
    </row>
    <row r="13" spans="1:32" ht="12" x14ac:dyDescent="0.15">
      <c r="A13" s="182" t="s">
        <v>134</v>
      </c>
      <c r="B13" s="183" t="s">
        <v>135</v>
      </c>
      <c r="C13" s="168"/>
      <c r="D13" s="184"/>
      <c r="E13" s="184"/>
      <c r="F13" s="184"/>
      <c r="G13" s="168"/>
      <c r="H13" s="168"/>
      <c r="I13" s="168"/>
      <c r="J13" s="184"/>
      <c r="K13" s="184"/>
      <c r="L13" s="184"/>
      <c r="M13" s="184"/>
      <c r="N13" s="185"/>
      <c r="Z13" t="str">
        <f t="shared" si="0"/>
        <v/>
      </c>
      <c r="AB13" s="171" t="str">
        <f t="shared" si="1"/>
        <v/>
      </c>
    </row>
    <row r="14" spans="1:32" ht="12" x14ac:dyDescent="0.15">
      <c r="A14" s="186"/>
      <c r="B14" s="187" t="s">
        <v>136</v>
      </c>
      <c r="E14" s="1"/>
      <c r="G14" s="174"/>
      <c r="J14" s="1"/>
      <c r="N14" s="188"/>
      <c r="Z14" t="str">
        <f t="shared" si="0"/>
        <v/>
      </c>
      <c r="AB14" s="171" t="str">
        <f t="shared" si="1"/>
        <v/>
      </c>
    </row>
    <row r="15" spans="1:32" x14ac:dyDescent="0.15">
      <c r="A15" s="186"/>
      <c r="N15" s="188"/>
      <c r="Z15" t="str">
        <f t="shared" si="0"/>
        <v/>
      </c>
      <c r="AB15" s="171" t="str">
        <f t="shared" si="1"/>
        <v/>
      </c>
    </row>
    <row r="16" spans="1:32" x14ac:dyDescent="0.15">
      <c r="A16" s="186"/>
      <c r="B16" s="17"/>
      <c r="G16" s="1"/>
      <c r="N16" s="188"/>
      <c r="Z16" t="str">
        <f t="shared" si="0"/>
        <v/>
      </c>
      <c r="AB16" s="171" t="str">
        <f t="shared" si="1"/>
        <v/>
      </c>
    </row>
    <row r="17" spans="1:28" x14ac:dyDescent="0.15">
      <c r="A17" s="186"/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188"/>
      <c r="Z17" t="str">
        <f t="shared" si="0"/>
        <v/>
      </c>
      <c r="AB17" s="171" t="str">
        <f t="shared" si="1"/>
        <v/>
      </c>
    </row>
    <row r="18" spans="1:28" x14ac:dyDescent="0.15">
      <c r="A18" s="186"/>
      <c r="B18" s="17"/>
      <c r="G18" s="17"/>
      <c r="N18" s="188"/>
      <c r="Z18" t="str">
        <f t="shared" si="0"/>
        <v/>
      </c>
      <c r="AB18" s="171" t="str">
        <f t="shared" si="1"/>
        <v/>
      </c>
    </row>
    <row r="19" spans="1:28" x14ac:dyDescent="0.15">
      <c r="A19" s="186"/>
      <c r="N19" s="188"/>
      <c r="Z19" t="str">
        <f t="shared" si="0"/>
        <v/>
      </c>
      <c r="AB19" s="171" t="str">
        <f t="shared" si="1"/>
        <v/>
      </c>
    </row>
    <row r="20" spans="1:28" x14ac:dyDescent="0.15">
      <c r="A20" s="186"/>
      <c r="N20" s="188"/>
      <c r="Z20" t="str">
        <f t="shared" si="0"/>
        <v/>
      </c>
      <c r="AB20" s="171" t="str">
        <f t="shared" si="1"/>
        <v/>
      </c>
    </row>
    <row r="21" spans="1:28" x14ac:dyDescent="0.15">
      <c r="A21" s="186"/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188"/>
      <c r="Z21" t="str">
        <f t="shared" si="0"/>
        <v/>
      </c>
      <c r="AB21" s="171" t="str">
        <f t="shared" si="1"/>
        <v/>
      </c>
    </row>
    <row r="22" spans="1:28" x14ac:dyDescent="0.15">
      <c r="A22" s="186"/>
      <c r="B22" s="17"/>
      <c r="G22" s="17"/>
      <c r="N22" s="188"/>
      <c r="Z22" t="str">
        <f t="shared" si="0"/>
        <v/>
      </c>
      <c r="AB22" s="171" t="str">
        <f t="shared" si="1"/>
        <v/>
      </c>
    </row>
    <row r="23" spans="1:28" x14ac:dyDescent="0.15">
      <c r="A23" s="1"/>
      <c r="B23" s="1" t="s">
        <v>137</v>
      </c>
      <c r="C23" s="173" t="e">
        <f>C3</f>
        <v>#DIV/0!</v>
      </c>
      <c r="G23" s="17"/>
      <c r="N23" s="188"/>
      <c r="Z23" t="str">
        <f t="shared" si="0"/>
        <v/>
      </c>
      <c r="AB23" s="171" t="str">
        <f t="shared" si="1"/>
        <v/>
      </c>
    </row>
    <row r="24" spans="1:28" x14ac:dyDescent="0.15">
      <c r="A24" s="1"/>
      <c r="B24" s="1" t="s">
        <v>138</v>
      </c>
      <c r="C24" s="173" t="e">
        <f>C4</f>
        <v>#DIV/0!</v>
      </c>
      <c r="G24" s="17"/>
      <c r="N24" s="188"/>
      <c r="Z24" t="str">
        <f t="shared" si="0"/>
        <v/>
      </c>
      <c r="AB24" s="171" t="str">
        <f t="shared" si="1"/>
        <v/>
      </c>
    </row>
    <row r="25" spans="1:28" x14ac:dyDescent="0.15">
      <c r="A25" s="1"/>
      <c r="B25" s="1" t="s">
        <v>139</v>
      </c>
      <c r="C25">
        <f>C5</f>
        <v>0</v>
      </c>
      <c r="G25" s="17"/>
      <c r="N25" s="188"/>
      <c r="Z25" t="str">
        <f t="shared" si="0"/>
        <v/>
      </c>
      <c r="AB25" s="171" t="str">
        <f t="shared" si="1"/>
        <v/>
      </c>
    </row>
    <row r="26" spans="1:28" ht="12" x14ac:dyDescent="0.15">
      <c r="A26" s="189"/>
      <c r="B26" s="189" t="s">
        <v>140</v>
      </c>
      <c r="C26" s="173" t="e">
        <f>C24/SQRT(C25)</f>
        <v>#DIV/0!</v>
      </c>
      <c r="G26" s="17"/>
      <c r="N26" s="188"/>
      <c r="Z26" t="str">
        <f t="shared" si="0"/>
        <v/>
      </c>
      <c r="AB26" s="171" t="str">
        <f t="shared" si="1"/>
        <v/>
      </c>
    </row>
    <row r="27" spans="1:28" ht="12" x14ac:dyDescent="0.15">
      <c r="A27" s="190"/>
      <c r="B27" s="190" t="s">
        <v>141</v>
      </c>
      <c r="C27" s="191">
        <f>C25-1</f>
        <v>-1</v>
      </c>
      <c r="D27" s="191"/>
      <c r="E27" s="191"/>
      <c r="F27" s="191"/>
      <c r="G27" s="192"/>
      <c r="H27" s="191"/>
      <c r="I27" s="191"/>
      <c r="J27" s="191"/>
      <c r="K27" s="191"/>
      <c r="L27" s="191"/>
      <c r="M27" s="191"/>
      <c r="N27" s="193"/>
      <c r="Z27" t="str">
        <f t="shared" si="0"/>
        <v/>
      </c>
      <c r="AB27" s="171" t="str">
        <f t="shared" si="1"/>
        <v/>
      </c>
    </row>
    <row r="28" spans="1:28" x14ac:dyDescent="0.15">
      <c r="B28" s="17"/>
      <c r="G28" s="17"/>
      <c r="Z28" t="str">
        <f t="shared" si="0"/>
        <v/>
      </c>
      <c r="AB28" s="171" t="str">
        <f t="shared" si="1"/>
        <v/>
      </c>
    </row>
    <row r="29" spans="1:28" x14ac:dyDescent="0.15">
      <c r="B29" s="17"/>
      <c r="G29" s="17"/>
      <c r="Z29" t="str">
        <f t="shared" si="0"/>
        <v/>
      </c>
      <c r="AB29" s="171" t="str">
        <f t="shared" si="1"/>
        <v/>
      </c>
    </row>
    <row r="30" spans="1:28" ht="12" x14ac:dyDescent="0.15">
      <c r="A30" s="194" t="s">
        <v>134</v>
      </c>
      <c r="B30" s="183" t="s">
        <v>142</v>
      </c>
      <c r="C30" s="184"/>
      <c r="D30" s="184"/>
      <c r="E30" s="184"/>
      <c r="F30" s="184"/>
      <c r="G30" s="195"/>
      <c r="H30" s="184"/>
      <c r="I30" s="184"/>
      <c r="J30" s="184"/>
      <c r="K30" s="184"/>
      <c r="L30" s="184"/>
      <c r="M30" s="184"/>
      <c r="N30" s="185"/>
      <c r="Z30" t="str">
        <f t="shared" si="0"/>
        <v/>
      </c>
      <c r="AB30" s="171" t="str">
        <f t="shared" si="1"/>
        <v/>
      </c>
    </row>
    <row r="31" spans="1:28" x14ac:dyDescent="0.15">
      <c r="A31" s="186"/>
      <c r="B31" s="17"/>
      <c r="G31" s="17"/>
      <c r="N31" s="188"/>
      <c r="Z31" t="str">
        <f t="shared" si="0"/>
        <v/>
      </c>
      <c r="AB31" s="171" t="str">
        <f t="shared" si="1"/>
        <v/>
      </c>
    </row>
    <row r="32" spans="1:28" x14ac:dyDescent="0.15">
      <c r="A32" s="186"/>
      <c r="B32" s="17" t="s">
        <v>1</v>
      </c>
      <c r="C32" s="17" t="s">
        <v>1</v>
      </c>
      <c r="D32" s="17" t="s">
        <v>1</v>
      </c>
      <c r="E32" s="17" t="s">
        <v>1</v>
      </c>
      <c r="F32" s="17" t="s">
        <v>1</v>
      </c>
      <c r="G32" s="17" t="s">
        <v>1</v>
      </c>
      <c r="H32" s="17" t="s">
        <v>1</v>
      </c>
      <c r="I32" s="17" t="s">
        <v>1</v>
      </c>
      <c r="J32" s="17" t="s">
        <v>1</v>
      </c>
      <c r="K32" s="17" t="s">
        <v>1</v>
      </c>
      <c r="L32" s="17" t="s">
        <v>1</v>
      </c>
      <c r="M32" s="17" t="s">
        <v>1</v>
      </c>
      <c r="N32" s="196" t="s">
        <v>1</v>
      </c>
      <c r="Z32" t="str">
        <f t="shared" si="0"/>
        <v/>
      </c>
      <c r="AB32" s="171" t="str">
        <f t="shared" si="1"/>
        <v/>
      </c>
    </row>
    <row r="33" spans="1:28" x14ac:dyDescent="0.15">
      <c r="A33" s="186"/>
      <c r="B33" s="17">
        <v>1</v>
      </c>
      <c r="C33" s="17">
        <f t="shared" ref="C33:N33" si="2">B33+1</f>
        <v>2</v>
      </c>
      <c r="D33" s="17">
        <f t="shared" si="2"/>
        <v>3</v>
      </c>
      <c r="E33" s="17">
        <f t="shared" si="2"/>
        <v>4</v>
      </c>
      <c r="F33" s="17">
        <f t="shared" si="2"/>
        <v>5</v>
      </c>
      <c r="G33" s="17">
        <f t="shared" si="2"/>
        <v>6</v>
      </c>
      <c r="H33" s="17">
        <f t="shared" si="2"/>
        <v>7</v>
      </c>
      <c r="I33" s="17">
        <f t="shared" si="2"/>
        <v>8</v>
      </c>
      <c r="J33" s="17">
        <f t="shared" si="2"/>
        <v>9</v>
      </c>
      <c r="K33" s="17">
        <f t="shared" si="2"/>
        <v>10</v>
      </c>
      <c r="L33" s="17">
        <f t="shared" si="2"/>
        <v>11</v>
      </c>
      <c r="M33" s="17">
        <f t="shared" si="2"/>
        <v>12</v>
      </c>
      <c r="N33" s="196">
        <f t="shared" si="2"/>
        <v>13</v>
      </c>
      <c r="Z33" t="str">
        <f t="shared" si="0"/>
        <v/>
      </c>
      <c r="AB33" s="171" t="str">
        <f t="shared" si="1"/>
        <v/>
      </c>
    </row>
    <row r="34" spans="1:28" x14ac:dyDescent="0.15">
      <c r="A34" s="186"/>
      <c r="B34" s="81" t="e">
        <f t="shared" ref="B34:N34" si="3">DAVERAGE(RatioData,"Ratio",B32:B33)</f>
        <v>#DIV/0!</v>
      </c>
      <c r="C34" s="81" t="e">
        <f t="shared" si="3"/>
        <v>#DIV/0!</v>
      </c>
      <c r="D34" s="81" t="e">
        <f t="shared" si="3"/>
        <v>#DIV/0!</v>
      </c>
      <c r="E34" s="81" t="e">
        <f t="shared" si="3"/>
        <v>#DIV/0!</v>
      </c>
      <c r="F34" s="81" t="e">
        <f t="shared" si="3"/>
        <v>#DIV/0!</v>
      </c>
      <c r="G34" s="81" t="e">
        <f t="shared" si="3"/>
        <v>#DIV/0!</v>
      </c>
      <c r="H34" s="81" t="e">
        <f t="shared" si="3"/>
        <v>#DIV/0!</v>
      </c>
      <c r="I34" s="81" t="e">
        <f t="shared" si="3"/>
        <v>#DIV/0!</v>
      </c>
      <c r="J34" s="81" t="e">
        <f t="shared" si="3"/>
        <v>#DIV/0!</v>
      </c>
      <c r="K34" s="81" t="e">
        <f t="shared" si="3"/>
        <v>#DIV/0!</v>
      </c>
      <c r="L34" s="81" t="e">
        <f t="shared" si="3"/>
        <v>#DIV/0!</v>
      </c>
      <c r="M34" s="81" t="e">
        <f t="shared" si="3"/>
        <v>#DIV/0!</v>
      </c>
      <c r="N34" s="197" t="e">
        <f t="shared" si="3"/>
        <v>#DIV/0!</v>
      </c>
      <c r="Z34" t="str">
        <f t="shared" si="0"/>
        <v/>
      </c>
      <c r="AB34" s="171" t="str">
        <f t="shared" si="1"/>
        <v/>
      </c>
    </row>
    <row r="35" spans="1:28" x14ac:dyDescent="0.15">
      <c r="A35" s="186"/>
      <c r="B35" s="76" t="e">
        <f t="shared" ref="B35:N35" si="4">DSTDEV(RatioData,"Ratio",B32:B33)/B34</f>
        <v>#DIV/0!</v>
      </c>
      <c r="C35" s="76" t="e">
        <f t="shared" si="4"/>
        <v>#DIV/0!</v>
      </c>
      <c r="D35" s="76" t="e">
        <f t="shared" si="4"/>
        <v>#DIV/0!</v>
      </c>
      <c r="E35" s="76" t="e">
        <f t="shared" si="4"/>
        <v>#DIV/0!</v>
      </c>
      <c r="F35" s="76" t="e">
        <f t="shared" si="4"/>
        <v>#DIV/0!</v>
      </c>
      <c r="G35" s="76" t="e">
        <f t="shared" si="4"/>
        <v>#DIV/0!</v>
      </c>
      <c r="H35" s="76" t="e">
        <f t="shared" si="4"/>
        <v>#DIV/0!</v>
      </c>
      <c r="I35" s="76" t="e">
        <f t="shared" si="4"/>
        <v>#DIV/0!</v>
      </c>
      <c r="J35" s="76" t="e">
        <f t="shared" si="4"/>
        <v>#DIV/0!</v>
      </c>
      <c r="K35" s="76" t="e">
        <f t="shared" si="4"/>
        <v>#DIV/0!</v>
      </c>
      <c r="L35" s="76" t="e">
        <f t="shared" si="4"/>
        <v>#DIV/0!</v>
      </c>
      <c r="M35" s="76" t="e">
        <f t="shared" si="4"/>
        <v>#DIV/0!</v>
      </c>
      <c r="N35" s="198" t="e">
        <f t="shared" si="4"/>
        <v>#DIV/0!</v>
      </c>
      <c r="Z35" t="str">
        <f t="shared" ref="Z35:Z66" si="5">IF(ISNUMBER(AA35),AA35^2,"")</f>
        <v/>
      </c>
      <c r="AB35" s="171" t="str">
        <f t="shared" ref="AB35:AB66" si="6">IF(ISNUMBER(AA35),Z35/SUM(Z$3:Z$200),"")</f>
        <v/>
      </c>
    </row>
    <row r="36" spans="1:28" x14ac:dyDescent="0.15">
      <c r="A36" s="186"/>
      <c r="B36" s="81" t="str">
        <f t="shared" ref="B36:N36" si="7">IF(ISNUMBER(B34),B34,"")</f>
        <v/>
      </c>
      <c r="C36" s="81" t="str">
        <f t="shared" si="7"/>
        <v/>
      </c>
      <c r="D36" s="81" t="str">
        <f t="shared" si="7"/>
        <v/>
      </c>
      <c r="E36" s="81" t="str">
        <f t="shared" si="7"/>
        <v/>
      </c>
      <c r="F36" s="81" t="str">
        <f t="shared" si="7"/>
        <v/>
      </c>
      <c r="G36" s="81" t="str">
        <f t="shared" si="7"/>
        <v/>
      </c>
      <c r="H36" s="81" t="str">
        <f t="shared" si="7"/>
        <v/>
      </c>
      <c r="I36" s="81" t="str">
        <f t="shared" si="7"/>
        <v/>
      </c>
      <c r="J36" s="81" t="str">
        <f t="shared" si="7"/>
        <v/>
      </c>
      <c r="K36" s="81" t="str">
        <f t="shared" si="7"/>
        <v/>
      </c>
      <c r="L36" s="81" t="str">
        <f t="shared" si="7"/>
        <v/>
      </c>
      <c r="M36" s="81" t="str">
        <f t="shared" si="7"/>
        <v/>
      </c>
      <c r="N36" s="197" t="str">
        <f t="shared" si="7"/>
        <v/>
      </c>
      <c r="Z36" t="str">
        <f t="shared" si="5"/>
        <v/>
      </c>
      <c r="AB36" s="171" t="str">
        <f t="shared" si="6"/>
        <v/>
      </c>
    </row>
    <row r="37" spans="1:28" x14ac:dyDescent="0.15">
      <c r="A37" s="186"/>
      <c r="B37" s="17"/>
      <c r="G37" s="17"/>
      <c r="N37" s="188"/>
      <c r="Z37" t="str">
        <f t="shared" si="5"/>
        <v/>
      </c>
      <c r="AB37" s="171" t="str">
        <f t="shared" si="6"/>
        <v/>
      </c>
    </row>
    <row r="38" spans="1:28" x14ac:dyDescent="0.15">
      <c r="A38" s="186"/>
      <c r="B38" s="17" t="s">
        <v>1</v>
      </c>
      <c r="C38" s="17" t="s">
        <v>1</v>
      </c>
      <c r="D38" s="17" t="s">
        <v>1</v>
      </c>
      <c r="E38" s="17" t="s">
        <v>1</v>
      </c>
      <c r="F38" s="17" t="s">
        <v>1</v>
      </c>
      <c r="G38" s="17" t="s">
        <v>1</v>
      </c>
      <c r="H38" s="17" t="s">
        <v>1</v>
      </c>
      <c r="I38" s="17" t="s">
        <v>1</v>
      </c>
      <c r="J38" s="17" t="s">
        <v>1</v>
      </c>
      <c r="K38" s="17" t="s">
        <v>1</v>
      </c>
      <c r="L38" s="17" t="s">
        <v>1</v>
      </c>
      <c r="M38" s="17" t="s">
        <v>1</v>
      </c>
      <c r="N38" s="196" t="s">
        <v>1</v>
      </c>
      <c r="Z38" t="str">
        <f t="shared" si="5"/>
        <v/>
      </c>
      <c r="AB38" s="171" t="str">
        <f t="shared" si="6"/>
        <v/>
      </c>
    </row>
    <row r="39" spans="1:28" x14ac:dyDescent="0.15">
      <c r="A39" s="186"/>
      <c r="B39" s="17">
        <v>14</v>
      </c>
      <c r="C39" s="17">
        <f t="shared" ref="C39:N39" si="8">B39+1</f>
        <v>15</v>
      </c>
      <c r="D39" s="17">
        <f t="shared" si="8"/>
        <v>16</v>
      </c>
      <c r="E39" s="17">
        <f t="shared" si="8"/>
        <v>17</v>
      </c>
      <c r="F39" s="17">
        <f t="shared" si="8"/>
        <v>18</v>
      </c>
      <c r="G39" s="17">
        <f t="shared" si="8"/>
        <v>19</v>
      </c>
      <c r="H39" s="17">
        <f t="shared" si="8"/>
        <v>20</v>
      </c>
      <c r="I39" s="17">
        <f t="shared" si="8"/>
        <v>21</v>
      </c>
      <c r="J39" s="17">
        <f t="shared" si="8"/>
        <v>22</v>
      </c>
      <c r="K39" s="17">
        <f t="shared" si="8"/>
        <v>23</v>
      </c>
      <c r="L39" s="17">
        <f t="shared" si="8"/>
        <v>24</v>
      </c>
      <c r="M39" s="17">
        <f t="shared" si="8"/>
        <v>25</v>
      </c>
      <c r="N39" s="196">
        <f t="shared" si="8"/>
        <v>26</v>
      </c>
      <c r="Z39" t="str">
        <f t="shared" si="5"/>
        <v/>
      </c>
      <c r="AB39" s="171" t="str">
        <f t="shared" si="6"/>
        <v/>
      </c>
    </row>
    <row r="40" spans="1:28" x14ac:dyDescent="0.15">
      <c r="A40" s="186"/>
      <c r="B40" s="81" t="e">
        <f t="shared" ref="B40:N40" si="9">DAVERAGE(RatioData,"Ratio",B38:B39)</f>
        <v>#DIV/0!</v>
      </c>
      <c r="C40" s="81" t="e">
        <f t="shared" si="9"/>
        <v>#DIV/0!</v>
      </c>
      <c r="D40" s="81" t="e">
        <f t="shared" si="9"/>
        <v>#DIV/0!</v>
      </c>
      <c r="E40" s="81" t="e">
        <f t="shared" si="9"/>
        <v>#DIV/0!</v>
      </c>
      <c r="F40" s="81" t="e">
        <f t="shared" si="9"/>
        <v>#DIV/0!</v>
      </c>
      <c r="G40" s="81" t="e">
        <f t="shared" si="9"/>
        <v>#DIV/0!</v>
      </c>
      <c r="H40" s="81" t="e">
        <f t="shared" si="9"/>
        <v>#DIV/0!</v>
      </c>
      <c r="I40" s="81" t="e">
        <f t="shared" si="9"/>
        <v>#DIV/0!</v>
      </c>
      <c r="J40" s="81" t="e">
        <f t="shared" si="9"/>
        <v>#DIV/0!</v>
      </c>
      <c r="K40" s="81" t="e">
        <f t="shared" si="9"/>
        <v>#DIV/0!</v>
      </c>
      <c r="L40" s="81" t="e">
        <f t="shared" si="9"/>
        <v>#DIV/0!</v>
      </c>
      <c r="M40" s="81" t="e">
        <f t="shared" si="9"/>
        <v>#DIV/0!</v>
      </c>
      <c r="N40" s="197" t="e">
        <f t="shared" si="9"/>
        <v>#DIV/0!</v>
      </c>
      <c r="Z40" t="str">
        <f t="shared" si="5"/>
        <v/>
      </c>
      <c r="AB40" s="171" t="str">
        <f t="shared" si="6"/>
        <v/>
      </c>
    </row>
    <row r="41" spans="1:28" x14ac:dyDescent="0.15">
      <c r="A41" s="186"/>
      <c r="B41" s="76" t="e">
        <f t="shared" ref="B41:N41" si="10">DSTDEV(RatioData,"Ratio",B38:B39)/B40</f>
        <v>#DIV/0!</v>
      </c>
      <c r="C41" s="76" t="e">
        <f t="shared" si="10"/>
        <v>#DIV/0!</v>
      </c>
      <c r="D41" s="76" t="e">
        <f t="shared" si="10"/>
        <v>#DIV/0!</v>
      </c>
      <c r="E41" s="76" t="e">
        <f t="shared" si="10"/>
        <v>#DIV/0!</v>
      </c>
      <c r="F41" s="76" t="e">
        <f t="shared" si="10"/>
        <v>#DIV/0!</v>
      </c>
      <c r="G41" s="76" t="e">
        <f t="shared" si="10"/>
        <v>#DIV/0!</v>
      </c>
      <c r="H41" s="76" t="e">
        <f t="shared" si="10"/>
        <v>#DIV/0!</v>
      </c>
      <c r="I41" s="76" t="e">
        <f t="shared" si="10"/>
        <v>#DIV/0!</v>
      </c>
      <c r="J41" s="76" t="e">
        <f t="shared" si="10"/>
        <v>#DIV/0!</v>
      </c>
      <c r="K41" s="76" t="e">
        <f t="shared" si="10"/>
        <v>#DIV/0!</v>
      </c>
      <c r="L41" s="76" t="e">
        <f t="shared" si="10"/>
        <v>#DIV/0!</v>
      </c>
      <c r="M41" s="76" t="e">
        <f t="shared" si="10"/>
        <v>#DIV/0!</v>
      </c>
      <c r="N41" s="198" t="e">
        <f t="shared" si="10"/>
        <v>#DIV/0!</v>
      </c>
      <c r="Z41" t="str">
        <f t="shared" si="5"/>
        <v/>
      </c>
      <c r="AB41" s="171" t="str">
        <f t="shared" si="6"/>
        <v/>
      </c>
    </row>
    <row r="42" spans="1:28" x14ac:dyDescent="0.15">
      <c r="A42" s="186"/>
      <c r="B42" s="81" t="str">
        <f t="shared" ref="B42:N42" si="11">IF(ISNUMBER(B40),B40,"")</f>
        <v/>
      </c>
      <c r="C42" s="81" t="str">
        <f t="shared" si="11"/>
        <v/>
      </c>
      <c r="D42" s="81" t="str">
        <f t="shared" si="11"/>
        <v/>
      </c>
      <c r="E42" s="81" t="str">
        <f t="shared" si="11"/>
        <v/>
      </c>
      <c r="F42" s="81" t="str">
        <f t="shared" si="11"/>
        <v/>
      </c>
      <c r="G42" s="81" t="str">
        <f t="shared" si="11"/>
        <v/>
      </c>
      <c r="H42" s="81" t="str">
        <f t="shared" si="11"/>
        <v/>
      </c>
      <c r="I42" s="81" t="str">
        <f t="shared" si="11"/>
        <v/>
      </c>
      <c r="J42" s="81" t="str">
        <f t="shared" si="11"/>
        <v/>
      </c>
      <c r="K42" s="81" t="str">
        <f t="shared" si="11"/>
        <v/>
      </c>
      <c r="L42" s="81" t="str">
        <f t="shared" si="11"/>
        <v/>
      </c>
      <c r="M42" s="81" t="str">
        <f t="shared" si="11"/>
        <v/>
      </c>
      <c r="N42" s="197" t="str">
        <f t="shared" si="11"/>
        <v/>
      </c>
      <c r="Z42" t="str">
        <f t="shared" si="5"/>
        <v/>
      </c>
      <c r="AB42" s="171" t="str">
        <f t="shared" si="6"/>
        <v/>
      </c>
    </row>
    <row r="43" spans="1:28" x14ac:dyDescent="0.15">
      <c r="A43" s="186"/>
      <c r="B43" s="17"/>
      <c r="G43" s="17"/>
      <c r="N43" s="188"/>
      <c r="Z43" t="str">
        <f t="shared" si="5"/>
        <v/>
      </c>
      <c r="AB43" s="171" t="str">
        <f t="shared" si="6"/>
        <v/>
      </c>
    </row>
    <row r="44" spans="1:28" x14ac:dyDescent="0.15">
      <c r="A44" s="186"/>
      <c r="B44" s="17" t="s">
        <v>1</v>
      </c>
      <c r="C44" s="17" t="s">
        <v>1</v>
      </c>
      <c r="D44" s="17" t="s">
        <v>1</v>
      </c>
      <c r="E44" s="17" t="s">
        <v>1</v>
      </c>
      <c r="F44" s="17" t="s">
        <v>1</v>
      </c>
      <c r="G44" s="17" t="s">
        <v>1</v>
      </c>
      <c r="H44" s="17" t="s">
        <v>1</v>
      </c>
      <c r="I44" s="17" t="s">
        <v>1</v>
      </c>
      <c r="J44" s="17" t="s">
        <v>1</v>
      </c>
      <c r="K44" s="17" t="s">
        <v>1</v>
      </c>
      <c r="L44" s="17" t="s">
        <v>1</v>
      </c>
      <c r="M44" s="17" t="s">
        <v>1</v>
      </c>
      <c r="N44" s="196" t="s">
        <v>1</v>
      </c>
      <c r="Z44" t="str">
        <f t="shared" si="5"/>
        <v/>
      </c>
      <c r="AB44" s="171" t="str">
        <f t="shared" si="6"/>
        <v/>
      </c>
    </row>
    <row r="45" spans="1:28" x14ac:dyDescent="0.15">
      <c r="A45" s="186"/>
      <c r="B45" s="17">
        <v>27</v>
      </c>
      <c r="C45" s="17">
        <f t="shared" ref="C45:N45" si="12">B45+1</f>
        <v>28</v>
      </c>
      <c r="D45" s="17">
        <f t="shared" si="12"/>
        <v>29</v>
      </c>
      <c r="E45" s="17">
        <f t="shared" si="12"/>
        <v>30</v>
      </c>
      <c r="F45" s="17">
        <f t="shared" si="12"/>
        <v>31</v>
      </c>
      <c r="G45" s="17">
        <f t="shared" si="12"/>
        <v>32</v>
      </c>
      <c r="H45" s="17">
        <f t="shared" si="12"/>
        <v>33</v>
      </c>
      <c r="I45" s="17">
        <f t="shared" si="12"/>
        <v>34</v>
      </c>
      <c r="J45" s="17">
        <f t="shared" si="12"/>
        <v>35</v>
      </c>
      <c r="K45" s="17">
        <f t="shared" si="12"/>
        <v>36</v>
      </c>
      <c r="L45" s="17">
        <f t="shared" si="12"/>
        <v>37</v>
      </c>
      <c r="M45" s="17">
        <f t="shared" si="12"/>
        <v>38</v>
      </c>
      <c r="N45" s="196">
        <f t="shared" si="12"/>
        <v>39</v>
      </c>
      <c r="Z45" t="str">
        <f t="shared" si="5"/>
        <v/>
      </c>
      <c r="AB45" s="171" t="str">
        <f t="shared" si="6"/>
        <v/>
      </c>
    </row>
    <row r="46" spans="1:28" x14ac:dyDescent="0.15">
      <c r="A46" s="186"/>
      <c r="B46" s="81" t="e">
        <f t="shared" ref="B46:N46" si="13">DAVERAGE(RatioData,"Ratio",B44:B45)</f>
        <v>#DIV/0!</v>
      </c>
      <c r="C46" s="81" t="e">
        <f t="shared" si="13"/>
        <v>#DIV/0!</v>
      </c>
      <c r="D46" s="81" t="e">
        <f t="shared" si="13"/>
        <v>#DIV/0!</v>
      </c>
      <c r="E46" s="81" t="e">
        <f t="shared" si="13"/>
        <v>#DIV/0!</v>
      </c>
      <c r="F46" s="81" t="e">
        <f t="shared" si="13"/>
        <v>#DIV/0!</v>
      </c>
      <c r="G46" s="81" t="e">
        <f t="shared" si="13"/>
        <v>#DIV/0!</v>
      </c>
      <c r="H46" s="81" t="e">
        <f t="shared" si="13"/>
        <v>#DIV/0!</v>
      </c>
      <c r="I46" s="81" t="e">
        <f t="shared" si="13"/>
        <v>#DIV/0!</v>
      </c>
      <c r="J46" s="81" t="e">
        <f t="shared" si="13"/>
        <v>#DIV/0!</v>
      </c>
      <c r="K46" s="81" t="e">
        <f t="shared" si="13"/>
        <v>#DIV/0!</v>
      </c>
      <c r="L46" s="81" t="e">
        <f t="shared" si="13"/>
        <v>#DIV/0!</v>
      </c>
      <c r="M46" s="81" t="e">
        <f t="shared" si="13"/>
        <v>#DIV/0!</v>
      </c>
      <c r="N46" s="197" t="e">
        <f t="shared" si="13"/>
        <v>#DIV/0!</v>
      </c>
      <c r="Z46" t="str">
        <f t="shared" si="5"/>
        <v/>
      </c>
      <c r="AB46" s="171" t="str">
        <f t="shared" si="6"/>
        <v/>
      </c>
    </row>
    <row r="47" spans="1:28" x14ac:dyDescent="0.15">
      <c r="A47" s="186"/>
      <c r="B47" s="76" t="e">
        <f t="shared" ref="B47:N47" si="14">DSTDEV(RatioData,"Ratio",B44:B45)/B46</f>
        <v>#DIV/0!</v>
      </c>
      <c r="C47" s="76" t="e">
        <f t="shared" si="14"/>
        <v>#DIV/0!</v>
      </c>
      <c r="D47" s="76" t="e">
        <f t="shared" si="14"/>
        <v>#DIV/0!</v>
      </c>
      <c r="E47" s="76" t="e">
        <f t="shared" si="14"/>
        <v>#DIV/0!</v>
      </c>
      <c r="F47" s="76" t="e">
        <f t="shared" si="14"/>
        <v>#DIV/0!</v>
      </c>
      <c r="G47" s="76" t="e">
        <f t="shared" si="14"/>
        <v>#DIV/0!</v>
      </c>
      <c r="H47" s="76" t="e">
        <f t="shared" si="14"/>
        <v>#DIV/0!</v>
      </c>
      <c r="I47" s="76" t="e">
        <f t="shared" si="14"/>
        <v>#DIV/0!</v>
      </c>
      <c r="J47" s="76" t="e">
        <f t="shared" si="14"/>
        <v>#DIV/0!</v>
      </c>
      <c r="K47" s="76" t="e">
        <f t="shared" si="14"/>
        <v>#DIV/0!</v>
      </c>
      <c r="L47" s="76" t="e">
        <f t="shared" si="14"/>
        <v>#DIV/0!</v>
      </c>
      <c r="M47" s="76" t="e">
        <f t="shared" si="14"/>
        <v>#DIV/0!</v>
      </c>
      <c r="N47" s="198" t="e">
        <f t="shared" si="14"/>
        <v>#DIV/0!</v>
      </c>
      <c r="Z47" t="str">
        <f t="shared" si="5"/>
        <v/>
      </c>
      <c r="AB47" s="171" t="str">
        <f t="shared" si="6"/>
        <v/>
      </c>
    </row>
    <row r="48" spans="1:28" x14ac:dyDescent="0.15">
      <c r="A48" s="186"/>
      <c r="B48" s="81" t="str">
        <f t="shared" ref="B48:N48" si="15">IF(ISNUMBER(B46),B46,"")</f>
        <v/>
      </c>
      <c r="C48" s="81" t="str">
        <f t="shared" si="15"/>
        <v/>
      </c>
      <c r="D48" s="81" t="str">
        <f t="shared" si="15"/>
        <v/>
      </c>
      <c r="E48" s="81" t="str">
        <f t="shared" si="15"/>
        <v/>
      </c>
      <c r="F48" s="81" t="str">
        <f t="shared" si="15"/>
        <v/>
      </c>
      <c r="G48" s="81" t="str">
        <f t="shared" si="15"/>
        <v/>
      </c>
      <c r="H48" s="81" t="str">
        <f t="shared" si="15"/>
        <v/>
      </c>
      <c r="I48" s="81" t="str">
        <f t="shared" si="15"/>
        <v/>
      </c>
      <c r="J48" s="81" t="str">
        <f t="shared" si="15"/>
        <v/>
      </c>
      <c r="K48" s="81" t="str">
        <f t="shared" si="15"/>
        <v/>
      </c>
      <c r="L48" s="81" t="str">
        <f t="shared" si="15"/>
        <v/>
      </c>
      <c r="M48" s="81" t="str">
        <f t="shared" si="15"/>
        <v/>
      </c>
      <c r="N48" s="197" t="str">
        <f t="shared" si="15"/>
        <v/>
      </c>
      <c r="Z48" t="str">
        <f t="shared" si="5"/>
        <v/>
      </c>
      <c r="AB48" s="171" t="str">
        <f t="shared" si="6"/>
        <v/>
      </c>
    </row>
    <row r="49" spans="1:28" x14ac:dyDescent="0.15">
      <c r="A49" s="186"/>
      <c r="B49" s="17"/>
      <c r="G49" s="17"/>
      <c r="N49" s="188"/>
      <c r="Z49" t="str">
        <f t="shared" si="5"/>
        <v/>
      </c>
      <c r="AB49" s="171" t="str">
        <f t="shared" si="6"/>
        <v/>
      </c>
    </row>
    <row r="50" spans="1:28" x14ac:dyDescent="0.15">
      <c r="A50" s="186"/>
      <c r="B50" s="17" t="s">
        <v>1</v>
      </c>
      <c r="C50" s="17" t="s">
        <v>1</v>
      </c>
      <c r="D50" s="17" t="s">
        <v>1</v>
      </c>
      <c r="E50" s="17" t="s">
        <v>1</v>
      </c>
      <c r="F50" s="17" t="s">
        <v>1</v>
      </c>
      <c r="G50" s="17" t="s">
        <v>1</v>
      </c>
      <c r="H50" s="17" t="s">
        <v>1</v>
      </c>
      <c r="I50" s="17" t="s">
        <v>1</v>
      </c>
      <c r="J50" s="17" t="s">
        <v>1</v>
      </c>
      <c r="K50" s="17" t="s">
        <v>1</v>
      </c>
      <c r="L50" s="17" t="s">
        <v>1</v>
      </c>
      <c r="M50" s="17" t="s">
        <v>1</v>
      </c>
      <c r="N50" s="196" t="s">
        <v>1</v>
      </c>
      <c r="Z50" t="str">
        <f t="shared" si="5"/>
        <v/>
      </c>
      <c r="AB50" s="171" t="str">
        <f t="shared" si="6"/>
        <v/>
      </c>
    </row>
    <row r="51" spans="1:28" x14ac:dyDescent="0.15">
      <c r="A51" s="186"/>
      <c r="B51" s="17">
        <v>40</v>
      </c>
      <c r="C51" s="17">
        <f t="shared" ref="C51:N51" si="16">B51+1</f>
        <v>41</v>
      </c>
      <c r="D51" s="17">
        <f t="shared" si="16"/>
        <v>42</v>
      </c>
      <c r="E51" s="17">
        <f t="shared" si="16"/>
        <v>43</v>
      </c>
      <c r="F51" s="17">
        <f t="shared" si="16"/>
        <v>44</v>
      </c>
      <c r="G51" s="17">
        <f t="shared" si="16"/>
        <v>45</v>
      </c>
      <c r="H51" s="17">
        <f t="shared" si="16"/>
        <v>46</v>
      </c>
      <c r="I51" s="17">
        <f t="shared" si="16"/>
        <v>47</v>
      </c>
      <c r="J51" s="17">
        <f t="shared" si="16"/>
        <v>48</v>
      </c>
      <c r="K51" s="17">
        <f t="shared" si="16"/>
        <v>49</v>
      </c>
      <c r="L51" s="17">
        <f t="shared" si="16"/>
        <v>50</v>
      </c>
      <c r="M51" s="17">
        <f t="shared" si="16"/>
        <v>51</v>
      </c>
      <c r="N51" s="196">
        <f t="shared" si="16"/>
        <v>52</v>
      </c>
      <c r="Z51" t="str">
        <f t="shared" si="5"/>
        <v/>
      </c>
      <c r="AB51" s="171" t="str">
        <f t="shared" si="6"/>
        <v/>
      </c>
    </row>
    <row r="52" spans="1:28" x14ac:dyDescent="0.15">
      <c r="A52" s="186"/>
      <c r="B52" s="81" t="e">
        <f t="shared" ref="B52:N52" si="17">DAVERAGE(RatioData,"Ratio",B50:B51)</f>
        <v>#DIV/0!</v>
      </c>
      <c r="C52" s="81" t="e">
        <f t="shared" si="17"/>
        <v>#DIV/0!</v>
      </c>
      <c r="D52" s="81" t="e">
        <f t="shared" si="17"/>
        <v>#DIV/0!</v>
      </c>
      <c r="E52" s="81" t="e">
        <f t="shared" si="17"/>
        <v>#DIV/0!</v>
      </c>
      <c r="F52" s="81" t="e">
        <f t="shared" si="17"/>
        <v>#DIV/0!</v>
      </c>
      <c r="G52" s="81" t="e">
        <f t="shared" si="17"/>
        <v>#DIV/0!</v>
      </c>
      <c r="H52" s="81" t="e">
        <f t="shared" si="17"/>
        <v>#DIV/0!</v>
      </c>
      <c r="I52" s="81" t="e">
        <f t="shared" si="17"/>
        <v>#DIV/0!</v>
      </c>
      <c r="J52" s="81" t="e">
        <f t="shared" si="17"/>
        <v>#DIV/0!</v>
      </c>
      <c r="K52" s="81" t="e">
        <f t="shared" si="17"/>
        <v>#DIV/0!</v>
      </c>
      <c r="L52" s="81" t="e">
        <f t="shared" si="17"/>
        <v>#DIV/0!</v>
      </c>
      <c r="M52" s="81" t="e">
        <f t="shared" si="17"/>
        <v>#DIV/0!</v>
      </c>
      <c r="N52" s="197" t="e">
        <f t="shared" si="17"/>
        <v>#DIV/0!</v>
      </c>
      <c r="Z52" t="str">
        <f t="shared" si="5"/>
        <v/>
      </c>
      <c r="AB52" s="171" t="str">
        <f t="shared" si="6"/>
        <v/>
      </c>
    </row>
    <row r="53" spans="1:28" x14ac:dyDescent="0.15">
      <c r="A53" s="186"/>
      <c r="B53" s="76" t="e">
        <f t="shared" ref="B53:N53" si="18">DSTDEV(RatioData,"Ratio",B50:B51)/B52</f>
        <v>#DIV/0!</v>
      </c>
      <c r="C53" s="76" t="e">
        <f t="shared" si="18"/>
        <v>#DIV/0!</v>
      </c>
      <c r="D53" s="76" t="e">
        <f t="shared" si="18"/>
        <v>#DIV/0!</v>
      </c>
      <c r="E53" s="76" t="e">
        <f t="shared" si="18"/>
        <v>#DIV/0!</v>
      </c>
      <c r="F53" s="76" t="e">
        <f t="shared" si="18"/>
        <v>#DIV/0!</v>
      </c>
      <c r="G53" s="76" t="e">
        <f t="shared" si="18"/>
        <v>#DIV/0!</v>
      </c>
      <c r="H53" s="76" t="e">
        <f t="shared" si="18"/>
        <v>#DIV/0!</v>
      </c>
      <c r="I53" s="76" t="e">
        <f t="shared" si="18"/>
        <v>#DIV/0!</v>
      </c>
      <c r="J53" s="76" t="e">
        <f t="shared" si="18"/>
        <v>#DIV/0!</v>
      </c>
      <c r="K53" s="76" t="e">
        <f t="shared" si="18"/>
        <v>#DIV/0!</v>
      </c>
      <c r="L53" s="76" t="e">
        <f t="shared" si="18"/>
        <v>#DIV/0!</v>
      </c>
      <c r="M53" s="76" t="e">
        <f t="shared" si="18"/>
        <v>#DIV/0!</v>
      </c>
      <c r="N53" s="198" t="e">
        <f t="shared" si="18"/>
        <v>#DIV/0!</v>
      </c>
      <c r="Z53" t="str">
        <f t="shared" si="5"/>
        <v/>
      </c>
      <c r="AB53" s="171" t="str">
        <f t="shared" si="6"/>
        <v/>
      </c>
    </row>
    <row r="54" spans="1:28" x14ac:dyDescent="0.15">
      <c r="A54" s="186"/>
      <c r="B54" s="81" t="str">
        <f t="shared" ref="B54:N54" si="19">IF(ISNUMBER(B52),B52,"")</f>
        <v/>
      </c>
      <c r="C54" s="81" t="str">
        <f t="shared" si="19"/>
        <v/>
      </c>
      <c r="D54" s="81" t="str">
        <f t="shared" si="19"/>
        <v/>
      </c>
      <c r="E54" s="81" t="str">
        <f t="shared" si="19"/>
        <v/>
      </c>
      <c r="F54" s="81" t="str">
        <f t="shared" si="19"/>
        <v/>
      </c>
      <c r="G54" s="81" t="str">
        <f t="shared" si="19"/>
        <v/>
      </c>
      <c r="H54" s="81" t="str">
        <f t="shared" si="19"/>
        <v/>
      </c>
      <c r="I54" s="81" t="str">
        <f t="shared" si="19"/>
        <v/>
      </c>
      <c r="J54" s="81" t="str">
        <f t="shared" si="19"/>
        <v/>
      </c>
      <c r="K54" s="81" t="str">
        <f t="shared" si="19"/>
        <v/>
      </c>
      <c r="L54" s="81" t="str">
        <f t="shared" si="19"/>
        <v/>
      </c>
      <c r="M54" s="81" t="str">
        <f t="shared" si="19"/>
        <v/>
      </c>
      <c r="N54" s="197" t="str">
        <f t="shared" si="19"/>
        <v/>
      </c>
      <c r="Z54" t="str">
        <f t="shared" si="5"/>
        <v/>
      </c>
      <c r="AB54" s="171" t="str">
        <f t="shared" si="6"/>
        <v/>
      </c>
    </row>
    <row r="55" spans="1:28" x14ac:dyDescent="0.15">
      <c r="A55" s="186"/>
      <c r="G55" s="17"/>
      <c r="N55" s="188"/>
      <c r="Z55" t="str">
        <f t="shared" si="5"/>
        <v/>
      </c>
      <c r="AB55" s="171" t="str">
        <f t="shared" si="6"/>
        <v/>
      </c>
    </row>
    <row r="56" spans="1:28" x14ac:dyDescent="0.15">
      <c r="A56" s="186"/>
      <c r="B56" s="17" t="s">
        <v>1</v>
      </c>
      <c r="C56" s="17" t="s">
        <v>1</v>
      </c>
      <c r="D56" s="17" t="s">
        <v>1</v>
      </c>
      <c r="E56" s="17" t="s">
        <v>1</v>
      </c>
      <c r="F56" s="17" t="s">
        <v>1</v>
      </c>
      <c r="G56" s="17" t="s">
        <v>1</v>
      </c>
      <c r="H56" s="17" t="s">
        <v>1</v>
      </c>
      <c r="I56" s="17" t="s">
        <v>1</v>
      </c>
      <c r="J56" s="17" t="s">
        <v>1</v>
      </c>
      <c r="K56" s="17" t="s">
        <v>1</v>
      </c>
      <c r="L56" s="17" t="s">
        <v>1</v>
      </c>
      <c r="M56" s="17" t="s">
        <v>1</v>
      </c>
      <c r="N56" s="196" t="s">
        <v>1</v>
      </c>
      <c r="Z56" t="str">
        <f t="shared" si="5"/>
        <v/>
      </c>
      <c r="AB56" s="171" t="str">
        <f t="shared" si="6"/>
        <v/>
      </c>
    </row>
    <row r="57" spans="1:28" x14ac:dyDescent="0.15">
      <c r="A57" s="186"/>
      <c r="B57" s="17">
        <v>53</v>
      </c>
      <c r="C57" s="17">
        <f t="shared" ref="C57:N57" si="20">B57+1</f>
        <v>54</v>
      </c>
      <c r="D57" s="17">
        <f t="shared" si="20"/>
        <v>55</v>
      </c>
      <c r="E57" s="17">
        <f t="shared" si="20"/>
        <v>56</v>
      </c>
      <c r="F57" s="17">
        <f t="shared" si="20"/>
        <v>57</v>
      </c>
      <c r="G57" s="17">
        <f t="shared" si="20"/>
        <v>58</v>
      </c>
      <c r="H57" s="17">
        <f t="shared" si="20"/>
        <v>59</v>
      </c>
      <c r="I57" s="17">
        <f t="shared" si="20"/>
        <v>60</v>
      </c>
      <c r="J57" s="17">
        <f t="shared" si="20"/>
        <v>61</v>
      </c>
      <c r="K57" s="17">
        <f t="shared" si="20"/>
        <v>62</v>
      </c>
      <c r="L57" s="17">
        <f t="shared" si="20"/>
        <v>63</v>
      </c>
      <c r="M57" s="17">
        <f t="shared" si="20"/>
        <v>64</v>
      </c>
      <c r="N57" s="196">
        <f t="shared" si="20"/>
        <v>65</v>
      </c>
      <c r="Z57" t="str">
        <f t="shared" si="5"/>
        <v/>
      </c>
      <c r="AB57" s="171" t="str">
        <f t="shared" si="6"/>
        <v/>
      </c>
    </row>
    <row r="58" spans="1:28" x14ac:dyDescent="0.15">
      <c r="A58" s="186"/>
      <c r="B58" s="81" t="e">
        <f t="shared" ref="B58:N58" si="21">DAVERAGE(RatioData,"Ratio",B56:B57)</f>
        <v>#DIV/0!</v>
      </c>
      <c r="C58" s="81" t="e">
        <f t="shared" si="21"/>
        <v>#DIV/0!</v>
      </c>
      <c r="D58" s="81" t="e">
        <f t="shared" si="21"/>
        <v>#DIV/0!</v>
      </c>
      <c r="E58" s="81" t="e">
        <f t="shared" si="21"/>
        <v>#DIV/0!</v>
      </c>
      <c r="F58" s="81" t="e">
        <f t="shared" si="21"/>
        <v>#DIV/0!</v>
      </c>
      <c r="G58" s="81" t="e">
        <f t="shared" si="21"/>
        <v>#DIV/0!</v>
      </c>
      <c r="H58" s="81" t="e">
        <f t="shared" si="21"/>
        <v>#DIV/0!</v>
      </c>
      <c r="I58" s="81" t="e">
        <f t="shared" si="21"/>
        <v>#DIV/0!</v>
      </c>
      <c r="J58" s="81" t="e">
        <f t="shared" si="21"/>
        <v>#DIV/0!</v>
      </c>
      <c r="K58" s="81" t="e">
        <f t="shared" si="21"/>
        <v>#DIV/0!</v>
      </c>
      <c r="L58" s="81" t="e">
        <f t="shared" si="21"/>
        <v>#DIV/0!</v>
      </c>
      <c r="M58" s="81" t="e">
        <f t="shared" si="21"/>
        <v>#DIV/0!</v>
      </c>
      <c r="N58" s="197" t="e">
        <f t="shared" si="21"/>
        <v>#DIV/0!</v>
      </c>
      <c r="Z58" t="str">
        <f t="shared" si="5"/>
        <v/>
      </c>
      <c r="AB58" s="171" t="str">
        <f t="shared" si="6"/>
        <v/>
      </c>
    </row>
    <row r="59" spans="1:28" x14ac:dyDescent="0.15">
      <c r="A59" s="186"/>
      <c r="B59" s="76" t="e">
        <f t="shared" ref="B59:N59" si="22">DSTDEV(RatioData,"Ratio",B56:B57)/B58</f>
        <v>#DIV/0!</v>
      </c>
      <c r="C59" s="76" t="e">
        <f t="shared" si="22"/>
        <v>#DIV/0!</v>
      </c>
      <c r="D59" s="76" t="e">
        <f t="shared" si="22"/>
        <v>#DIV/0!</v>
      </c>
      <c r="E59" s="76" t="e">
        <f t="shared" si="22"/>
        <v>#DIV/0!</v>
      </c>
      <c r="F59" s="76" t="e">
        <f t="shared" si="22"/>
        <v>#DIV/0!</v>
      </c>
      <c r="G59" s="76" t="e">
        <f t="shared" si="22"/>
        <v>#DIV/0!</v>
      </c>
      <c r="H59" s="76" t="e">
        <f t="shared" si="22"/>
        <v>#DIV/0!</v>
      </c>
      <c r="I59" s="76" t="e">
        <f t="shared" si="22"/>
        <v>#DIV/0!</v>
      </c>
      <c r="J59" s="76" t="e">
        <f t="shared" si="22"/>
        <v>#DIV/0!</v>
      </c>
      <c r="K59" s="76" t="e">
        <f t="shared" si="22"/>
        <v>#DIV/0!</v>
      </c>
      <c r="L59" s="76" t="e">
        <f t="shared" si="22"/>
        <v>#DIV/0!</v>
      </c>
      <c r="M59" s="76" t="e">
        <f t="shared" si="22"/>
        <v>#DIV/0!</v>
      </c>
      <c r="N59" s="198" t="e">
        <f t="shared" si="22"/>
        <v>#DIV/0!</v>
      </c>
      <c r="Z59" t="str">
        <f t="shared" si="5"/>
        <v/>
      </c>
      <c r="AB59" s="171" t="str">
        <f t="shared" si="6"/>
        <v/>
      </c>
    </row>
    <row r="60" spans="1:28" x14ac:dyDescent="0.15">
      <c r="A60" s="186"/>
      <c r="B60" s="81" t="str">
        <f t="shared" ref="B60:N60" si="23">IF(ISNUMBER(B58),B58,"")</f>
        <v/>
      </c>
      <c r="C60" s="81" t="str">
        <f t="shared" si="23"/>
        <v/>
      </c>
      <c r="D60" s="81" t="str">
        <f t="shared" si="23"/>
        <v/>
      </c>
      <c r="E60" s="81" t="str">
        <f t="shared" si="23"/>
        <v/>
      </c>
      <c r="F60" s="81" t="str">
        <f t="shared" si="23"/>
        <v/>
      </c>
      <c r="G60" s="81" t="str">
        <f t="shared" si="23"/>
        <v/>
      </c>
      <c r="H60" s="81" t="str">
        <f t="shared" si="23"/>
        <v/>
      </c>
      <c r="I60" s="81" t="str">
        <f t="shared" si="23"/>
        <v/>
      </c>
      <c r="J60" s="81" t="str">
        <f t="shared" si="23"/>
        <v/>
      </c>
      <c r="K60" s="81" t="str">
        <f t="shared" si="23"/>
        <v/>
      </c>
      <c r="L60" s="81" t="str">
        <f t="shared" si="23"/>
        <v/>
      </c>
      <c r="M60" s="81" t="str">
        <f t="shared" si="23"/>
        <v/>
      </c>
      <c r="N60" s="197" t="str">
        <f t="shared" si="23"/>
        <v/>
      </c>
      <c r="Z60" t="str">
        <f t="shared" si="5"/>
        <v/>
      </c>
      <c r="AB60" s="171" t="str">
        <f t="shared" si="6"/>
        <v/>
      </c>
    </row>
    <row r="61" spans="1:28" x14ac:dyDescent="0.15">
      <c r="A61" s="186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197"/>
      <c r="Z61" t="str">
        <f t="shared" si="5"/>
        <v/>
      </c>
      <c r="AB61" s="171" t="str">
        <f t="shared" si="6"/>
        <v/>
      </c>
    </row>
    <row r="62" spans="1:28" x14ac:dyDescent="0.15">
      <c r="A62" s="186"/>
      <c r="B62" s="17" t="s">
        <v>1</v>
      </c>
      <c r="C62" s="17" t="s">
        <v>1</v>
      </c>
      <c r="D62" s="17" t="s">
        <v>1</v>
      </c>
      <c r="E62" s="17" t="s">
        <v>1</v>
      </c>
      <c r="F62" s="17" t="s">
        <v>1</v>
      </c>
      <c r="G62" s="17" t="s">
        <v>1</v>
      </c>
      <c r="H62" s="17" t="s">
        <v>1</v>
      </c>
      <c r="I62" s="17" t="s">
        <v>1</v>
      </c>
      <c r="J62" s="17" t="s">
        <v>1</v>
      </c>
      <c r="K62" s="17" t="s">
        <v>1</v>
      </c>
      <c r="L62" s="17" t="s">
        <v>1</v>
      </c>
      <c r="M62" s="17" t="s">
        <v>1</v>
      </c>
      <c r="N62" s="196" t="s">
        <v>1</v>
      </c>
      <c r="Z62" t="str">
        <f t="shared" si="5"/>
        <v/>
      </c>
      <c r="AB62" s="171" t="str">
        <f t="shared" si="6"/>
        <v/>
      </c>
    </row>
    <row r="63" spans="1:28" x14ac:dyDescent="0.15">
      <c r="A63" s="186"/>
      <c r="B63" s="17">
        <v>66</v>
      </c>
      <c r="C63" s="17">
        <f t="shared" ref="C63:N63" si="24">B63+1</f>
        <v>67</v>
      </c>
      <c r="D63" s="17">
        <f t="shared" si="24"/>
        <v>68</v>
      </c>
      <c r="E63" s="17">
        <f t="shared" si="24"/>
        <v>69</v>
      </c>
      <c r="F63" s="17">
        <f t="shared" si="24"/>
        <v>70</v>
      </c>
      <c r="G63" s="17">
        <f t="shared" si="24"/>
        <v>71</v>
      </c>
      <c r="H63" s="17">
        <f t="shared" si="24"/>
        <v>72</v>
      </c>
      <c r="I63" s="17">
        <f t="shared" si="24"/>
        <v>73</v>
      </c>
      <c r="J63" s="17">
        <f t="shared" si="24"/>
        <v>74</v>
      </c>
      <c r="K63" s="17">
        <f t="shared" si="24"/>
        <v>75</v>
      </c>
      <c r="L63" s="17">
        <f t="shared" si="24"/>
        <v>76</v>
      </c>
      <c r="M63" s="17">
        <f t="shared" si="24"/>
        <v>77</v>
      </c>
      <c r="N63" s="196">
        <f t="shared" si="24"/>
        <v>78</v>
      </c>
      <c r="Z63" t="str">
        <f t="shared" si="5"/>
        <v/>
      </c>
      <c r="AB63" s="171" t="str">
        <f t="shared" si="6"/>
        <v/>
      </c>
    </row>
    <row r="64" spans="1:28" x14ac:dyDescent="0.15">
      <c r="A64" s="186"/>
      <c r="B64" s="81" t="e">
        <f t="shared" ref="B64:N64" si="25">DAVERAGE(RatioData,"Ratio",B62:B63)</f>
        <v>#DIV/0!</v>
      </c>
      <c r="C64" s="81" t="e">
        <f t="shared" si="25"/>
        <v>#DIV/0!</v>
      </c>
      <c r="D64" s="81" t="e">
        <f t="shared" si="25"/>
        <v>#DIV/0!</v>
      </c>
      <c r="E64" s="81" t="e">
        <f t="shared" si="25"/>
        <v>#DIV/0!</v>
      </c>
      <c r="F64" s="81" t="e">
        <f t="shared" si="25"/>
        <v>#DIV/0!</v>
      </c>
      <c r="G64" s="81" t="e">
        <f t="shared" si="25"/>
        <v>#DIV/0!</v>
      </c>
      <c r="H64" s="81" t="e">
        <f t="shared" si="25"/>
        <v>#DIV/0!</v>
      </c>
      <c r="I64" s="81" t="e">
        <f t="shared" si="25"/>
        <v>#DIV/0!</v>
      </c>
      <c r="J64" s="81" t="e">
        <f t="shared" si="25"/>
        <v>#DIV/0!</v>
      </c>
      <c r="K64" s="81" t="e">
        <f t="shared" si="25"/>
        <v>#DIV/0!</v>
      </c>
      <c r="L64" s="81" t="e">
        <f t="shared" si="25"/>
        <v>#DIV/0!</v>
      </c>
      <c r="M64" s="81" t="e">
        <f t="shared" si="25"/>
        <v>#DIV/0!</v>
      </c>
      <c r="N64" s="197" t="e">
        <f t="shared" si="25"/>
        <v>#DIV/0!</v>
      </c>
      <c r="Z64" t="str">
        <f t="shared" si="5"/>
        <v/>
      </c>
      <c r="AB64" s="171" t="str">
        <f t="shared" si="6"/>
        <v/>
      </c>
    </row>
    <row r="65" spans="1:28" x14ac:dyDescent="0.15">
      <c r="A65" s="186"/>
      <c r="B65" s="76" t="e">
        <f t="shared" ref="B65:N65" si="26">DSTDEV(RatioData,"Ratio",B62:B63)/B64</f>
        <v>#DIV/0!</v>
      </c>
      <c r="C65" s="76" t="e">
        <f t="shared" si="26"/>
        <v>#DIV/0!</v>
      </c>
      <c r="D65" s="76" t="e">
        <f t="shared" si="26"/>
        <v>#DIV/0!</v>
      </c>
      <c r="E65" s="76" t="e">
        <f t="shared" si="26"/>
        <v>#DIV/0!</v>
      </c>
      <c r="F65" s="76" t="e">
        <f t="shared" si="26"/>
        <v>#DIV/0!</v>
      </c>
      <c r="G65" s="76" t="e">
        <f t="shared" si="26"/>
        <v>#DIV/0!</v>
      </c>
      <c r="H65" s="76" t="e">
        <f t="shared" si="26"/>
        <v>#DIV/0!</v>
      </c>
      <c r="I65" s="76" t="e">
        <f t="shared" si="26"/>
        <v>#DIV/0!</v>
      </c>
      <c r="J65" s="76" t="e">
        <f t="shared" si="26"/>
        <v>#DIV/0!</v>
      </c>
      <c r="K65" s="76" t="e">
        <f t="shared" si="26"/>
        <v>#DIV/0!</v>
      </c>
      <c r="L65" s="76" t="e">
        <f t="shared" si="26"/>
        <v>#DIV/0!</v>
      </c>
      <c r="M65" s="76" t="e">
        <f t="shared" si="26"/>
        <v>#DIV/0!</v>
      </c>
      <c r="N65" s="198" t="e">
        <f t="shared" si="26"/>
        <v>#DIV/0!</v>
      </c>
      <c r="Z65" t="str">
        <f t="shared" si="5"/>
        <v/>
      </c>
      <c r="AB65" s="171" t="str">
        <f t="shared" si="6"/>
        <v/>
      </c>
    </row>
    <row r="66" spans="1:28" x14ac:dyDescent="0.15">
      <c r="A66" s="186"/>
      <c r="B66" s="81" t="str">
        <f t="shared" ref="B66:N66" si="27">IF(ISNUMBER(B64),B64,"")</f>
        <v/>
      </c>
      <c r="C66" s="81" t="str">
        <f t="shared" si="27"/>
        <v/>
      </c>
      <c r="D66" s="81" t="str">
        <f t="shared" si="27"/>
        <v/>
      </c>
      <c r="E66" s="81" t="str">
        <f t="shared" si="27"/>
        <v/>
      </c>
      <c r="F66" s="81" t="str">
        <f t="shared" si="27"/>
        <v/>
      </c>
      <c r="G66" s="81" t="str">
        <f t="shared" si="27"/>
        <v/>
      </c>
      <c r="H66" s="81" t="str">
        <f t="shared" si="27"/>
        <v/>
      </c>
      <c r="I66" s="81" t="str">
        <f t="shared" si="27"/>
        <v/>
      </c>
      <c r="J66" s="81" t="str">
        <f t="shared" si="27"/>
        <v/>
      </c>
      <c r="K66" s="81" t="str">
        <f t="shared" si="27"/>
        <v/>
      </c>
      <c r="L66" s="81" t="str">
        <f t="shared" si="27"/>
        <v/>
      </c>
      <c r="M66" s="81" t="str">
        <f t="shared" si="27"/>
        <v/>
      </c>
      <c r="N66" s="197" t="str">
        <f t="shared" si="27"/>
        <v/>
      </c>
      <c r="Z66" t="str">
        <f t="shared" si="5"/>
        <v/>
      </c>
      <c r="AB66" s="171" t="str">
        <f t="shared" si="6"/>
        <v/>
      </c>
    </row>
    <row r="67" spans="1:28" x14ac:dyDescent="0.15">
      <c r="A67" s="186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197"/>
      <c r="Z67" t="str">
        <f t="shared" ref="Z67:Z98" si="28">IF(ISNUMBER(AA67),AA67^2,"")</f>
        <v/>
      </c>
      <c r="AB67" s="171" t="str">
        <f t="shared" ref="AB67:AB98" si="29">IF(ISNUMBER(AA67),Z67/SUM(Z$3:Z$200),"")</f>
        <v/>
      </c>
    </row>
    <row r="68" spans="1:28" x14ac:dyDescent="0.15">
      <c r="A68" s="186"/>
      <c r="B68" s="17" t="s">
        <v>1</v>
      </c>
      <c r="C68" s="17" t="s">
        <v>1</v>
      </c>
      <c r="D68" s="17" t="s">
        <v>1</v>
      </c>
      <c r="E68" s="17" t="s">
        <v>1</v>
      </c>
      <c r="F68" s="17" t="s">
        <v>1</v>
      </c>
      <c r="G68" s="17" t="s">
        <v>1</v>
      </c>
      <c r="H68" s="17" t="s">
        <v>1</v>
      </c>
      <c r="I68" s="17" t="s">
        <v>1</v>
      </c>
      <c r="J68" s="17" t="s">
        <v>1</v>
      </c>
      <c r="K68" s="17" t="s">
        <v>1</v>
      </c>
      <c r="L68" s="17" t="s">
        <v>1</v>
      </c>
      <c r="M68" s="17" t="s">
        <v>1</v>
      </c>
      <c r="N68" s="196" t="s">
        <v>1</v>
      </c>
      <c r="Z68" t="str">
        <f t="shared" si="28"/>
        <v/>
      </c>
      <c r="AB68" s="171" t="str">
        <f t="shared" si="29"/>
        <v/>
      </c>
    </row>
    <row r="69" spans="1:28" x14ac:dyDescent="0.15">
      <c r="A69" s="186"/>
      <c r="B69" s="17">
        <v>79</v>
      </c>
      <c r="C69" s="17">
        <f t="shared" ref="C69:N69" si="30">B69+1</f>
        <v>80</v>
      </c>
      <c r="D69" s="17">
        <f t="shared" si="30"/>
        <v>81</v>
      </c>
      <c r="E69" s="17">
        <f t="shared" si="30"/>
        <v>82</v>
      </c>
      <c r="F69" s="17">
        <f t="shared" si="30"/>
        <v>83</v>
      </c>
      <c r="G69" s="17">
        <f t="shared" si="30"/>
        <v>84</v>
      </c>
      <c r="H69" s="17">
        <f t="shared" si="30"/>
        <v>85</v>
      </c>
      <c r="I69" s="17">
        <f t="shared" si="30"/>
        <v>86</v>
      </c>
      <c r="J69" s="17">
        <f t="shared" si="30"/>
        <v>87</v>
      </c>
      <c r="K69" s="17">
        <f t="shared" si="30"/>
        <v>88</v>
      </c>
      <c r="L69" s="17">
        <f t="shared" si="30"/>
        <v>89</v>
      </c>
      <c r="M69" s="17">
        <f t="shared" si="30"/>
        <v>90</v>
      </c>
      <c r="N69" s="196">
        <f t="shared" si="30"/>
        <v>91</v>
      </c>
      <c r="Z69" t="str">
        <f t="shared" si="28"/>
        <v/>
      </c>
      <c r="AB69" s="171" t="str">
        <f t="shared" si="29"/>
        <v/>
      </c>
    </row>
    <row r="70" spans="1:28" x14ac:dyDescent="0.15">
      <c r="A70" s="186"/>
      <c r="B70" s="81" t="e">
        <f t="shared" ref="B70:N70" si="31">DAVERAGE(RatioData,"Ratio",B68:B69)</f>
        <v>#DIV/0!</v>
      </c>
      <c r="C70" s="81" t="e">
        <f t="shared" si="31"/>
        <v>#DIV/0!</v>
      </c>
      <c r="D70" s="81" t="e">
        <f t="shared" si="31"/>
        <v>#DIV/0!</v>
      </c>
      <c r="E70" s="81" t="e">
        <f t="shared" si="31"/>
        <v>#DIV/0!</v>
      </c>
      <c r="F70" s="81" t="e">
        <f t="shared" si="31"/>
        <v>#DIV/0!</v>
      </c>
      <c r="G70" s="81" t="e">
        <f t="shared" si="31"/>
        <v>#DIV/0!</v>
      </c>
      <c r="H70" s="81" t="e">
        <f t="shared" si="31"/>
        <v>#DIV/0!</v>
      </c>
      <c r="I70" s="81" t="e">
        <f t="shared" si="31"/>
        <v>#DIV/0!</v>
      </c>
      <c r="J70" s="81" t="e">
        <f t="shared" si="31"/>
        <v>#DIV/0!</v>
      </c>
      <c r="K70" s="81" t="e">
        <f t="shared" si="31"/>
        <v>#DIV/0!</v>
      </c>
      <c r="L70" s="81" t="e">
        <f t="shared" si="31"/>
        <v>#DIV/0!</v>
      </c>
      <c r="M70" s="81" t="e">
        <f t="shared" si="31"/>
        <v>#DIV/0!</v>
      </c>
      <c r="N70" s="197" t="e">
        <f t="shared" si="31"/>
        <v>#DIV/0!</v>
      </c>
      <c r="Z70" t="str">
        <f t="shared" si="28"/>
        <v/>
      </c>
      <c r="AB70" s="171" t="str">
        <f t="shared" si="29"/>
        <v/>
      </c>
    </row>
    <row r="71" spans="1:28" x14ac:dyDescent="0.15">
      <c r="A71" s="186"/>
      <c r="B71" s="76" t="e">
        <f t="shared" ref="B71:N71" si="32">DSTDEV(RatioData,"Ratio",B68:B69)/B70</f>
        <v>#DIV/0!</v>
      </c>
      <c r="C71" s="76" t="e">
        <f t="shared" si="32"/>
        <v>#DIV/0!</v>
      </c>
      <c r="D71" s="76" t="e">
        <f t="shared" si="32"/>
        <v>#DIV/0!</v>
      </c>
      <c r="E71" s="76" t="e">
        <f t="shared" si="32"/>
        <v>#DIV/0!</v>
      </c>
      <c r="F71" s="76" t="e">
        <f t="shared" si="32"/>
        <v>#DIV/0!</v>
      </c>
      <c r="G71" s="76" t="e">
        <f t="shared" si="32"/>
        <v>#DIV/0!</v>
      </c>
      <c r="H71" s="76" t="e">
        <f t="shared" si="32"/>
        <v>#DIV/0!</v>
      </c>
      <c r="I71" s="76" t="e">
        <f t="shared" si="32"/>
        <v>#DIV/0!</v>
      </c>
      <c r="J71" s="76" t="e">
        <f t="shared" si="32"/>
        <v>#DIV/0!</v>
      </c>
      <c r="K71" s="76" t="e">
        <f t="shared" si="32"/>
        <v>#DIV/0!</v>
      </c>
      <c r="L71" s="76" t="e">
        <f t="shared" si="32"/>
        <v>#DIV/0!</v>
      </c>
      <c r="M71" s="76" t="e">
        <f t="shared" si="32"/>
        <v>#DIV/0!</v>
      </c>
      <c r="N71" s="198" t="e">
        <f t="shared" si="32"/>
        <v>#DIV/0!</v>
      </c>
      <c r="Z71" t="str">
        <f t="shared" si="28"/>
        <v/>
      </c>
      <c r="AB71" s="171" t="str">
        <f t="shared" si="29"/>
        <v/>
      </c>
    </row>
    <row r="72" spans="1:28" x14ac:dyDescent="0.15">
      <c r="A72" s="186"/>
      <c r="B72" s="81" t="str">
        <f t="shared" ref="B72:N72" si="33">IF(ISNUMBER(B70),B70,"")</f>
        <v/>
      </c>
      <c r="C72" s="81" t="str">
        <f t="shared" si="33"/>
        <v/>
      </c>
      <c r="D72" s="81" t="str">
        <f t="shared" si="33"/>
        <v/>
      </c>
      <c r="E72" s="81" t="str">
        <f t="shared" si="33"/>
        <v/>
      </c>
      <c r="F72" s="81" t="str">
        <f t="shared" si="33"/>
        <v/>
      </c>
      <c r="G72" s="81" t="str">
        <f t="shared" si="33"/>
        <v/>
      </c>
      <c r="H72" s="81" t="str">
        <f t="shared" si="33"/>
        <v/>
      </c>
      <c r="I72" s="81" t="str">
        <f t="shared" si="33"/>
        <v/>
      </c>
      <c r="J72" s="81" t="str">
        <f t="shared" si="33"/>
        <v/>
      </c>
      <c r="K72" s="81" t="str">
        <f t="shared" si="33"/>
        <v/>
      </c>
      <c r="L72" s="81" t="str">
        <f t="shared" si="33"/>
        <v/>
      </c>
      <c r="M72" s="81" t="str">
        <f t="shared" si="33"/>
        <v/>
      </c>
      <c r="N72" s="197" t="str">
        <f t="shared" si="33"/>
        <v/>
      </c>
      <c r="Z72" t="str">
        <f t="shared" si="28"/>
        <v/>
      </c>
      <c r="AB72" s="171" t="str">
        <f t="shared" si="29"/>
        <v/>
      </c>
    </row>
    <row r="73" spans="1:28" x14ac:dyDescent="0.15">
      <c r="A73" s="186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197"/>
      <c r="Z73" t="str">
        <f t="shared" si="28"/>
        <v/>
      </c>
      <c r="AB73" s="171" t="str">
        <f t="shared" si="29"/>
        <v/>
      </c>
    </row>
    <row r="74" spans="1:28" x14ac:dyDescent="0.15">
      <c r="A74" s="186"/>
      <c r="B74" s="17" t="s">
        <v>1</v>
      </c>
      <c r="C74" s="17" t="s">
        <v>1</v>
      </c>
      <c r="D74" s="17" t="s">
        <v>1</v>
      </c>
      <c r="E74" s="17" t="s">
        <v>1</v>
      </c>
      <c r="F74" s="17" t="s">
        <v>1</v>
      </c>
      <c r="G74" s="17" t="s">
        <v>1</v>
      </c>
      <c r="H74" s="17" t="s">
        <v>1</v>
      </c>
      <c r="I74" s="17" t="s">
        <v>1</v>
      </c>
      <c r="J74" s="17" t="s">
        <v>1</v>
      </c>
      <c r="K74" s="17" t="s">
        <v>1</v>
      </c>
      <c r="L74" s="17" t="s">
        <v>1</v>
      </c>
      <c r="M74" s="17" t="s">
        <v>1</v>
      </c>
      <c r="N74" s="196" t="s">
        <v>1</v>
      </c>
      <c r="Z74" t="str">
        <f t="shared" si="28"/>
        <v/>
      </c>
      <c r="AB74" s="171" t="str">
        <f t="shared" si="29"/>
        <v/>
      </c>
    </row>
    <row r="75" spans="1:28" x14ac:dyDescent="0.15">
      <c r="A75" s="186"/>
      <c r="B75" s="17">
        <v>92</v>
      </c>
      <c r="C75" s="17">
        <f t="shared" ref="C75:N75" si="34">B75+1</f>
        <v>93</v>
      </c>
      <c r="D75" s="17">
        <f t="shared" si="34"/>
        <v>94</v>
      </c>
      <c r="E75" s="17">
        <f t="shared" si="34"/>
        <v>95</v>
      </c>
      <c r="F75" s="17">
        <f t="shared" si="34"/>
        <v>96</v>
      </c>
      <c r="G75" s="17">
        <f t="shared" si="34"/>
        <v>97</v>
      </c>
      <c r="H75" s="17">
        <f t="shared" si="34"/>
        <v>98</v>
      </c>
      <c r="I75" s="17">
        <f t="shared" si="34"/>
        <v>99</v>
      </c>
      <c r="J75" s="17">
        <f t="shared" si="34"/>
        <v>100</v>
      </c>
      <c r="K75" s="17">
        <f t="shared" si="34"/>
        <v>101</v>
      </c>
      <c r="L75" s="17">
        <f t="shared" si="34"/>
        <v>102</v>
      </c>
      <c r="M75" s="17">
        <f t="shared" si="34"/>
        <v>103</v>
      </c>
      <c r="N75" s="196">
        <f t="shared" si="34"/>
        <v>104</v>
      </c>
      <c r="Z75" t="str">
        <f t="shared" si="28"/>
        <v/>
      </c>
      <c r="AB75" s="171" t="str">
        <f t="shared" si="29"/>
        <v/>
      </c>
    </row>
    <row r="76" spans="1:28" x14ac:dyDescent="0.15">
      <c r="A76" s="186"/>
      <c r="B76" s="81" t="e">
        <f t="shared" ref="B76:N76" si="35">DAVERAGE(RatioData,"Ratio",B74:B75)</f>
        <v>#DIV/0!</v>
      </c>
      <c r="C76" s="81" t="e">
        <f t="shared" si="35"/>
        <v>#DIV/0!</v>
      </c>
      <c r="D76" s="81" t="e">
        <f t="shared" si="35"/>
        <v>#DIV/0!</v>
      </c>
      <c r="E76" s="81" t="e">
        <f t="shared" si="35"/>
        <v>#DIV/0!</v>
      </c>
      <c r="F76" s="81" t="e">
        <f t="shared" si="35"/>
        <v>#DIV/0!</v>
      </c>
      <c r="G76" s="81" t="e">
        <f t="shared" si="35"/>
        <v>#DIV/0!</v>
      </c>
      <c r="H76" s="81" t="e">
        <f t="shared" si="35"/>
        <v>#DIV/0!</v>
      </c>
      <c r="I76" s="81" t="e">
        <f t="shared" si="35"/>
        <v>#DIV/0!</v>
      </c>
      <c r="J76" s="81" t="e">
        <f t="shared" si="35"/>
        <v>#DIV/0!</v>
      </c>
      <c r="K76" s="81" t="e">
        <f t="shared" si="35"/>
        <v>#DIV/0!</v>
      </c>
      <c r="L76" s="81" t="e">
        <f t="shared" si="35"/>
        <v>#DIV/0!</v>
      </c>
      <c r="M76" s="81" t="e">
        <f t="shared" si="35"/>
        <v>#DIV/0!</v>
      </c>
      <c r="N76" s="197" t="e">
        <f t="shared" si="35"/>
        <v>#DIV/0!</v>
      </c>
      <c r="Z76" t="str">
        <f t="shared" si="28"/>
        <v/>
      </c>
      <c r="AB76" s="171" t="str">
        <f t="shared" si="29"/>
        <v/>
      </c>
    </row>
    <row r="77" spans="1:28" x14ac:dyDescent="0.15">
      <c r="A77" s="186"/>
      <c r="B77" s="76" t="e">
        <f t="shared" ref="B77:N77" si="36">DSTDEV(RatioData,"Ratio",B74:B75)/B76</f>
        <v>#DIV/0!</v>
      </c>
      <c r="C77" s="76" t="e">
        <f t="shared" si="36"/>
        <v>#DIV/0!</v>
      </c>
      <c r="D77" s="76" t="e">
        <f t="shared" si="36"/>
        <v>#DIV/0!</v>
      </c>
      <c r="E77" s="76" t="e">
        <f t="shared" si="36"/>
        <v>#DIV/0!</v>
      </c>
      <c r="F77" s="76" t="e">
        <f t="shared" si="36"/>
        <v>#DIV/0!</v>
      </c>
      <c r="G77" s="76" t="e">
        <f t="shared" si="36"/>
        <v>#DIV/0!</v>
      </c>
      <c r="H77" s="76" t="e">
        <f t="shared" si="36"/>
        <v>#DIV/0!</v>
      </c>
      <c r="I77" s="76" t="e">
        <f t="shared" si="36"/>
        <v>#DIV/0!</v>
      </c>
      <c r="J77" s="76" t="e">
        <f t="shared" si="36"/>
        <v>#DIV/0!</v>
      </c>
      <c r="K77" s="76" t="e">
        <f t="shared" si="36"/>
        <v>#DIV/0!</v>
      </c>
      <c r="L77" s="76" t="e">
        <f t="shared" si="36"/>
        <v>#DIV/0!</v>
      </c>
      <c r="M77" s="76" t="e">
        <f t="shared" si="36"/>
        <v>#DIV/0!</v>
      </c>
      <c r="N77" s="198" t="e">
        <f t="shared" si="36"/>
        <v>#DIV/0!</v>
      </c>
      <c r="Z77" t="str">
        <f t="shared" si="28"/>
        <v/>
      </c>
      <c r="AB77" s="171" t="str">
        <f t="shared" si="29"/>
        <v/>
      </c>
    </row>
    <row r="78" spans="1:28" x14ac:dyDescent="0.15">
      <c r="A78" s="186"/>
      <c r="B78" s="81" t="str">
        <f t="shared" ref="B78:N78" si="37">IF(ISNUMBER(B76),B76,"")</f>
        <v/>
      </c>
      <c r="C78" s="81" t="str">
        <f t="shared" si="37"/>
        <v/>
      </c>
      <c r="D78" s="81" t="str">
        <f t="shared" si="37"/>
        <v/>
      </c>
      <c r="E78" s="81" t="str">
        <f t="shared" si="37"/>
        <v/>
      </c>
      <c r="F78" s="81" t="str">
        <f t="shared" si="37"/>
        <v/>
      </c>
      <c r="G78" s="81" t="str">
        <f t="shared" si="37"/>
        <v/>
      </c>
      <c r="H78" s="81" t="str">
        <f t="shared" si="37"/>
        <v/>
      </c>
      <c r="I78" s="81" t="str">
        <f t="shared" si="37"/>
        <v/>
      </c>
      <c r="J78" s="81" t="str">
        <f t="shared" si="37"/>
        <v/>
      </c>
      <c r="K78" s="81" t="str">
        <f t="shared" si="37"/>
        <v/>
      </c>
      <c r="L78" s="81" t="str">
        <f t="shared" si="37"/>
        <v/>
      </c>
      <c r="M78" s="81" t="str">
        <f t="shared" si="37"/>
        <v/>
      </c>
      <c r="N78" s="197" t="str">
        <f t="shared" si="37"/>
        <v/>
      </c>
      <c r="Z78" t="str">
        <f t="shared" si="28"/>
        <v/>
      </c>
      <c r="AB78" s="171" t="str">
        <f t="shared" si="29"/>
        <v/>
      </c>
    </row>
    <row r="79" spans="1:28" x14ac:dyDescent="0.15">
      <c r="A79" s="186"/>
      <c r="G79" s="17"/>
      <c r="N79" s="188"/>
      <c r="Z79" t="str">
        <f t="shared" si="28"/>
        <v/>
      </c>
      <c r="AB79" s="171" t="str">
        <f t="shared" si="29"/>
        <v/>
      </c>
    </row>
    <row r="80" spans="1:28" x14ac:dyDescent="0.15">
      <c r="A80" s="186"/>
      <c r="B80" s="17" t="s">
        <v>1</v>
      </c>
      <c r="C80" s="17" t="s">
        <v>1</v>
      </c>
      <c r="D80" s="17" t="s">
        <v>1</v>
      </c>
      <c r="E80" s="17" t="s">
        <v>1</v>
      </c>
      <c r="F80" s="17" t="s">
        <v>1</v>
      </c>
      <c r="G80" s="17" t="s">
        <v>1</v>
      </c>
      <c r="H80" s="17" t="s">
        <v>1</v>
      </c>
      <c r="I80" s="17" t="s">
        <v>1</v>
      </c>
      <c r="J80" s="17" t="s">
        <v>1</v>
      </c>
      <c r="K80" s="17" t="s">
        <v>1</v>
      </c>
      <c r="L80" s="17" t="s">
        <v>1</v>
      </c>
      <c r="M80" s="17" t="s">
        <v>1</v>
      </c>
      <c r="N80" s="196" t="s">
        <v>1</v>
      </c>
      <c r="Z80" t="str">
        <f t="shared" si="28"/>
        <v/>
      </c>
      <c r="AB80" s="171" t="str">
        <f t="shared" si="29"/>
        <v/>
      </c>
    </row>
    <row r="81" spans="1:28" x14ac:dyDescent="0.15">
      <c r="A81" s="186"/>
      <c r="B81" s="17">
        <v>105</v>
      </c>
      <c r="C81" s="17">
        <f t="shared" ref="C81:N81" si="38">B81+1</f>
        <v>106</v>
      </c>
      <c r="D81" s="17">
        <f t="shared" si="38"/>
        <v>107</v>
      </c>
      <c r="E81" s="17">
        <f t="shared" si="38"/>
        <v>108</v>
      </c>
      <c r="F81" s="17">
        <f t="shared" si="38"/>
        <v>109</v>
      </c>
      <c r="G81" s="17">
        <f t="shared" si="38"/>
        <v>110</v>
      </c>
      <c r="H81" s="17">
        <f t="shared" si="38"/>
        <v>111</v>
      </c>
      <c r="I81" s="17">
        <f t="shared" si="38"/>
        <v>112</v>
      </c>
      <c r="J81" s="17">
        <f t="shared" si="38"/>
        <v>113</v>
      </c>
      <c r="K81" s="17">
        <f t="shared" si="38"/>
        <v>114</v>
      </c>
      <c r="L81" s="17">
        <f t="shared" si="38"/>
        <v>115</v>
      </c>
      <c r="M81" s="17">
        <f t="shared" si="38"/>
        <v>116</v>
      </c>
      <c r="N81" s="196">
        <f t="shared" si="38"/>
        <v>117</v>
      </c>
      <c r="Z81" t="str">
        <f t="shared" si="28"/>
        <v/>
      </c>
      <c r="AB81" s="171" t="str">
        <f t="shared" si="29"/>
        <v/>
      </c>
    </row>
    <row r="82" spans="1:28" x14ac:dyDescent="0.15">
      <c r="A82" s="186"/>
      <c r="B82" s="81" t="e">
        <f t="shared" ref="B82:N82" si="39">DAVERAGE(RatioData,"Ratio",B80:B81)</f>
        <v>#DIV/0!</v>
      </c>
      <c r="C82" s="81" t="e">
        <f t="shared" si="39"/>
        <v>#DIV/0!</v>
      </c>
      <c r="D82" s="81" t="e">
        <f t="shared" si="39"/>
        <v>#DIV/0!</v>
      </c>
      <c r="E82" s="81" t="e">
        <f t="shared" si="39"/>
        <v>#DIV/0!</v>
      </c>
      <c r="F82" s="81" t="e">
        <f t="shared" si="39"/>
        <v>#DIV/0!</v>
      </c>
      <c r="G82" s="81" t="e">
        <f t="shared" si="39"/>
        <v>#DIV/0!</v>
      </c>
      <c r="H82" s="81" t="e">
        <f t="shared" si="39"/>
        <v>#DIV/0!</v>
      </c>
      <c r="I82" s="81" t="e">
        <f t="shared" si="39"/>
        <v>#DIV/0!</v>
      </c>
      <c r="J82" s="81" t="e">
        <f t="shared" si="39"/>
        <v>#DIV/0!</v>
      </c>
      <c r="K82" s="81" t="e">
        <f t="shared" si="39"/>
        <v>#DIV/0!</v>
      </c>
      <c r="L82" s="81" t="e">
        <f t="shared" si="39"/>
        <v>#DIV/0!</v>
      </c>
      <c r="M82" s="81" t="e">
        <f t="shared" si="39"/>
        <v>#DIV/0!</v>
      </c>
      <c r="N82" s="197" t="e">
        <f t="shared" si="39"/>
        <v>#DIV/0!</v>
      </c>
      <c r="Z82" t="str">
        <f t="shared" si="28"/>
        <v/>
      </c>
      <c r="AB82" s="171" t="str">
        <f t="shared" si="29"/>
        <v/>
      </c>
    </row>
    <row r="83" spans="1:28" x14ac:dyDescent="0.15">
      <c r="A83" s="186"/>
      <c r="B83" s="76" t="e">
        <f t="shared" ref="B83:N83" si="40">DSTDEV(RatioData,"Ratio",B80:B81)/B82</f>
        <v>#DIV/0!</v>
      </c>
      <c r="C83" s="76" t="e">
        <f t="shared" si="40"/>
        <v>#DIV/0!</v>
      </c>
      <c r="D83" s="76" t="e">
        <f t="shared" si="40"/>
        <v>#DIV/0!</v>
      </c>
      <c r="E83" s="76" t="e">
        <f t="shared" si="40"/>
        <v>#DIV/0!</v>
      </c>
      <c r="F83" s="76" t="e">
        <f t="shared" si="40"/>
        <v>#DIV/0!</v>
      </c>
      <c r="G83" s="76" t="e">
        <f t="shared" si="40"/>
        <v>#DIV/0!</v>
      </c>
      <c r="H83" s="76" t="e">
        <f t="shared" si="40"/>
        <v>#DIV/0!</v>
      </c>
      <c r="I83" s="76" t="e">
        <f t="shared" si="40"/>
        <v>#DIV/0!</v>
      </c>
      <c r="J83" s="76" t="e">
        <f t="shared" si="40"/>
        <v>#DIV/0!</v>
      </c>
      <c r="K83" s="76" t="e">
        <f t="shared" si="40"/>
        <v>#DIV/0!</v>
      </c>
      <c r="L83" s="76" t="e">
        <f t="shared" si="40"/>
        <v>#DIV/0!</v>
      </c>
      <c r="M83" s="76" t="e">
        <f t="shared" si="40"/>
        <v>#DIV/0!</v>
      </c>
      <c r="N83" s="198" t="e">
        <f t="shared" si="40"/>
        <v>#DIV/0!</v>
      </c>
      <c r="Z83" t="str">
        <f t="shared" si="28"/>
        <v/>
      </c>
      <c r="AB83" s="171" t="str">
        <f t="shared" si="29"/>
        <v/>
      </c>
    </row>
    <row r="84" spans="1:28" x14ac:dyDescent="0.15">
      <c r="A84" s="186"/>
      <c r="B84" s="81" t="str">
        <f t="shared" ref="B84:N84" si="41">IF(ISNUMBER(B82),B82,"")</f>
        <v/>
      </c>
      <c r="C84" s="81" t="str">
        <f t="shared" si="41"/>
        <v/>
      </c>
      <c r="D84" s="81" t="str">
        <f t="shared" si="41"/>
        <v/>
      </c>
      <c r="E84" s="81" t="str">
        <f t="shared" si="41"/>
        <v/>
      </c>
      <c r="F84" s="81" t="str">
        <f t="shared" si="41"/>
        <v/>
      </c>
      <c r="G84" s="81" t="str">
        <f t="shared" si="41"/>
        <v/>
      </c>
      <c r="H84" s="81" t="str">
        <f t="shared" si="41"/>
        <v/>
      </c>
      <c r="I84" s="81" t="str">
        <f t="shared" si="41"/>
        <v/>
      </c>
      <c r="J84" s="81" t="str">
        <f t="shared" si="41"/>
        <v/>
      </c>
      <c r="K84" s="81" t="str">
        <f t="shared" si="41"/>
        <v/>
      </c>
      <c r="L84" s="81" t="str">
        <f t="shared" si="41"/>
        <v/>
      </c>
      <c r="M84" s="81" t="str">
        <f t="shared" si="41"/>
        <v/>
      </c>
      <c r="N84" s="197" t="str">
        <f t="shared" si="41"/>
        <v/>
      </c>
      <c r="Z84" t="str">
        <f t="shared" si="28"/>
        <v/>
      </c>
      <c r="AB84" s="171" t="str">
        <f t="shared" si="29"/>
        <v/>
      </c>
    </row>
    <row r="85" spans="1:28" x14ac:dyDescent="0.15">
      <c r="A85" s="186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197"/>
      <c r="Z85" t="str">
        <f t="shared" si="28"/>
        <v/>
      </c>
      <c r="AB85" s="171" t="str">
        <f t="shared" si="29"/>
        <v/>
      </c>
    </row>
    <row r="86" spans="1:28" x14ac:dyDescent="0.15">
      <c r="A86" s="186"/>
      <c r="B86" s="17" t="s">
        <v>1</v>
      </c>
      <c r="C86" s="17" t="s">
        <v>1</v>
      </c>
      <c r="D86" s="17" t="s">
        <v>1</v>
      </c>
      <c r="E86" s="17" t="s">
        <v>1</v>
      </c>
      <c r="F86" s="17" t="s">
        <v>1</v>
      </c>
      <c r="G86" s="17" t="s">
        <v>1</v>
      </c>
      <c r="H86" s="17" t="s">
        <v>1</v>
      </c>
      <c r="I86" s="17" t="s">
        <v>1</v>
      </c>
      <c r="J86" s="17" t="s">
        <v>1</v>
      </c>
      <c r="K86" s="17" t="s">
        <v>1</v>
      </c>
      <c r="L86" s="17" t="s">
        <v>1</v>
      </c>
      <c r="M86" s="17" t="s">
        <v>1</v>
      </c>
      <c r="N86" s="196" t="s">
        <v>1</v>
      </c>
      <c r="Z86" t="str">
        <f t="shared" si="28"/>
        <v/>
      </c>
      <c r="AB86" s="171" t="str">
        <f t="shared" si="29"/>
        <v/>
      </c>
    </row>
    <row r="87" spans="1:28" x14ac:dyDescent="0.15">
      <c r="A87" s="186"/>
      <c r="B87" s="17">
        <v>118</v>
      </c>
      <c r="C87" s="17">
        <f t="shared" ref="C87:N87" si="42">B87+1</f>
        <v>119</v>
      </c>
      <c r="D87" s="17">
        <f t="shared" si="42"/>
        <v>120</v>
      </c>
      <c r="E87" s="17">
        <f t="shared" si="42"/>
        <v>121</v>
      </c>
      <c r="F87" s="17">
        <f t="shared" si="42"/>
        <v>122</v>
      </c>
      <c r="G87" s="17">
        <f t="shared" si="42"/>
        <v>123</v>
      </c>
      <c r="H87" s="17">
        <f t="shared" si="42"/>
        <v>124</v>
      </c>
      <c r="I87" s="17">
        <f t="shared" si="42"/>
        <v>125</v>
      </c>
      <c r="J87" s="17">
        <f t="shared" si="42"/>
        <v>126</v>
      </c>
      <c r="K87" s="17">
        <f t="shared" si="42"/>
        <v>127</v>
      </c>
      <c r="L87" s="17">
        <f t="shared" si="42"/>
        <v>128</v>
      </c>
      <c r="M87" s="17">
        <f t="shared" si="42"/>
        <v>129</v>
      </c>
      <c r="N87" s="196">
        <f t="shared" si="42"/>
        <v>130</v>
      </c>
      <c r="Z87" t="str">
        <f t="shared" si="28"/>
        <v/>
      </c>
      <c r="AB87" s="171" t="str">
        <f t="shared" si="29"/>
        <v/>
      </c>
    </row>
    <row r="88" spans="1:28" x14ac:dyDescent="0.15">
      <c r="A88" s="186"/>
      <c r="B88" s="81" t="e">
        <f t="shared" ref="B88:N88" si="43">DAVERAGE(RatioData,"Ratio",B86:B87)</f>
        <v>#DIV/0!</v>
      </c>
      <c r="C88" s="81" t="e">
        <f t="shared" si="43"/>
        <v>#DIV/0!</v>
      </c>
      <c r="D88" s="81" t="e">
        <f t="shared" si="43"/>
        <v>#DIV/0!</v>
      </c>
      <c r="E88" s="81" t="e">
        <f t="shared" si="43"/>
        <v>#DIV/0!</v>
      </c>
      <c r="F88" s="81" t="e">
        <f t="shared" si="43"/>
        <v>#DIV/0!</v>
      </c>
      <c r="G88" s="81" t="e">
        <f t="shared" si="43"/>
        <v>#DIV/0!</v>
      </c>
      <c r="H88" s="81" t="e">
        <f t="shared" si="43"/>
        <v>#DIV/0!</v>
      </c>
      <c r="I88" s="81" t="e">
        <f t="shared" si="43"/>
        <v>#DIV/0!</v>
      </c>
      <c r="J88" s="81" t="e">
        <f t="shared" si="43"/>
        <v>#DIV/0!</v>
      </c>
      <c r="K88" s="81" t="e">
        <f t="shared" si="43"/>
        <v>#DIV/0!</v>
      </c>
      <c r="L88" s="81" t="e">
        <f t="shared" si="43"/>
        <v>#DIV/0!</v>
      </c>
      <c r="M88" s="81" t="e">
        <f t="shared" si="43"/>
        <v>#DIV/0!</v>
      </c>
      <c r="N88" s="197" t="e">
        <f t="shared" si="43"/>
        <v>#DIV/0!</v>
      </c>
      <c r="Z88" t="str">
        <f t="shared" si="28"/>
        <v/>
      </c>
      <c r="AB88" s="171" t="str">
        <f t="shared" si="29"/>
        <v/>
      </c>
    </row>
    <row r="89" spans="1:28" x14ac:dyDescent="0.15">
      <c r="A89" s="186"/>
      <c r="B89" s="76" t="e">
        <f t="shared" ref="B89:N89" si="44">DSTDEV(RatioData,"Ratio",B86:B87)/B88</f>
        <v>#DIV/0!</v>
      </c>
      <c r="C89" s="76" t="e">
        <f t="shared" si="44"/>
        <v>#DIV/0!</v>
      </c>
      <c r="D89" s="76" t="e">
        <f t="shared" si="44"/>
        <v>#DIV/0!</v>
      </c>
      <c r="E89" s="76" t="e">
        <f t="shared" si="44"/>
        <v>#DIV/0!</v>
      </c>
      <c r="F89" s="76" t="e">
        <f t="shared" si="44"/>
        <v>#DIV/0!</v>
      </c>
      <c r="G89" s="76" t="e">
        <f t="shared" si="44"/>
        <v>#DIV/0!</v>
      </c>
      <c r="H89" s="76" t="e">
        <f t="shared" si="44"/>
        <v>#DIV/0!</v>
      </c>
      <c r="I89" s="76" t="e">
        <f t="shared" si="44"/>
        <v>#DIV/0!</v>
      </c>
      <c r="J89" s="76" t="e">
        <f t="shared" si="44"/>
        <v>#DIV/0!</v>
      </c>
      <c r="K89" s="76" t="e">
        <f t="shared" si="44"/>
        <v>#DIV/0!</v>
      </c>
      <c r="L89" s="76" t="e">
        <f t="shared" si="44"/>
        <v>#DIV/0!</v>
      </c>
      <c r="M89" s="76" t="e">
        <f t="shared" si="44"/>
        <v>#DIV/0!</v>
      </c>
      <c r="N89" s="198" t="e">
        <f t="shared" si="44"/>
        <v>#DIV/0!</v>
      </c>
      <c r="Z89" t="str">
        <f t="shared" si="28"/>
        <v/>
      </c>
      <c r="AB89" s="171" t="str">
        <f t="shared" si="29"/>
        <v/>
      </c>
    </row>
    <row r="90" spans="1:28" x14ac:dyDescent="0.15">
      <c r="A90" s="186"/>
      <c r="B90" s="81" t="str">
        <f t="shared" ref="B90:N90" si="45">IF(ISNUMBER(B88),B88,"")</f>
        <v/>
      </c>
      <c r="C90" s="81" t="str">
        <f t="shared" si="45"/>
        <v/>
      </c>
      <c r="D90" s="81" t="str">
        <f t="shared" si="45"/>
        <v/>
      </c>
      <c r="E90" s="81" t="str">
        <f t="shared" si="45"/>
        <v/>
      </c>
      <c r="F90" s="81" t="str">
        <f t="shared" si="45"/>
        <v/>
      </c>
      <c r="G90" s="81" t="str">
        <f t="shared" si="45"/>
        <v/>
      </c>
      <c r="H90" s="81" t="str">
        <f t="shared" si="45"/>
        <v/>
      </c>
      <c r="I90" s="81" t="str">
        <f t="shared" si="45"/>
        <v/>
      </c>
      <c r="J90" s="81" t="str">
        <f t="shared" si="45"/>
        <v/>
      </c>
      <c r="K90" s="81" t="str">
        <f t="shared" si="45"/>
        <v/>
      </c>
      <c r="L90" s="81" t="str">
        <f t="shared" si="45"/>
        <v/>
      </c>
      <c r="M90" s="81" t="str">
        <f t="shared" si="45"/>
        <v/>
      </c>
      <c r="N90" s="197" t="str">
        <f t="shared" si="45"/>
        <v/>
      </c>
      <c r="Z90" t="str">
        <f t="shared" si="28"/>
        <v/>
      </c>
      <c r="AB90" s="171" t="str">
        <f t="shared" si="29"/>
        <v/>
      </c>
    </row>
    <row r="91" spans="1:28" x14ac:dyDescent="0.15">
      <c r="A91" s="186"/>
      <c r="G91" s="17"/>
      <c r="N91" s="188"/>
      <c r="Z91" t="str">
        <f t="shared" si="28"/>
        <v/>
      </c>
      <c r="AB91" s="171" t="str">
        <f t="shared" si="29"/>
        <v/>
      </c>
    </row>
    <row r="92" spans="1:28" x14ac:dyDescent="0.15">
      <c r="A92" s="1"/>
      <c r="B92" s="1" t="s">
        <v>137</v>
      </c>
      <c r="C92" s="173" t="e">
        <f>AVERAGE($B$36:$N$36,$B$42:$N$42,$B$48:$N$48,$B$54:$N$54,$B$60:$N$60,$B$66:$N$66,$B$72:$N$72,$B$78:$N$78,$B$84:$N$84,$B$90:$N$90)</f>
        <v>#DIV/0!</v>
      </c>
      <c r="G92" s="17"/>
      <c r="N92" s="188"/>
      <c r="Z92" t="str">
        <f t="shared" si="28"/>
        <v/>
      </c>
      <c r="AB92" s="171" t="str">
        <f t="shared" si="29"/>
        <v/>
      </c>
    </row>
    <row r="93" spans="1:28" x14ac:dyDescent="0.15">
      <c r="A93" s="1"/>
      <c r="B93" s="1" t="s">
        <v>138</v>
      </c>
      <c r="C93" s="173" t="e">
        <f>STDEV($B$36:$N$36,$B$42:$N$42,$B$48:$N$48,$B$54:$N$54,$B$60:$N$60,$B$66:$N$66,$B$72:$N$72,$B$78:$N$78,$B$84:$N$84,$B$90:$N$90)</f>
        <v>#DIV/0!</v>
      </c>
      <c r="G93" s="17"/>
      <c r="N93" s="188"/>
      <c r="Z93" t="str">
        <f t="shared" si="28"/>
        <v/>
      </c>
      <c r="AB93" s="171" t="str">
        <f t="shared" si="29"/>
        <v/>
      </c>
    </row>
    <row r="94" spans="1:28" x14ac:dyDescent="0.15">
      <c r="A94" s="1"/>
      <c r="B94" s="1" t="s">
        <v>139</v>
      </c>
      <c r="C94" s="199">
        <f>COUNT($B$36:$N$36,$B$42:$N$42,$B$48:$N$48,$B$54:$N$54,$B$60:$N$60,$B$66:$N$66,$B$72:$N$72,$B$78:$N$78,$B$84:$N$84,$B$90:$N$90)</f>
        <v>0</v>
      </c>
      <c r="G94" s="17"/>
      <c r="N94" s="188"/>
      <c r="Z94" t="str">
        <f t="shared" si="28"/>
        <v/>
      </c>
      <c r="AB94" s="171" t="str">
        <f t="shared" si="29"/>
        <v/>
      </c>
    </row>
    <row r="95" spans="1:28" ht="12" x14ac:dyDescent="0.15">
      <c r="A95" s="189"/>
      <c r="B95" s="189" t="s">
        <v>140</v>
      </c>
      <c r="C95" s="173" t="e">
        <f>C93/SQRT(C94)</f>
        <v>#DIV/0!</v>
      </c>
      <c r="G95" s="17"/>
      <c r="N95" s="188"/>
      <c r="Z95" t="str">
        <f t="shared" si="28"/>
        <v/>
      </c>
      <c r="AB95" s="171" t="str">
        <f t="shared" si="29"/>
        <v/>
      </c>
    </row>
    <row r="96" spans="1:28" ht="12" x14ac:dyDescent="0.15">
      <c r="A96" s="190"/>
      <c r="B96" s="190" t="s">
        <v>141</v>
      </c>
      <c r="C96" s="200">
        <f>C94-1</f>
        <v>-1</v>
      </c>
      <c r="D96" s="191"/>
      <c r="E96" s="191"/>
      <c r="F96" s="191"/>
      <c r="G96" s="192"/>
      <c r="H96" s="191"/>
      <c r="I96" s="191"/>
      <c r="J96" s="191"/>
      <c r="K96" s="191"/>
      <c r="L96" s="191"/>
      <c r="M96" s="191"/>
      <c r="N96" s="193"/>
      <c r="Z96" t="str">
        <f t="shared" si="28"/>
        <v/>
      </c>
      <c r="AB96" s="171" t="str">
        <f t="shared" si="29"/>
        <v/>
      </c>
    </row>
    <row r="97" spans="1:28" x14ac:dyDescent="0.15">
      <c r="G97" s="17"/>
      <c r="Z97" t="str">
        <f t="shared" si="28"/>
        <v/>
      </c>
      <c r="AB97" s="171" t="str">
        <f t="shared" si="29"/>
        <v/>
      </c>
    </row>
    <row r="98" spans="1:28" x14ac:dyDescent="0.15">
      <c r="G98" s="17"/>
      <c r="Z98" t="str">
        <f t="shared" si="28"/>
        <v/>
      </c>
      <c r="AB98" s="171" t="str">
        <f t="shared" si="29"/>
        <v/>
      </c>
    </row>
    <row r="99" spans="1:28" x14ac:dyDescent="0.15">
      <c r="A99" s="201" t="s">
        <v>143</v>
      </c>
      <c r="B99" s="184"/>
      <c r="C99" s="184"/>
      <c r="D99" s="184"/>
      <c r="E99" s="184"/>
      <c r="F99" s="184"/>
      <c r="G99" s="195"/>
      <c r="H99" s="184"/>
      <c r="I99" s="184"/>
      <c r="J99" s="184"/>
      <c r="K99" s="184"/>
      <c r="L99" s="184"/>
      <c r="M99" s="184"/>
      <c r="N99" s="185"/>
      <c r="Z99" t="str">
        <f t="shared" ref="Z99:Z130" si="46">IF(ISNUMBER(AA99),AA99^2,"")</f>
        <v/>
      </c>
      <c r="AB99" s="171" t="str">
        <f t="shared" ref="AB99:AB130" si="47">IF(ISNUMBER(AA99),Z99/SUM(Z$3:Z$200),"")</f>
        <v/>
      </c>
    </row>
    <row r="100" spans="1:28" x14ac:dyDescent="0.15">
      <c r="A100" s="186"/>
      <c r="G100" s="17"/>
      <c r="N100" s="188"/>
      <c r="Z100" t="str">
        <f t="shared" si="46"/>
        <v/>
      </c>
      <c r="AB100" s="171" t="str">
        <f t="shared" si="47"/>
        <v/>
      </c>
    </row>
    <row r="101" spans="1:28" x14ac:dyDescent="0.15">
      <c r="A101" s="186"/>
      <c r="B101" t="s">
        <v>6</v>
      </c>
      <c r="C101" t="s">
        <v>6</v>
      </c>
      <c r="D101" t="s">
        <v>6</v>
      </c>
      <c r="E101" t="s">
        <v>6</v>
      </c>
      <c r="F101" t="s">
        <v>6</v>
      </c>
      <c r="G101" t="s">
        <v>6</v>
      </c>
      <c r="H101" t="s">
        <v>6</v>
      </c>
      <c r="I101" t="s">
        <v>6</v>
      </c>
      <c r="J101" t="s">
        <v>6</v>
      </c>
      <c r="K101" t="s">
        <v>6</v>
      </c>
      <c r="L101" t="s">
        <v>6</v>
      </c>
      <c r="M101" t="s">
        <v>6</v>
      </c>
      <c r="N101" s="188"/>
      <c r="Z101" t="str">
        <f t="shared" si="46"/>
        <v/>
      </c>
      <c r="AB101" s="171" t="str">
        <f t="shared" si="47"/>
        <v/>
      </c>
    </row>
    <row r="102" spans="1:28" x14ac:dyDescent="0.15">
      <c r="A102" s="186"/>
      <c r="B102">
        <v>1</v>
      </c>
      <c r="C102">
        <v>2</v>
      </c>
      <c r="D102">
        <v>3</v>
      </c>
      <c r="E102">
        <v>4</v>
      </c>
      <c r="F102">
        <v>5</v>
      </c>
      <c r="G102">
        <v>6</v>
      </c>
      <c r="H102">
        <v>7</v>
      </c>
      <c r="I102">
        <v>8</v>
      </c>
      <c r="J102">
        <v>9</v>
      </c>
      <c r="K102">
        <v>10</v>
      </c>
      <c r="L102">
        <v>11</v>
      </c>
      <c r="M102">
        <v>12</v>
      </c>
      <c r="N102" s="188"/>
      <c r="Z102" t="str">
        <f t="shared" si="46"/>
        <v/>
      </c>
      <c r="AB102" s="171" t="str">
        <f t="shared" si="47"/>
        <v/>
      </c>
    </row>
    <row r="103" spans="1:28" x14ac:dyDescent="0.15">
      <c r="A103" s="186"/>
      <c r="B103" s="202" t="str">
        <f t="shared" ref="B103:M103" si="48">IF(ISNUMBER(DAVERAGE(RatioData,"Ratio",B101:B102)),DAVERAGE(RatioData,"Ratio",B101:B102),"")</f>
        <v/>
      </c>
      <c r="C103" s="202" t="str">
        <f t="shared" si="48"/>
        <v/>
      </c>
      <c r="D103" s="202" t="str">
        <f t="shared" si="48"/>
        <v/>
      </c>
      <c r="E103" s="202" t="str">
        <f t="shared" si="48"/>
        <v/>
      </c>
      <c r="F103" s="202" t="str">
        <f t="shared" si="48"/>
        <v/>
      </c>
      <c r="G103" s="202" t="str">
        <f t="shared" si="48"/>
        <v/>
      </c>
      <c r="H103" s="202" t="str">
        <f t="shared" si="48"/>
        <v/>
      </c>
      <c r="I103" s="202" t="str">
        <f t="shared" si="48"/>
        <v/>
      </c>
      <c r="J103" s="202" t="str">
        <f t="shared" si="48"/>
        <v/>
      </c>
      <c r="K103" s="202" t="str">
        <f t="shared" si="48"/>
        <v/>
      </c>
      <c r="L103" s="202" t="str">
        <f t="shared" si="48"/>
        <v/>
      </c>
      <c r="M103" s="202" t="str">
        <f t="shared" si="48"/>
        <v/>
      </c>
      <c r="N103" s="188"/>
      <c r="Z103" t="str">
        <f t="shared" si="46"/>
        <v/>
      </c>
      <c r="AB103" s="171" t="str">
        <f t="shared" si="47"/>
        <v/>
      </c>
    </row>
    <row r="104" spans="1:28" x14ac:dyDescent="0.15">
      <c r="A104" s="186"/>
      <c r="G104" s="17"/>
      <c r="N104" s="188"/>
      <c r="Z104" t="str">
        <f t="shared" si="46"/>
        <v/>
      </c>
      <c r="AB104" s="171" t="str">
        <f t="shared" si="47"/>
        <v/>
      </c>
    </row>
    <row r="105" spans="1:28" x14ac:dyDescent="0.15">
      <c r="A105" s="186"/>
      <c r="B105" s="1" t="s">
        <v>137</v>
      </c>
      <c r="C105" s="203" t="e">
        <f>AVERAGE(B103:N103)</f>
        <v>#DIV/0!</v>
      </c>
      <c r="G105" s="17"/>
      <c r="N105" s="188"/>
      <c r="Z105" t="str">
        <f t="shared" si="46"/>
        <v/>
      </c>
      <c r="AB105" s="171" t="str">
        <f t="shared" si="47"/>
        <v/>
      </c>
    </row>
    <row r="106" spans="1:28" x14ac:dyDescent="0.15">
      <c r="A106" s="186"/>
      <c r="B106" s="1" t="s">
        <v>138</v>
      </c>
      <c r="C106" s="203" t="e">
        <f>STDEV(B103:N103)</f>
        <v>#DIV/0!</v>
      </c>
      <c r="G106" s="17"/>
      <c r="N106" s="188"/>
      <c r="Z106" t="str">
        <f t="shared" si="46"/>
        <v/>
      </c>
      <c r="AB106" s="171" t="str">
        <f t="shared" si="47"/>
        <v/>
      </c>
    </row>
    <row r="107" spans="1:28" x14ac:dyDescent="0.15">
      <c r="A107" s="204"/>
      <c r="B107" s="1" t="s">
        <v>139</v>
      </c>
      <c r="C107" s="1">
        <f>COUNT(B103:N103)</f>
        <v>0</v>
      </c>
      <c r="N107" s="188"/>
      <c r="Z107" t="str">
        <f t="shared" si="46"/>
        <v/>
      </c>
      <c r="AB107" s="171" t="str">
        <f t="shared" si="47"/>
        <v/>
      </c>
    </row>
    <row r="108" spans="1:28" ht="12" x14ac:dyDescent="0.15">
      <c r="A108" s="205"/>
      <c r="B108" s="1" t="s">
        <v>140</v>
      </c>
      <c r="C108" s="206" t="e">
        <f>C106/SQRT(C107)</f>
        <v>#DIV/0!</v>
      </c>
      <c r="N108" s="188"/>
      <c r="Z108" t="str">
        <f t="shared" si="46"/>
        <v/>
      </c>
      <c r="AB108" s="171" t="str">
        <f t="shared" si="47"/>
        <v/>
      </c>
    </row>
    <row r="109" spans="1:28" ht="12" x14ac:dyDescent="0.15">
      <c r="A109" s="207"/>
      <c r="B109" s="208" t="s">
        <v>141</v>
      </c>
      <c r="C109" s="191">
        <f>C107-1</f>
        <v>-1</v>
      </c>
      <c r="D109" s="191"/>
      <c r="E109" s="191"/>
      <c r="F109" s="191"/>
      <c r="G109" s="191"/>
      <c r="H109" s="191"/>
      <c r="I109" s="191"/>
      <c r="J109" s="191"/>
      <c r="K109" s="191"/>
      <c r="L109" s="191"/>
      <c r="M109" s="191"/>
      <c r="N109" s="193"/>
      <c r="Z109" t="str">
        <f t="shared" si="46"/>
        <v/>
      </c>
      <c r="AB109" s="171" t="str">
        <f t="shared" si="47"/>
        <v/>
      </c>
    </row>
    <row r="110" spans="1:28" x14ac:dyDescent="0.15">
      <c r="Z110" t="str">
        <f t="shared" si="46"/>
        <v/>
      </c>
      <c r="AB110" s="171" t="str">
        <f t="shared" si="47"/>
        <v/>
      </c>
    </row>
    <row r="111" spans="1:28" x14ac:dyDescent="0.15">
      <c r="Z111" t="str">
        <f t="shared" si="46"/>
        <v/>
      </c>
      <c r="AB111" s="171" t="str">
        <f t="shared" si="47"/>
        <v/>
      </c>
    </row>
    <row r="112" spans="1:28" ht="12" x14ac:dyDescent="0.15">
      <c r="A112" s="160" t="s">
        <v>144</v>
      </c>
      <c r="B112" s="160" t="s">
        <v>145</v>
      </c>
      <c r="Z112" t="str">
        <f t="shared" si="46"/>
        <v/>
      </c>
      <c r="AB112" s="171" t="str">
        <f t="shared" si="47"/>
        <v/>
      </c>
    </row>
    <row r="113" spans="1:28" ht="12" x14ac:dyDescent="0.15">
      <c r="A113" s="160"/>
      <c r="B113" s="160"/>
      <c r="Z113" t="str">
        <f t="shared" si="46"/>
        <v/>
      </c>
      <c r="AB113" s="171" t="str">
        <f t="shared" si="47"/>
        <v/>
      </c>
    </row>
    <row r="114" spans="1:28" ht="12" x14ac:dyDescent="0.15">
      <c r="A114" s="187" t="s">
        <v>146</v>
      </c>
      <c r="B114" s="161" t="s">
        <v>147</v>
      </c>
      <c r="Z114" t="str">
        <f t="shared" si="46"/>
        <v/>
      </c>
      <c r="AB114" s="171" t="str">
        <f t="shared" si="47"/>
        <v/>
      </c>
    </row>
    <row r="115" spans="1:28" ht="12" x14ac:dyDescent="0.15">
      <c r="A115" s="187"/>
      <c r="B115" s="161"/>
      <c r="Z115" t="str">
        <f t="shared" si="46"/>
        <v/>
      </c>
      <c r="AB115" s="171" t="str">
        <f t="shared" si="47"/>
        <v/>
      </c>
    </row>
    <row r="116" spans="1:28" ht="12" x14ac:dyDescent="0.15">
      <c r="A116" s="187" t="s">
        <v>148</v>
      </c>
      <c r="B116" s="161" t="s">
        <v>149</v>
      </c>
      <c r="Z116" t="str">
        <f t="shared" si="46"/>
        <v/>
      </c>
      <c r="AB116" s="171" t="str">
        <f t="shared" si="47"/>
        <v/>
      </c>
    </row>
    <row r="117" spans="1:28" ht="12" customHeight="1" x14ac:dyDescent="0.15">
      <c r="A117" s="209"/>
      <c r="B117" s="161" t="s">
        <v>150</v>
      </c>
      <c r="Z117" t="str">
        <f t="shared" si="46"/>
        <v/>
      </c>
      <c r="AB117" s="171" t="str">
        <f t="shared" si="47"/>
        <v/>
      </c>
    </row>
    <row r="118" spans="1:28" x14ac:dyDescent="0.15">
      <c r="Z118" t="str">
        <f t="shared" si="46"/>
        <v/>
      </c>
      <c r="AB118" s="171" t="str">
        <f t="shared" si="47"/>
        <v/>
      </c>
    </row>
    <row r="119" spans="1:28" x14ac:dyDescent="0.15">
      <c r="A119" s="182" t="s">
        <v>151</v>
      </c>
      <c r="B119" s="210" t="s">
        <v>152</v>
      </c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5"/>
      <c r="Z119" t="str">
        <f t="shared" si="46"/>
        <v/>
      </c>
      <c r="AB119" s="171" t="str">
        <f t="shared" si="47"/>
        <v/>
      </c>
    </row>
    <row r="120" spans="1:28" x14ac:dyDescent="0.15">
      <c r="A120" s="186"/>
      <c r="N120" s="188"/>
      <c r="Z120" t="str">
        <f t="shared" si="46"/>
        <v/>
      </c>
      <c r="AB120" s="171" t="str">
        <f t="shared" si="47"/>
        <v/>
      </c>
    </row>
    <row r="121" spans="1:28" x14ac:dyDescent="0.15">
      <c r="A121" s="186"/>
      <c r="B121" t="s">
        <v>4</v>
      </c>
      <c r="C121" t="s">
        <v>4</v>
      </c>
      <c r="D121" t="s">
        <v>4</v>
      </c>
      <c r="E121" t="s">
        <v>4</v>
      </c>
      <c r="F121" t="s">
        <v>4</v>
      </c>
      <c r="G121" t="s">
        <v>4</v>
      </c>
      <c r="H121" t="s">
        <v>4</v>
      </c>
      <c r="I121" t="s">
        <v>4</v>
      </c>
      <c r="J121" t="s">
        <v>4</v>
      </c>
      <c r="K121" t="s">
        <v>4</v>
      </c>
      <c r="L121" t="s">
        <v>4</v>
      </c>
      <c r="M121" t="s">
        <v>4</v>
      </c>
      <c r="N121" s="188" t="s">
        <v>4</v>
      </c>
      <c r="Z121" t="str">
        <f t="shared" si="46"/>
        <v/>
      </c>
      <c r="AB121" s="171" t="str">
        <f t="shared" si="47"/>
        <v/>
      </c>
    </row>
    <row r="122" spans="1:28" x14ac:dyDescent="0.15">
      <c r="A122" s="186"/>
      <c r="B122">
        <v>1</v>
      </c>
      <c r="C122">
        <f t="shared" ref="C122:N122" si="49">B122+1</f>
        <v>2</v>
      </c>
      <c r="D122">
        <f t="shared" si="49"/>
        <v>3</v>
      </c>
      <c r="E122">
        <f t="shared" si="49"/>
        <v>4</v>
      </c>
      <c r="F122">
        <f t="shared" si="49"/>
        <v>5</v>
      </c>
      <c r="G122">
        <f t="shared" si="49"/>
        <v>6</v>
      </c>
      <c r="H122">
        <f t="shared" si="49"/>
        <v>7</v>
      </c>
      <c r="I122">
        <f t="shared" si="49"/>
        <v>8</v>
      </c>
      <c r="J122">
        <f t="shared" si="49"/>
        <v>9</v>
      </c>
      <c r="K122">
        <f t="shared" si="49"/>
        <v>10</v>
      </c>
      <c r="L122">
        <f t="shared" si="49"/>
        <v>11</v>
      </c>
      <c r="M122">
        <f t="shared" si="49"/>
        <v>12</v>
      </c>
      <c r="N122" s="188">
        <f t="shared" si="49"/>
        <v>13</v>
      </c>
      <c r="Z122" t="str">
        <f t="shared" si="46"/>
        <v/>
      </c>
      <c r="AB122" s="171" t="str">
        <f t="shared" si="47"/>
        <v/>
      </c>
    </row>
    <row r="123" spans="1:28" x14ac:dyDescent="0.15">
      <c r="A123" s="186"/>
      <c r="B123" s="202" t="e">
        <f t="shared" ref="B123:N123" si="50">DAVERAGE(RatioData,"Ratio",B121:B122)</f>
        <v>#DIV/0!</v>
      </c>
      <c r="C123" s="202" t="e">
        <f t="shared" si="50"/>
        <v>#DIV/0!</v>
      </c>
      <c r="D123" s="202" t="e">
        <f t="shared" si="50"/>
        <v>#DIV/0!</v>
      </c>
      <c r="E123" s="202" t="e">
        <f t="shared" si="50"/>
        <v>#DIV/0!</v>
      </c>
      <c r="F123" s="202" t="e">
        <f t="shared" si="50"/>
        <v>#DIV/0!</v>
      </c>
      <c r="G123" s="202" t="e">
        <f t="shared" si="50"/>
        <v>#DIV/0!</v>
      </c>
      <c r="H123" s="202" t="e">
        <f t="shared" si="50"/>
        <v>#DIV/0!</v>
      </c>
      <c r="I123" s="202" t="e">
        <f t="shared" si="50"/>
        <v>#DIV/0!</v>
      </c>
      <c r="J123" s="202" t="e">
        <f t="shared" si="50"/>
        <v>#DIV/0!</v>
      </c>
      <c r="K123" s="202" t="e">
        <f t="shared" si="50"/>
        <v>#DIV/0!</v>
      </c>
      <c r="L123" s="202" t="e">
        <f t="shared" si="50"/>
        <v>#DIV/0!</v>
      </c>
      <c r="M123" s="202" t="e">
        <f t="shared" si="50"/>
        <v>#DIV/0!</v>
      </c>
      <c r="N123" s="211" t="e">
        <f t="shared" si="50"/>
        <v>#DIV/0!</v>
      </c>
      <c r="Z123" t="str">
        <f t="shared" si="46"/>
        <v/>
      </c>
      <c r="AB123" s="171" t="str">
        <f t="shared" si="47"/>
        <v/>
      </c>
    </row>
    <row r="124" spans="1:28" x14ac:dyDescent="0.15">
      <c r="A124" s="186"/>
      <c r="B124" s="62" t="e">
        <f t="shared" ref="B124:N124" si="51">DSTDEV(RatioData,"Ratio",B121:B122)/B123</f>
        <v>#DIV/0!</v>
      </c>
      <c r="C124" s="62" t="e">
        <f t="shared" si="51"/>
        <v>#DIV/0!</v>
      </c>
      <c r="D124" s="62" t="e">
        <f t="shared" si="51"/>
        <v>#DIV/0!</v>
      </c>
      <c r="E124" s="62" t="e">
        <f t="shared" si="51"/>
        <v>#DIV/0!</v>
      </c>
      <c r="F124" s="62" t="e">
        <f t="shared" si="51"/>
        <v>#DIV/0!</v>
      </c>
      <c r="G124" s="62" t="e">
        <f t="shared" si="51"/>
        <v>#DIV/0!</v>
      </c>
      <c r="H124" s="62" t="e">
        <f t="shared" si="51"/>
        <v>#DIV/0!</v>
      </c>
      <c r="I124" s="62" t="e">
        <f t="shared" si="51"/>
        <v>#DIV/0!</v>
      </c>
      <c r="J124" s="62" t="e">
        <f t="shared" si="51"/>
        <v>#DIV/0!</v>
      </c>
      <c r="K124" s="62" t="e">
        <f t="shared" si="51"/>
        <v>#DIV/0!</v>
      </c>
      <c r="L124" s="62" t="e">
        <f t="shared" si="51"/>
        <v>#DIV/0!</v>
      </c>
      <c r="M124" s="62" t="e">
        <f t="shared" si="51"/>
        <v>#DIV/0!</v>
      </c>
      <c r="N124" s="212" t="e">
        <f t="shared" si="51"/>
        <v>#DIV/0!</v>
      </c>
      <c r="Z124" t="str">
        <f t="shared" si="46"/>
        <v/>
      </c>
      <c r="AB124" s="171" t="str">
        <f t="shared" si="47"/>
        <v/>
      </c>
    </row>
    <row r="125" spans="1:28" x14ac:dyDescent="0.15">
      <c r="A125" s="186"/>
      <c r="B125" s="202" t="str">
        <f t="shared" ref="B125:N125" si="52">IF(ISNUMBER(B123),B123,"")</f>
        <v/>
      </c>
      <c r="C125" s="202" t="str">
        <f t="shared" si="52"/>
        <v/>
      </c>
      <c r="D125" s="202" t="str">
        <f t="shared" si="52"/>
        <v/>
      </c>
      <c r="E125" s="202" t="str">
        <f t="shared" si="52"/>
        <v/>
      </c>
      <c r="F125" s="202" t="str">
        <f t="shared" si="52"/>
        <v/>
      </c>
      <c r="G125" s="202" t="str">
        <f t="shared" si="52"/>
        <v/>
      </c>
      <c r="H125" s="202" t="str">
        <f t="shared" si="52"/>
        <v/>
      </c>
      <c r="I125" s="202" t="str">
        <f t="shared" si="52"/>
        <v/>
      </c>
      <c r="J125" s="202" t="str">
        <f t="shared" si="52"/>
        <v/>
      </c>
      <c r="K125" s="202" t="str">
        <f t="shared" si="52"/>
        <v/>
      </c>
      <c r="L125" s="202" t="str">
        <f t="shared" si="52"/>
        <v/>
      </c>
      <c r="M125" s="202" t="str">
        <f t="shared" si="52"/>
        <v/>
      </c>
      <c r="N125" s="211" t="str">
        <f t="shared" si="52"/>
        <v/>
      </c>
      <c r="Z125" t="str">
        <f t="shared" si="46"/>
        <v/>
      </c>
      <c r="AB125" s="171" t="str">
        <f t="shared" si="47"/>
        <v/>
      </c>
    </row>
    <row r="126" spans="1:28" x14ac:dyDescent="0.15">
      <c r="A126" s="186"/>
      <c r="G126" s="17"/>
      <c r="N126" s="188"/>
      <c r="Z126" t="str">
        <f t="shared" si="46"/>
        <v/>
      </c>
      <c r="AB126" s="171" t="str">
        <f t="shared" si="47"/>
        <v/>
      </c>
    </row>
    <row r="127" spans="1:28" x14ac:dyDescent="0.15">
      <c r="A127" s="186"/>
      <c r="B127" t="s">
        <v>4</v>
      </c>
      <c r="C127" t="s">
        <v>4</v>
      </c>
      <c r="D127" t="s">
        <v>4</v>
      </c>
      <c r="E127" t="s">
        <v>4</v>
      </c>
      <c r="F127" t="s">
        <v>4</v>
      </c>
      <c r="G127" t="s">
        <v>4</v>
      </c>
      <c r="H127" t="s">
        <v>4</v>
      </c>
      <c r="I127" t="s">
        <v>4</v>
      </c>
      <c r="J127" t="s">
        <v>4</v>
      </c>
      <c r="K127" t="s">
        <v>4</v>
      </c>
      <c r="L127" t="s">
        <v>4</v>
      </c>
      <c r="M127" t="s">
        <v>4</v>
      </c>
      <c r="N127" s="188" t="s">
        <v>4</v>
      </c>
      <c r="Z127" t="str">
        <f t="shared" si="46"/>
        <v/>
      </c>
      <c r="AB127" s="171" t="str">
        <f t="shared" si="47"/>
        <v/>
      </c>
    </row>
    <row r="128" spans="1:28" x14ac:dyDescent="0.15">
      <c r="A128" s="186"/>
      <c r="B128">
        <v>14</v>
      </c>
      <c r="C128">
        <f t="shared" ref="C128:N128" si="53">B128+1</f>
        <v>15</v>
      </c>
      <c r="D128">
        <f t="shared" si="53"/>
        <v>16</v>
      </c>
      <c r="E128">
        <f t="shared" si="53"/>
        <v>17</v>
      </c>
      <c r="F128">
        <f t="shared" si="53"/>
        <v>18</v>
      </c>
      <c r="G128">
        <f t="shared" si="53"/>
        <v>19</v>
      </c>
      <c r="H128">
        <f t="shared" si="53"/>
        <v>20</v>
      </c>
      <c r="I128">
        <f t="shared" si="53"/>
        <v>21</v>
      </c>
      <c r="J128">
        <f t="shared" si="53"/>
        <v>22</v>
      </c>
      <c r="K128">
        <f t="shared" si="53"/>
        <v>23</v>
      </c>
      <c r="L128">
        <f t="shared" si="53"/>
        <v>24</v>
      </c>
      <c r="M128">
        <f t="shared" si="53"/>
        <v>25</v>
      </c>
      <c r="N128" s="188">
        <f t="shared" si="53"/>
        <v>26</v>
      </c>
      <c r="Z128" t="str">
        <f t="shared" si="46"/>
        <v/>
      </c>
      <c r="AB128" s="171" t="str">
        <f t="shared" si="47"/>
        <v/>
      </c>
    </row>
    <row r="129" spans="1:28" x14ac:dyDescent="0.15">
      <c r="A129" s="186"/>
      <c r="B129" s="202" t="e">
        <f t="shared" ref="B129:N129" si="54">DAVERAGE(RatioData,"Ratio",B127:B128)</f>
        <v>#DIV/0!</v>
      </c>
      <c r="C129" s="202" t="e">
        <f t="shared" si="54"/>
        <v>#DIV/0!</v>
      </c>
      <c r="D129" s="202" t="e">
        <f t="shared" si="54"/>
        <v>#DIV/0!</v>
      </c>
      <c r="E129" s="202" t="e">
        <f t="shared" si="54"/>
        <v>#DIV/0!</v>
      </c>
      <c r="F129" s="202" t="e">
        <f t="shared" si="54"/>
        <v>#DIV/0!</v>
      </c>
      <c r="G129" s="202" t="e">
        <f t="shared" si="54"/>
        <v>#DIV/0!</v>
      </c>
      <c r="H129" s="202" t="e">
        <f t="shared" si="54"/>
        <v>#DIV/0!</v>
      </c>
      <c r="I129" s="202" t="e">
        <f t="shared" si="54"/>
        <v>#DIV/0!</v>
      </c>
      <c r="J129" s="202" t="e">
        <f t="shared" si="54"/>
        <v>#DIV/0!</v>
      </c>
      <c r="K129" s="202" t="e">
        <f t="shared" si="54"/>
        <v>#DIV/0!</v>
      </c>
      <c r="L129" s="202" t="e">
        <f t="shared" si="54"/>
        <v>#DIV/0!</v>
      </c>
      <c r="M129" s="202" t="e">
        <f t="shared" si="54"/>
        <v>#DIV/0!</v>
      </c>
      <c r="N129" s="211" t="e">
        <f t="shared" si="54"/>
        <v>#DIV/0!</v>
      </c>
      <c r="Z129" t="str">
        <f t="shared" si="46"/>
        <v/>
      </c>
      <c r="AB129" s="171" t="str">
        <f t="shared" si="47"/>
        <v/>
      </c>
    </row>
    <row r="130" spans="1:28" x14ac:dyDescent="0.15">
      <c r="A130" s="186"/>
      <c r="B130" s="62" t="e">
        <f t="shared" ref="B130:N130" si="55">DSTDEV(RatioData,"Ratio",B127:B128)/B129</f>
        <v>#DIV/0!</v>
      </c>
      <c r="C130" s="62" t="e">
        <f t="shared" si="55"/>
        <v>#DIV/0!</v>
      </c>
      <c r="D130" s="62" t="e">
        <f t="shared" si="55"/>
        <v>#DIV/0!</v>
      </c>
      <c r="E130" s="62" t="e">
        <f t="shared" si="55"/>
        <v>#DIV/0!</v>
      </c>
      <c r="F130" s="62" t="e">
        <f t="shared" si="55"/>
        <v>#DIV/0!</v>
      </c>
      <c r="G130" s="62" t="e">
        <f t="shared" si="55"/>
        <v>#DIV/0!</v>
      </c>
      <c r="H130" s="62" t="e">
        <f t="shared" si="55"/>
        <v>#DIV/0!</v>
      </c>
      <c r="I130" s="62" t="e">
        <f t="shared" si="55"/>
        <v>#DIV/0!</v>
      </c>
      <c r="J130" s="62" t="e">
        <f t="shared" si="55"/>
        <v>#DIV/0!</v>
      </c>
      <c r="K130" s="62" t="e">
        <f t="shared" si="55"/>
        <v>#DIV/0!</v>
      </c>
      <c r="L130" s="62" t="e">
        <f t="shared" si="55"/>
        <v>#DIV/0!</v>
      </c>
      <c r="M130" s="62" t="e">
        <f t="shared" si="55"/>
        <v>#DIV/0!</v>
      </c>
      <c r="N130" s="212" t="e">
        <f t="shared" si="55"/>
        <v>#DIV/0!</v>
      </c>
      <c r="Z130" t="str">
        <f t="shared" si="46"/>
        <v/>
      </c>
      <c r="AB130" s="171" t="str">
        <f t="shared" si="47"/>
        <v/>
      </c>
    </row>
    <row r="131" spans="1:28" x14ac:dyDescent="0.15">
      <c r="A131" s="186"/>
      <c r="B131" s="202" t="str">
        <f t="shared" ref="B131:N131" si="56">IF(ISNUMBER(B129),B129,"")</f>
        <v/>
      </c>
      <c r="C131" s="202" t="str">
        <f t="shared" si="56"/>
        <v/>
      </c>
      <c r="D131" s="202" t="str">
        <f t="shared" si="56"/>
        <v/>
      </c>
      <c r="E131" s="202" t="str">
        <f t="shared" si="56"/>
        <v/>
      </c>
      <c r="F131" s="202" t="str">
        <f t="shared" si="56"/>
        <v/>
      </c>
      <c r="G131" s="202" t="str">
        <f t="shared" si="56"/>
        <v/>
      </c>
      <c r="H131" s="202" t="str">
        <f t="shared" si="56"/>
        <v/>
      </c>
      <c r="I131" s="202" t="str">
        <f t="shared" si="56"/>
        <v/>
      </c>
      <c r="J131" s="202" t="str">
        <f t="shared" si="56"/>
        <v/>
      </c>
      <c r="K131" s="202" t="str">
        <f t="shared" si="56"/>
        <v/>
      </c>
      <c r="L131" s="202" t="str">
        <f t="shared" si="56"/>
        <v/>
      </c>
      <c r="M131" s="202" t="str">
        <f t="shared" si="56"/>
        <v/>
      </c>
      <c r="N131" s="211" t="str">
        <f t="shared" si="56"/>
        <v/>
      </c>
      <c r="Z131" t="str">
        <f t="shared" ref="Z131:Z162" si="57">IF(ISNUMBER(AA131),AA131^2,"")</f>
        <v/>
      </c>
      <c r="AB131" s="171" t="str">
        <f t="shared" ref="AB131:AB162" si="58">IF(ISNUMBER(AA131),Z131/SUM(Z$3:Z$200),"")</f>
        <v/>
      </c>
    </row>
    <row r="132" spans="1:28" x14ac:dyDescent="0.15">
      <c r="A132" s="186"/>
      <c r="G132" s="17"/>
      <c r="N132" s="188"/>
      <c r="Z132" t="str">
        <f t="shared" si="57"/>
        <v/>
      </c>
      <c r="AB132" s="171" t="str">
        <f t="shared" si="58"/>
        <v/>
      </c>
    </row>
    <row r="133" spans="1:28" x14ac:dyDescent="0.15">
      <c r="A133" s="186"/>
      <c r="B133" t="s">
        <v>4</v>
      </c>
      <c r="C133" t="s">
        <v>4</v>
      </c>
      <c r="D133" t="s">
        <v>4</v>
      </c>
      <c r="E133" t="s">
        <v>4</v>
      </c>
      <c r="F133" t="s">
        <v>4</v>
      </c>
      <c r="G133" t="s">
        <v>4</v>
      </c>
      <c r="H133" t="s">
        <v>4</v>
      </c>
      <c r="I133" t="s">
        <v>4</v>
      </c>
      <c r="J133" t="s">
        <v>4</v>
      </c>
      <c r="K133" t="s">
        <v>4</v>
      </c>
      <c r="L133" t="s">
        <v>4</v>
      </c>
      <c r="M133" t="s">
        <v>4</v>
      </c>
      <c r="N133" s="188" t="s">
        <v>4</v>
      </c>
      <c r="Z133" t="str">
        <f t="shared" si="57"/>
        <v/>
      </c>
      <c r="AB133" s="171" t="str">
        <f t="shared" si="58"/>
        <v/>
      </c>
    </row>
    <row r="134" spans="1:28" x14ac:dyDescent="0.15">
      <c r="A134" s="186"/>
      <c r="B134">
        <v>27</v>
      </c>
      <c r="C134">
        <f t="shared" ref="C134:N134" si="59">B134+1</f>
        <v>28</v>
      </c>
      <c r="D134">
        <f t="shared" si="59"/>
        <v>29</v>
      </c>
      <c r="E134">
        <f t="shared" si="59"/>
        <v>30</v>
      </c>
      <c r="F134">
        <f t="shared" si="59"/>
        <v>31</v>
      </c>
      <c r="G134">
        <f t="shared" si="59"/>
        <v>32</v>
      </c>
      <c r="H134">
        <f t="shared" si="59"/>
        <v>33</v>
      </c>
      <c r="I134">
        <f t="shared" si="59"/>
        <v>34</v>
      </c>
      <c r="J134">
        <f t="shared" si="59"/>
        <v>35</v>
      </c>
      <c r="K134">
        <f t="shared" si="59"/>
        <v>36</v>
      </c>
      <c r="L134">
        <f t="shared" si="59"/>
        <v>37</v>
      </c>
      <c r="M134">
        <f t="shared" si="59"/>
        <v>38</v>
      </c>
      <c r="N134" s="188">
        <f t="shared" si="59"/>
        <v>39</v>
      </c>
      <c r="Z134" t="str">
        <f t="shared" si="57"/>
        <v/>
      </c>
      <c r="AB134" s="171" t="str">
        <f t="shared" si="58"/>
        <v/>
      </c>
    </row>
    <row r="135" spans="1:28" x14ac:dyDescent="0.15">
      <c r="A135" s="186"/>
      <c r="B135" s="202" t="e">
        <f t="shared" ref="B135:N135" si="60">DAVERAGE(RatioData,"Ratio",B133:B134)</f>
        <v>#DIV/0!</v>
      </c>
      <c r="C135" s="202" t="e">
        <f t="shared" si="60"/>
        <v>#DIV/0!</v>
      </c>
      <c r="D135" s="202" t="e">
        <f t="shared" si="60"/>
        <v>#DIV/0!</v>
      </c>
      <c r="E135" s="202" t="e">
        <f t="shared" si="60"/>
        <v>#DIV/0!</v>
      </c>
      <c r="F135" s="202" t="e">
        <f t="shared" si="60"/>
        <v>#DIV/0!</v>
      </c>
      <c r="G135" s="202" t="e">
        <f t="shared" si="60"/>
        <v>#DIV/0!</v>
      </c>
      <c r="H135" s="202" t="e">
        <f t="shared" si="60"/>
        <v>#DIV/0!</v>
      </c>
      <c r="I135" s="202" t="e">
        <f t="shared" si="60"/>
        <v>#DIV/0!</v>
      </c>
      <c r="J135" s="202" t="e">
        <f t="shared" si="60"/>
        <v>#DIV/0!</v>
      </c>
      <c r="K135" s="202" t="e">
        <f t="shared" si="60"/>
        <v>#DIV/0!</v>
      </c>
      <c r="L135" s="202" t="e">
        <f t="shared" si="60"/>
        <v>#DIV/0!</v>
      </c>
      <c r="M135" s="202" t="e">
        <f t="shared" si="60"/>
        <v>#DIV/0!</v>
      </c>
      <c r="N135" s="211" t="e">
        <f t="shared" si="60"/>
        <v>#DIV/0!</v>
      </c>
      <c r="Z135" t="str">
        <f t="shared" si="57"/>
        <v/>
      </c>
      <c r="AB135" s="171" t="str">
        <f t="shared" si="58"/>
        <v/>
      </c>
    </row>
    <row r="136" spans="1:28" x14ac:dyDescent="0.15">
      <c r="A136" s="186"/>
      <c r="B136" s="62" t="e">
        <f t="shared" ref="B136:N136" si="61">DSTDEV(RatioData,"Ratio",B133:B134)/B135</f>
        <v>#DIV/0!</v>
      </c>
      <c r="C136" s="62" t="e">
        <f t="shared" si="61"/>
        <v>#DIV/0!</v>
      </c>
      <c r="D136" s="62" t="e">
        <f t="shared" si="61"/>
        <v>#DIV/0!</v>
      </c>
      <c r="E136" s="62" t="e">
        <f t="shared" si="61"/>
        <v>#DIV/0!</v>
      </c>
      <c r="F136" s="62" t="e">
        <f t="shared" si="61"/>
        <v>#DIV/0!</v>
      </c>
      <c r="G136" s="62" t="e">
        <f t="shared" si="61"/>
        <v>#DIV/0!</v>
      </c>
      <c r="H136" s="62" t="e">
        <f t="shared" si="61"/>
        <v>#DIV/0!</v>
      </c>
      <c r="I136" s="62" t="e">
        <f t="shared" si="61"/>
        <v>#DIV/0!</v>
      </c>
      <c r="J136" s="62" t="e">
        <f t="shared" si="61"/>
        <v>#DIV/0!</v>
      </c>
      <c r="K136" s="62" t="e">
        <f t="shared" si="61"/>
        <v>#DIV/0!</v>
      </c>
      <c r="L136" s="62" t="e">
        <f t="shared" si="61"/>
        <v>#DIV/0!</v>
      </c>
      <c r="M136" s="62" t="e">
        <f t="shared" si="61"/>
        <v>#DIV/0!</v>
      </c>
      <c r="N136" s="212" t="e">
        <f t="shared" si="61"/>
        <v>#DIV/0!</v>
      </c>
      <c r="Z136" t="str">
        <f t="shared" si="57"/>
        <v/>
      </c>
      <c r="AB136" s="171" t="str">
        <f t="shared" si="58"/>
        <v/>
      </c>
    </row>
    <row r="137" spans="1:28" x14ac:dyDescent="0.15">
      <c r="A137" s="186"/>
      <c r="B137" s="202" t="str">
        <f t="shared" ref="B137:N137" si="62">IF(ISNUMBER(B135),B135,"")</f>
        <v/>
      </c>
      <c r="C137" s="202" t="str">
        <f t="shared" si="62"/>
        <v/>
      </c>
      <c r="D137" s="202" t="str">
        <f t="shared" si="62"/>
        <v/>
      </c>
      <c r="E137" s="202" t="str">
        <f t="shared" si="62"/>
        <v/>
      </c>
      <c r="F137" s="202" t="str">
        <f t="shared" si="62"/>
        <v/>
      </c>
      <c r="G137" s="202" t="str">
        <f t="shared" si="62"/>
        <v/>
      </c>
      <c r="H137" s="202" t="str">
        <f t="shared" si="62"/>
        <v/>
      </c>
      <c r="I137" s="202" t="str">
        <f t="shared" si="62"/>
        <v/>
      </c>
      <c r="J137" s="202" t="str">
        <f t="shared" si="62"/>
        <v/>
      </c>
      <c r="K137" s="202" t="str">
        <f t="shared" si="62"/>
        <v/>
      </c>
      <c r="L137" s="202" t="str">
        <f t="shared" si="62"/>
        <v/>
      </c>
      <c r="M137" s="202" t="str">
        <f t="shared" si="62"/>
        <v/>
      </c>
      <c r="N137" s="211" t="str">
        <f t="shared" si="62"/>
        <v/>
      </c>
      <c r="Z137" t="str">
        <f t="shared" si="57"/>
        <v/>
      </c>
      <c r="AB137" s="171" t="str">
        <f t="shared" si="58"/>
        <v/>
      </c>
    </row>
    <row r="138" spans="1:28" x14ac:dyDescent="0.15">
      <c r="A138" s="186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11"/>
      <c r="Z138" t="str">
        <f t="shared" si="57"/>
        <v/>
      </c>
      <c r="AB138" s="171" t="str">
        <f t="shared" si="58"/>
        <v/>
      </c>
    </row>
    <row r="139" spans="1:28" x14ac:dyDescent="0.15">
      <c r="A139" s="186"/>
      <c r="B139" t="s">
        <v>4</v>
      </c>
      <c r="C139" t="s">
        <v>4</v>
      </c>
      <c r="D139" t="s">
        <v>4</v>
      </c>
      <c r="E139" t="s">
        <v>4</v>
      </c>
      <c r="F139" t="s">
        <v>4</v>
      </c>
      <c r="G139" t="s">
        <v>4</v>
      </c>
      <c r="H139" t="s">
        <v>4</v>
      </c>
      <c r="I139" t="s">
        <v>4</v>
      </c>
      <c r="J139" t="s">
        <v>4</v>
      </c>
      <c r="K139" t="s">
        <v>4</v>
      </c>
      <c r="L139" t="s">
        <v>4</v>
      </c>
      <c r="M139" t="s">
        <v>4</v>
      </c>
      <c r="N139" s="188" t="s">
        <v>4</v>
      </c>
      <c r="Z139" t="str">
        <f t="shared" si="57"/>
        <v/>
      </c>
      <c r="AB139" s="171" t="str">
        <f t="shared" si="58"/>
        <v/>
      </c>
    </row>
    <row r="140" spans="1:28" x14ac:dyDescent="0.15">
      <c r="A140" s="186"/>
      <c r="B140">
        <v>40</v>
      </c>
      <c r="C140">
        <f t="shared" ref="C140:N140" si="63">B140+1</f>
        <v>41</v>
      </c>
      <c r="D140">
        <f t="shared" si="63"/>
        <v>42</v>
      </c>
      <c r="E140">
        <f t="shared" si="63"/>
        <v>43</v>
      </c>
      <c r="F140">
        <f t="shared" si="63"/>
        <v>44</v>
      </c>
      <c r="G140">
        <f t="shared" si="63"/>
        <v>45</v>
      </c>
      <c r="H140">
        <f t="shared" si="63"/>
        <v>46</v>
      </c>
      <c r="I140">
        <f t="shared" si="63"/>
        <v>47</v>
      </c>
      <c r="J140">
        <f t="shared" si="63"/>
        <v>48</v>
      </c>
      <c r="K140">
        <f t="shared" si="63"/>
        <v>49</v>
      </c>
      <c r="L140">
        <f t="shared" si="63"/>
        <v>50</v>
      </c>
      <c r="M140">
        <f t="shared" si="63"/>
        <v>51</v>
      </c>
      <c r="N140" s="188">
        <f t="shared" si="63"/>
        <v>52</v>
      </c>
      <c r="Z140" t="str">
        <f t="shared" si="57"/>
        <v/>
      </c>
      <c r="AB140" s="171" t="str">
        <f t="shared" si="58"/>
        <v/>
      </c>
    </row>
    <row r="141" spans="1:28" x14ac:dyDescent="0.15">
      <c r="A141" s="186"/>
      <c r="B141" s="202" t="e">
        <f t="shared" ref="B141:N141" si="64">DAVERAGE(RatioData,"Ratio",B139:B140)</f>
        <v>#DIV/0!</v>
      </c>
      <c r="C141" s="202" t="e">
        <f t="shared" si="64"/>
        <v>#DIV/0!</v>
      </c>
      <c r="D141" s="202" t="e">
        <f t="shared" si="64"/>
        <v>#DIV/0!</v>
      </c>
      <c r="E141" s="202" t="e">
        <f t="shared" si="64"/>
        <v>#DIV/0!</v>
      </c>
      <c r="F141" s="202" t="e">
        <f t="shared" si="64"/>
        <v>#DIV/0!</v>
      </c>
      <c r="G141" s="202" t="e">
        <f t="shared" si="64"/>
        <v>#DIV/0!</v>
      </c>
      <c r="H141" s="202" t="e">
        <f t="shared" si="64"/>
        <v>#DIV/0!</v>
      </c>
      <c r="I141" s="202" t="e">
        <f t="shared" si="64"/>
        <v>#DIV/0!</v>
      </c>
      <c r="J141" s="202" t="e">
        <f t="shared" si="64"/>
        <v>#DIV/0!</v>
      </c>
      <c r="K141" s="202" t="e">
        <f t="shared" si="64"/>
        <v>#DIV/0!</v>
      </c>
      <c r="L141" s="202" t="e">
        <f t="shared" si="64"/>
        <v>#DIV/0!</v>
      </c>
      <c r="M141" s="202" t="e">
        <f t="shared" si="64"/>
        <v>#DIV/0!</v>
      </c>
      <c r="N141" s="211" t="e">
        <f t="shared" si="64"/>
        <v>#DIV/0!</v>
      </c>
      <c r="Z141" t="str">
        <f t="shared" si="57"/>
        <v/>
      </c>
      <c r="AB141" s="171" t="str">
        <f t="shared" si="58"/>
        <v/>
      </c>
    </row>
    <row r="142" spans="1:28" x14ac:dyDescent="0.15">
      <c r="A142" s="186"/>
      <c r="B142" s="62" t="e">
        <f t="shared" ref="B142:N142" si="65">DSTDEV(RatioData,"Ratio",B139:B140)/B141</f>
        <v>#DIV/0!</v>
      </c>
      <c r="C142" s="62" t="e">
        <f t="shared" si="65"/>
        <v>#DIV/0!</v>
      </c>
      <c r="D142" s="62" t="e">
        <f t="shared" si="65"/>
        <v>#DIV/0!</v>
      </c>
      <c r="E142" s="62" t="e">
        <f t="shared" si="65"/>
        <v>#DIV/0!</v>
      </c>
      <c r="F142" s="62" t="e">
        <f t="shared" si="65"/>
        <v>#DIV/0!</v>
      </c>
      <c r="G142" s="62" t="e">
        <f t="shared" si="65"/>
        <v>#DIV/0!</v>
      </c>
      <c r="H142" s="62" t="e">
        <f t="shared" si="65"/>
        <v>#DIV/0!</v>
      </c>
      <c r="I142" s="62" t="e">
        <f t="shared" si="65"/>
        <v>#DIV/0!</v>
      </c>
      <c r="J142" s="62" t="e">
        <f t="shared" si="65"/>
        <v>#DIV/0!</v>
      </c>
      <c r="K142" s="62" t="e">
        <f t="shared" si="65"/>
        <v>#DIV/0!</v>
      </c>
      <c r="L142" s="62" t="e">
        <f t="shared" si="65"/>
        <v>#DIV/0!</v>
      </c>
      <c r="M142" s="62" t="e">
        <f t="shared" si="65"/>
        <v>#DIV/0!</v>
      </c>
      <c r="N142" s="212" t="e">
        <f t="shared" si="65"/>
        <v>#DIV/0!</v>
      </c>
      <c r="Z142" t="str">
        <f t="shared" si="57"/>
        <v/>
      </c>
      <c r="AB142" s="171" t="str">
        <f t="shared" si="58"/>
        <v/>
      </c>
    </row>
    <row r="143" spans="1:28" x14ac:dyDescent="0.15">
      <c r="A143" s="186"/>
      <c r="B143" s="202" t="str">
        <f t="shared" ref="B143:N143" si="66">IF(ISNUMBER(B141),B141,"")</f>
        <v/>
      </c>
      <c r="C143" s="202" t="str">
        <f t="shared" si="66"/>
        <v/>
      </c>
      <c r="D143" s="202" t="str">
        <f t="shared" si="66"/>
        <v/>
      </c>
      <c r="E143" s="202" t="str">
        <f t="shared" si="66"/>
        <v/>
      </c>
      <c r="F143" s="202" t="str">
        <f t="shared" si="66"/>
        <v/>
      </c>
      <c r="G143" s="202" t="str">
        <f t="shared" si="66"/>
        <v/>
      </c>
      <c r="H143" s="202" t="str">
        <f t="shared" si="66"/>
        <v/>
      </c>
      <c r="I143" s="202" t="str">
        <f t="shared" si="66"/>
        <v/>
      </c>
      <c r="J143" s="202" t="str">
        <f t="shared" si="66"/>
        <v/>
      </c>
      <c r="K143" s="202" t="str">
        <f t="shared" si="66"/>
        <v/>
      </c>
      <c r="L143" s="202" t="str">
        <f t="shared" si="66"/>
        <v/>
      </c>
      <c r="M143" s="202" t="str">
        <f t="shared" si="66"/>
        <v/>
      </c>
      <c r="N143" s="211" t="str">
        <f t="shared" si="66"/>
        <v/>
      </c>
      <c r="Z143" t="str">
        <f t="shared" si="57"/>
        <v/>
      </c>
      <c r="AB143" s="171" t="str">
        <f t="shared" si="58"/>
        <v/>
      </c>
    </row>
    <row r="144" spans="1:28" x14ac:dyDescent="0.15">
      <c r="A144" s="186"/>
      <c r="G144" s="17"/>
      <c r="N144" s="188"/>
      <c r="Z144" t="str">
        <f t="shared" si="57"/>
        <v/>
      </c>
      <c r="AB144" s="171" t="str">
        <f t="shared" si="58"/>
        <v/>
      </c>
    </row>
    <row r="145" spans="1:28" x14ac:dyDescent="0.15">
      <c r="A145" s="1"/>
      <c r="B145" s="1" t="s">
        <v>137</v>
      </c>
      <c r="C145" s="173" t="e">
        <f>AVERAGE(B125:N125,B131:N131,B137:N137,B143:N143)</f>
        <v>#DIV/0!</v>
      </c>
      <c r="G145" s="17"/>
      <c r="N145" s="188"/>
      <c r="Z145" t="str">
        <f t="shared" si="57"/>
        <v/>
      </c>
      <c r="AB145" s="171" t="str">
        <f t="shared" si="58"/>
        <v/>
      </c>
    </row>
    <row r="146" spans="1:28" x14ac:dyDescent="0.15">
      <c r="A146" s="1"/>
      <c r="B146" s="1" t="s">
        <v>138</v>
      </c>
      <c r="C146" s="173" t="e">
        <f>STDEV($B$125:$N$125,$B$131:$N$131,$B$137:$N$137,$B$143:$N$143)</f>
        <v>#DIV/0!</v>
      </c>
      <c r="G146" s="17"/>
      <c r="N146" s="188"/>
      <c r="Z146" t="str">
        <f t="shared" si="57"/>
        <v/>
      </c>
      <c r="AB146" s="171" t="str">
        <f t="shared" si="58"/>
        <v/>
      </c>
    </row>
    <row r="147" spans="1:28" x14ac:dyDescent="0.15">
      <c r="A147" s="1"/>
      <c r="B147" s="1" t="s">
        <v>139</v>
      </c>
      <c r="C147">
        <f>COUNT($B$125:$N$125,$B$131:$N$131,$B$137:$N$137,$B$143:$N$143)</f>
        <v>0</v>
      </c>
      <c r="G147" s="17"/>
      <c r="N147" s="188"/>
      <c r="Z147" t="str">
        <f t="shared" si="57"/>
        <v/>
      </c>
      <c r="AB147" s="171" t="str">
        <f t="shared" si="58"/>
        <v/>
      </c>
    </row>
    <row r="148" spans="1:28" ht="12" x14ac:dyDescent="0.15">
      <c r="A148" s="189"/>
      <c r="B148" s="189" t="s">
        <v>140</v>
      </c>
      <c r="C148" s="173" t="e">
        <f>C146/SQRT(C147)</f>
        <v>#DIV/0!</v>
      </c>
      <c r="G148" s="17"/>
      <c r="N148" s="188"/>
      <c r="Z148" t="str">
        <f t="shared" si="57"/>
        <v/>
      </c>
      <c r="AB148" s="171" t="str">
        <f t="shared" si="58"/>
        <v/>
      </c>
    </row>
    <row r="149" spans="1:28" ht="12" x14ac:dyDescent="0.15">
      <c r="A149" s="190"/>
      <c r="B149" s="190" t="s">
        <v>141</v>
      </c>
      <c r="C149" s="191">
        <f>C147-1</f>
        <v>-1</v>
      </c>
      <c r="D149" s="191"/>
      <c r="E149" s="191"/>
      <c r="F149" s="191"/>
      <c r="G149" s="192"/>
      <c r="H149" s="191"/>
      <c r="I149" s="191"/>
      <c r="J149" s="191"/>
      <c r="K149" s="191"/>
      <c r="L149" s="191"/>
      <c r="M149" s="191"/>
      <c r="N149" s="193"/>
      <c r="Z149" t="str">
        <f t="shared" si="57"/>
        <v/>
      </c>
      <c r="AB149" s="171" t="str">
        <f t="shared" si="58"/>
        <v/>
      </c>
    </row>
    <row r="150" spans="1:28" x14ac:dyDescent="0.15">
      <c r="G150" s="17"/>
      <c r="Z150" t="str">
        <f t="shared" si="57"/>
        <v/>
      </c>
      <c r="AB150" s="171" t="str">
        <f t="shared" si="58"/>
        <v/>
      </c>
    </row>
    <row r="151" spans="1:28" x14ac:dyDescent="0.15">
      <c r="Z151" t="str">
        <f t="shared" si="57"/>
        <v/>
      </c>
      <c r="AB151" s="171" t="str">
        <f t="shared" si="58"/>
        <v/>
      </c>
    </row>
    <row r="152" spans="1:28" x14ac:dyDescent="0.15">
      <c r="A152" s="182" t="s">
        <v>151</v>
      </c>
      <c r="B152" s="210" t="s">
        <v>153</v>
      </c>
      <c r="C152" s="210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5"/>
      <c r="Z152" t="str">
        <f t="shared" si="57"/>
        <v/>
      </c>
      <c r="AB152" s="171" t="str">
        <f t="shared" si="58"/>
        <v/>
      </c>
    </row>
    <row r="153" spans="1:28" x14ac:dyDescent="0.15">
      <c r="A153" s="186"/>
      <c r="N153" s="188"/>
      <c r="Z153" t="str">
        <f t="shared" si="57"/>
        <v/>
      </c>
      <c r="AB153" s="171" t="str">
        <f t="shared" si="58"/>
        <v/>
      </c>
    </row>
    <row r="154" spans="1:28" x14ac:dyDescent="0.15">
      <c r="A154" s="186"/>
      <c r="B154" t="s">
        <v>5</v>
      </c>
      <c r="C154" t="s">
        <v>5</v>
      </c>
      <c r="D154" t="s">
        <v>5</v>
      </c>
      <c r="E154" t="s">
        <v>5</v>
      </c>
      <c r="F154" t="s">
        <v>5</v>
      </c>
      <c r="G154" t="s">
        <v>5</v>
      </c>
      <c r="H154" t="s">
        <v>5</v>
      </c>
      <c r="I154" t="s">
        <v>5</v>
      </c>
      <c r="J154" t="s">
        <v>5</v>
      </c>
      <c r="K154" t="s">
        <v>5</v>
      </c>
      <c r="L154" t="s">
        <v>5</v>
      </c>
      <c r="M154" t="s">
        <v>5</v>
      </c>
      <c r="N154" s="188" t="s">
        <v>5</v>
      </c>
      <c r="Z154" t="str">
        <f t="shared" si="57"/>
        <v/>
      </c>
      <c r="AB154" s="171" t="str">
        <f t="shared" si="58"/>
        <v/>
      </c>
    </row>
    <row r="155" spans="1:28" x14ac:dyDescent="0.15">
      <c r="A155" s="186"/>
      <c r="B155">
        <v>1</v>
      </c>
      <c r="C155">
        <v>2</v>
      </c>
      <c r="D155">
        <v>3</v>
      </c>
      <c r="E155">
        <v>4</v>
      </c>
      <c r="F155">
        <v>5</v>
      </c>
      <c r="G155">
        <v>6</v>
      </c>
      <c r="H155">
        <v>7</v>
      </c>
      <c r="I155">
        <v>8</v>
      </c>
      <c r="J155">
        <v>9</v>
      </c>
      <c r="K155">
        <v>10</v>
      </c>
      <c r="L155">
        <v>11</v>
      </c>
      <c r="M155">
        <v>12</v>
      </c>
      <c r="N155" s="188">
        <v>13</v>
      </c>
      <c r="Z155" t="str">
        <f t="shared" si="57"/>
        <v/>
      </c>
      <c r="AB155" s="171" t="str">
        <f t="shared" si="58"/>
        <v/>
      </c>
    </row>
    <row r="156" spans="1:28" x14ac:dyDescent="0.15">
      <c r="A156" s="186"/>
      <c r="B156" t="e">
        <f t="shared" ref="B156:N156" si="67">DAVERAGE(RatioData,"Ratio",B154:B155)</f>
        <v>#DIV/0!</v>
      </c>
      <c r="C156" t="e">
        <f t="shared" si="67"/>
        <v>#DIV/0!</v>
      </c>
      <c r="D156" t="e">
        <f t="shared" si="67"/>
        <v>#DIV/0!</v>
      </c>
      <c r="E156" t="e">
        <f t="shared" si="67"/>
        <v>#DIV/0!</v>
      </c>
      <c r="F156" t="e">
        <f t="shared" si="67"/>
        <v>#DIV/0!</v>
      </c>
      <c r="G156" t="e">
        <f t="shared" si="67"/>
        <v>#DIV/0!</v>
      </c>
      <c r="H156" t="e">
        <f t="shared" si="67"/>
        <v>#DIV/0!</v>
      </c>
      <c r="I156" t="e">
        <f t="shared" si="67"/>
        <v>#DIV/0!</v>
      </c>
      <c r="J156" t="e">
        <f t="shared" si="67"/>
        <v>#DIV/0!</v>
      </c>
      <c r="K156" t="e">
        <f t="shared" si="67"/>
        <v>#DIV/0!</v>
      </c>
      <c r="L156" t="e">
        <f t="shared" si="67"/>
        <v>#DIV/0!</v>
      </c>
      <c r="M156" t="e">
        <f t="shared" si="67"/>
        <v>#DIV/0!</v>
      </c>
      <c r="N156" s="188" t="e">
        <f t="shared" si="67"/>
        <v>#DIV/0!</v>
      </c>
      <c r="Z156" t="str">
        <f t="shared" si="57"/>
        <v/>
      </c>
      <c r="AB156" s="171" t="str">
        <f t="shared" si="58"/>
        <v/>
      </c>
    </row>
    <row r="157" spans="1:28" x14ac:dyDescent="0.15">
      <c r="A157" s="186"/>
      <c r="B157" t="e">
        <f t="shared" ref="B157:N157" si="68">DSTDEV(RatioData,"Ratio",B154:B155)</f>
        <v>#DIV/0!</v>
      </c>
      <c r="C157" t="e">
        <f t="shared" si="68"/>
        <v>#DIV/0!</v>
      </c>
      <c r="D157" t="e">
        <f t="shared" si="68"/>
        <v>#DIV/0!</v>
      </c>
      <c r="E157" t="e">
        <f t="shared" si="68"/>
        <v>#DIV/0!</v>
      </c>
      <c r="F157" t="e">
        <f t="shared" si="68"/>
        <v>#DIV/0!</v>
      </c>
      <c r="G157" t="e">
        <f t="shared" si="68"/>
        <v>#DIV/0!</v>
      </c>
      <c r="H157" t="e">
        <f t="shared" si="68"/>
        <v>#DIV/0!</v>
      </c>
      <c r="I157" t="e">
        <f t="shared" si="68"/>
        <v>#DIV/0!</v>
      </c>
      <c r="J157" t="e">
        <f t="shared" si="68"/>
        <v>#DIV/0!</v>
      </c>
      <c r="K157" t="e">
        <f t="shared" si="68"/>
        <v>#DIV/0!</v>
      </c>
      <c r="L157" t="e">
        <f t="shared" si="68"/>
        <v>#DIV/0!</v>
      </c>
      <c r="M157" t="e">
        <f t="shared" si="68"/>
        <v>#DIV/0!</v>
      </c>
      <c r="N157" s="188" t="e">
        <f t="shared" si="68"/>
        <v>#DIV/0!</v>
      </c>
      <c r="Z157" t="str">
        <f t="shared" si="57"/>
        <v/>
      </c>
      <c r="AB157" s="171" t="str">
        <f t="shared" si="58"/>
        <v/>
      </c>
    </row>
    <row r="158" spans="1:28" x14ac:dyDescent="0.15">
      <c r="A158" s="186"/>
      <c r="B158" t="str">
        <f t="shared" ref="B158:N158" si="69">IF(ISNUMBER(B156),B156,"")</f>
        <v/>
      </c>
      <c r="C158" t="str">
        <f t="shared" si="69"/>
        <v/>
      </c>
      <c r="D158" t="str">
        <f t="shared" si="69"/>
        <v/>
      </c>
      <c r="E158" t="str">
        <f t="shared" si="69"/>
        <v/>
      </c>
      <c r="F158" t="str">
        <f t="shared" si="69"/>
        <v/>
      </c>
      <c r="G158" t="str">
        <f t="shared" si="69"/>
        <v/>
      </c>
      <c r="H158" t="str">
        <f t="shared" si="69"/>
        <v/>
      </c>
      <c r="I158" t="str">
        <f t="shared" si="69"/>
        <v/>
      </c>
      <c r="J158" t="str">
        <f t="shared" si="69"/>
        <v/>
      </c>
      <c r="K158" t="str">
        <f t="shared" si="69"/>
        <v/>
      </c>
      <c r="L158" t="str">
        <f t="shared" si="69"/>
        <v/>
      </c>
      <c r="M158" t="str">
        <f t="shared" si="69"/>
        <v/>
      </c>
      <c r="N158" s="188" t="str">
        <f t="shared" si="69"/>
        <v/>
      </c>
      <c r="Z158" t="str">
        <f t="shared" si="57"/>
        <v/>
      </c>
      <c r="AB158" s="171" t="str">
        <f t="shared" si="58"/>
        <v/>
      </c>
    </row>
    <row r="159" spans="1:28" x14ac:dyDescent="0.15">
      <c r="A159" s="186"/>
      <c r="N159" s="188"/>
      <c r="Z159" t="str">
        <f t="shared" si="57"/>
        <v/>
      </c>
      <c r="AB159" s="171" t="str">
        <f t="shared" si="58"/>
        <v/>
      </c>
    </row>
    <row r="160" spans="1:28" x14ac:dyDescent="0.15">
      <c r="A160" s="186"/>
      <c r="B160" t="s">
        <v>5</v>
      </c>
      <c r="C160" t="s">
        <v>5</v>
      </c>
      <c r="D160" t="s">
        <v>5</v>
      </c>
      <c r="E160" t="s">
        <v>5</v>
      </c>
      <c r="F160" t="s">
        <v>5</v>
      </c>
      <c r="G160" t="s">
        <v>5</v>
      </c>
      <c r="H160" t="s">
        <v>5</v>
      </c>
      <c r="I160" t="s">
        <v>5</v>
      </c>
      <c r="J160" t="s">
        <v>5</v>
      </c>
      <c r="K160" t="s">
        <v>5</v>
      </c>
      <c r="L160" t="s">
        <v>5</v>
      </c>
      <c r="M160" t="s">
        <v>5</v>
      </c>
      <c r="N160" s="188" t="s">
        <v>5</v>
      </c>
      <c r="Z160" t="str">
        <f t="shared" si="57"/>
        <v/>
      </c>
      <c r="AB160" s="171" t="str">
        <f t="shared" si="58"/>
        <v/>
      </c>
    </row>
    <row r="161" spans="1:28" x14ac:dyDescent="0.15">
      <c r="A161" s="186"/>
      <c r="B161">
        <v>14</v>
      </c>
      <c r="C161">
        <v>15</v>
      </c>
      <c r="D161">
        <v>16</v>
      </c>
      <c r="E161">
        <v>17</v>
      </c>
      <c r="F161">
        <v>18</v>
      </c>
      <c r="G161">
        <v>19</v>
      </c>
      <c r="H161">
        <v>20</v>
      </c>
      <c r="I161">
        <v>21</v>
      </c>
      <c r="J161">
        <v>22</v>
      </c>
      <c r="K161">
        <v>23</v>
      </c>
      <c r="L161">
        <v>24</v>
      </c>
      <c r="M161">
        <v>25</v>
      </c>
      <c r="N161" s="188">
        <v>26</v>
      </c>
      <c r="Z161" t="str">
        <f t="shared" si="57"/>
        <v/>
      </c>
      <c r="AB161" s="171" t="str">
        <f t="shared" si="58"/>
        <v/>
      </c>
    </row>
    <row r="162" spans="1:28" x14ac:dyDescent="0.15">
      <c r="A162" s="186"/>
      <c r="B162" t="e">
        <f t="shared" ref="B162:N162" si="70">DAVERAGE(RatioData,"Ratio",B160:B161)</f>
        <v>#DIV/0!</v>
      </c>
      <c r="C162" t="e">
        <f t="shared" si="70"/>
        <v>#DIV/0!</v>
      </c>
      <c r="D162" t="e">
        <f t="shared" si="70"/>
        <v>#DIV/0!</v>
      </c>
      <c r="E162" t="e">
        <f t="shared" si="70"/>
        <v>#DIV/0!</v>
      </c>
      <c r="F162" t="e">
        <f t="shared" si="70"/>
        <v>#DIV/0!</v>
      </c>
      <c r="G162" t="e">
        <f t="shared" si="70"/>
        <v>#DIV/0!</v>
      </c>
      <c r="H162" t="e">
        <f t="shared" si="70"/>
        <v>#DIV/0!</v>
      </c>
      <c r="I162" t="e">
        <f t="shared" si="70"/>
        <v>#DIV/0!</v>
      </c>
      <c r="J162" t="e">
        <f t="shared" si="70"/>
        <v>#DIV/0!</v>
      </c>
      <c r="K162" t="e">
        <f t="shared" si="70"/>
        <v>#DIV/0!</v>
      </c>
      <c r="L162" t="e">
        <f t="shared" si="70"/>
        <v>#DIV/0!</v>
      </c>
      <c r="M162" t="e">
        <f t="shared" si="70"/>
        <v>#DIV/0!</v>
      </c>
      <c r="N162" s="188" t="e">
        <f t="shared" si="70"/>
        <v>#DIV/0!</v>
      </c>
      <c r="Z162" t="str">
        <f t="shared" si="57"/>
        <v/>
      </c>
      <c r="AB162" s="171" t="str">
        <f t="shared" si="58"/>
        <v/>
      </c>
    </row>
    <row r="163" spans="1:28" x14ac:dyDescent="0.15">
      <c r="A163" s="186"/>
      <c r="B163" t="e">
        <f t="shared" ref="B163:N163" si="71">DSTDEV(RatioData,"Ratio",B160:B161)</f>
        <v>#DIV/0!</v>
      </c>
      <c r="C163" t="e">
        <f t="shared" si="71"/>
        <v>#DIV/0!</v>
      </c>
      <c r="D163" t="e">
        <f t="shared" si="71"/>
        <v>#DIV/0!</v>
      </c>
      <c r="E163" t="e">
        <f t="shared" si="71"/>
        <v>#DIV/0!</v>
      </c>
      <c r="F163" t="e">
        <f t="shared" si="71"/>
        <v>#DIV/0!</v>
      </c>
      <c r="G163" t="e">
        <f t="shared" si="71"/>
        <v>#DIV/0!</v>
      </c>
      <c r="H163" t="e">
        <f t="shared" si="71"/>
        <v>#DIV/0!</v>
      </c>
      <c r="I163" t="e">
        <f t="shared" si="71"/>
        <v>#DIV/0!</v>
      </c>
      <c r="J163" t="e">
        <f t="shared" si="71"/>
        <v>#DIV/0!</v>
      </c>
      <c r="K163" t="e">
        <f t="shared" si="71"/>
        <v>#DIV/0!</v>
      </c>
      <c r="L163" t="e">
        <f t="shared" si="71"/>
        <v>#DIV/0!</v>
      </c>
      <c r="M163" t="e">
        <f t="shared" si="71"/>
        <v>#DIV/0!</v>
      </c>
      <c r="N163" s="188" t="e">
        <f t="shared" si="71"/>
        <v>#DIV/0!</v>
      </c>
      <c r="Z163" t="str">
        <f t="shared" ref="Z163:Z194" si="72">IF(ISNUMBER(AA163),AA163^2,"")</f>
        <v/>
      </c>
      <c r="AB163" s="171" t="str">
        <f t="shared" ref="AB163:AB194" si="73">IF(ISNUMBER(AA163),Z163/SUM(Z$3:Z$200),"")</f>
        <v/>
      </c>
    </row>
    <row r="164" spans="1:28" x14ac:dyDescent="0.15">
      <c r="A164" s="186"/>
      <c r="B164" t="str">
        <f t="shared" ref="B164:N164" si="74">IF(ISNUMBER(B162),B162,"")</f>
        <v/>
      </c>
      <c r="C164" t="str">
        <f t="shared" si="74"/>
        <v/>
      </c>
      <c r="D164" t="str">
        <f t="shared" si="74"/>
        <v/>
      </c>
      <c r="E164" t="str">
        <f t="shared" si="74"/>
        <v/>
      </c>
      <c r="F164" t="str">
        <f t="shared" si="74"/>
        <v/>
      </c>
      <c r="G164" t="str">
        <f t="shared" si="74"/>
        <v/>
      </c>
      <c r="H164" t="str">
        <f t="shared" si="74"/>
        <v/>
      </c>
      <c r="I164" t="str">
        <f t="shared" si="74"/>
        <v/>
      </c>
      <c r="J164" t="str">
        <f t="shared" si="74"/>
        <v/>
      </c>
      <c r="K164" t="str">
        <f t="shared" si="74"/>
        <v/>
      </c>
      <c r="L164" t="str">
        <f t="shared" si="74"/>
        <v/>
      </c>
      <c r="M164" t="str">
        <f t="shared" si="74"/>
        <v/>
      </c>
      <c r="N164" s="188" t="str">
        <f t="shared" si="74"/>
        <v/>
      </c>
      <c r="Z164" t="str">
        <f t="shared" si="72"/>
        <v/>
      </c>
      <c r="AB164" s="171" t="str">
        <f t="shared" si="73"/>
        <v/>
      </c>
    </row>
    <row r="165" spans="1:28" x14ac:dyDescent="0.15">
      <c r="A165" s="186"/>
      <c r="N165" s="188"/>
      <c r="Z165" t="str">
        <f t="shared" si="72"/>
        <v/>
      </c>
      <c r="AB165" s="171" t="str">
        <f t="shared" si="73"/>
        <v/>
      </c>
    </row>
    <row r="166" spans="1:28" x14ac:dyDescent="0.15">
      <c r="A166" s="1"/>
      <c r="B166" s="1" t="s">
        <v>137</v>
      </c>
      <c r="C166" t="e">
        <f>AVERAGE($B$158:$N$158,$B$164:$P$164)</f>
        <v>#DIV/0!</v>
      </c>
      <c r="N166" s="188"/>
      <c r="Z166" t="str">
        <f t="shared" si="72"/>
        <v/>
      </c>
      <c r="AB166" s="171" t="str">
        <f t="shared" si="73"/>
        <v/>
      </c>
    </row>
    <row r="167" spans="1:28" x14ac:dyDescent="0.15">
      <c r="A167" s="1"/>
      <c r="B167" s="1" t="s">
        <v>138</v>
      </c>
      <c r="C167" t="e">
        <f>STDEV($B$158:$N$158,$B$164:$P$164)</f>
        <v>#DIV/0!</v>
      </c>
      <c r="N167" s="188"/>
      <c r="Z167" t="str">
        <f t="shared" si="72"/>
        <v/>
      </c>
      <c r="AB167" s="171" t="str">
        <f t="shared" si="73"/>
        <v/>
      </c>
    </row>
    <row r="168" spans="1:28" x14ac:dyDescent="0.15">
      <c r="A168" s="1"/>
      <c r="B168" s="1" t="s">
        <v>139</v>
      </c>
      <c r="C168">
        <f>COUNT($B$156:$N$156,$B$164:$N$164)</f>
        <v>0</v>
      </c>
      <c r="N168" s="188"/>
      <c r="Z168" t="str">
        <f t="shared" si="72"/>
        <v/>
      </c>
      <c r="AB168" s="171" t="str">
        <f t="shared" si="73"/>
        <v/>
      </c>
    </row>
    <row r="169" spans="1:28" ht="12" x14ac:dyDescent="0.15">
      <c r="A169" s="189"/>
      <c r="B169" s="189" t="s">
        <v>140</v>
      </c>
      <c r="C169" t="e">
        <f>C167/SQRT(C168)</f>
        <v>#DIV/0!</v>
      </c>
      <c r="N169" s="188"/>
      <c r="Z169" t="str">
        <f t="shared" si="72"/>
        <v/>
      </c>
      <c r="AB169" s="171" t="str">
        <f t="shared" si="73"/>
        <v/>
      </c>
    </row>
    <row r="170" spans="1:28" ht="12" x14ac:dyDescent="0.15">
      <c r="A170" s="190"/>
      <c r="B170" s="190" t="s">
        <v>141</v>
      </c>
      <c r="C170" s="191">
        <f>C168-1</f>
        <v>-1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3"/>
      <c r="Z170" t="str">
        <f t="shared" si="72"/>
        <v/>
      </c>
      <c r="AB170" s="171" t="str">
        <f t="shared" si="73"/>
        <v/>
      </c>
    </row>
    <row r="171" spans="1:28" x14ac:dyDescent="0.15">
      <c r="Z171" t="str">
        <f t="shared" si="72"/>
        <v/>
      </c>
      <c r="AB171" s="171" t="str">
        <f t="shared" si="73"/>
        <v/>
      </c>
    </row>
    <row r="172" spans="1:28" x14ac:dyDescent="0.15">
      <c r="Z172" t="str">
        <f t="shared" si="72"/>
        <v/>
      </c>
      <c r="AB172" s="171" t="str">
        <f t="shared" si="73"/>
        <v/>
      </c>
    </row>
    <row r="173" spans="1:28" x14ac:dyDescent="0.15">
      <c r="Z173" t="str">
        <f t="shared" si="72"/>
        <v/>
      </c>
      <c r="AB173" s="171" t="str">
        <f t="shared" si="73"/>
        <v/>
      </c>
    </row>
    <row r="174" spans="1:28" ht="12" x14ac:dyDescent="0.15">
      <c r="A174" s="160" t="s">
        <v>154</v>
      </c>
      <c r="B174" s="160" t="s">
        <v>155</v>
      </c>
      <c r="C174" s="160"/>
      <c r="D174" s="160"/>
      <c r="E174" s="160"/>
      <c r="F174" s="161"/>
      <c r="G174" s="161"/>
      <c r="H174" s="161"/>
      <c r="Z174" t="str">
        <f t="shared" si="72"/>
        <v/>
      </c>
      <c r="AB174" s="171" t="str">
        <f t="shared" si="73"/>
        <v/>
      </c>
    </row>
    <row r="175" spans="1:28" ht="12" x14ac:dyDescent="0.15">
      <c r="A175" s="161"/>
      <c r="B175" s="161"/>
      <c r="C175" s="161"/>
      <c r="D175" s="161"/>
      <c r="E175" s="161"/>
      <c r="F175" s="161"/>
      <c r="G175" s="161"/>
      <c r="H175" s="161"/>
      <c r="Z175" t="str">
        <f t="shared" si="72"/>
        <v/>
      </c>
      <c r="AB175" s="171" t="str">
        <f t="shared" si="73"/>
        <v/>
      </c>
    </row>
    <row r="176" spans="1:28" ht="12" x14ac:dyDescent="0.15">
      <c r="A176" s="161"/>
      <c r="B176" s="213" t="s">
        <v>156</v>
      </c>
      <c r="C176" s="214"/>
      <c r="D176" s="214" t="s">
        <v>157</v>
      </c>
      <c r="E176" s="214" t="s">
        <v>158</v>
      </c>
      <c r="F176" s="215" t="s">
        <v>159</v>
      </c>
      <c r="G176" s="214" t="s">
        <v>160</v>
      </c>
      <c r="H176" s="215" t="s">
        <v>161</v>
      </c>
      <c r="Z176" t="str">
        <f t="shared" si="72"/>
        <v/>
      </c>
      <c r="AB176" s="171" t="str">
        <f t="shared" si="73"/>
        <v/>
      </c>
    </row>
    <row r="177" spans="1:28" ht="12" x14ac:dyDescent="0.15">
      <c r="A177" s="161"/>
      <c r="B177" s="205" t="s">
        <v>162</v>
      </c>
      <c r="C177" s="161"/>
      <c r="D177" s="177" t="e">
        <f>C3</f>
        <v>#DIV/0!</v>
      </c>
      <c r="E177" s="177">
        <f>IF(ISERROR(C6),0,C6)</f>
        <v>0</v>
      </c>
      <c r="F177" s="175">
        <f>IF(C7&lt;=0,1000,C7)</f>
        <v>1000</v>
      </c>
      <c r="G177" s="161">
        <f t="shared" ref="G177:G182" si="75">TINV(0.05,F177)</f>
        <v>1.9623390808264143</v>
      </c>
      <c r="H177" s="216">
        <f t="shared" ref="H177:H182" si="76">G177*E177</f>
        <v>0</v>
      </c>
      <c r="Z177" t="str">
        <f t="shared" si="72"/>
        <v/>
      </c>
      <c r="AB177" s="171" t="str">
        <f t="shared" si="73"/>
        <v/>
      </c>
    </row>
    <row r="178" spans="1:28" ht="12" x14ac:dyDescent="0.15">
      <c r="A178" s="161"/>
      <c r="B178" s="205" t="s">
        <v>163</v>
      </c>
      <c r="C178" s="161"/>
      <c r="D178" s="177" t="e">
        <f>C23</f>
        <v>#DIV/0!</v>
      </c>
      <c r="E178" s="177">
        <f>IF(ISERROR(C26),0,C26)</f>
        <v>0</v>
      </c>
      <c r="F178" s="175">
        <f>IF(C27&lt;=0,1000,C27)</f>
        <v>1000</v>
      </c>
      <c r="G178" s="161">
        <f t="shared" si="75"/>
        <v>1.9623390808264143</v>
      </c>
      <c r="H178" s="216">
        <f t="shared" si="76"/>
        <v>0</v>
      </c>
      <c r="Z178" t="str">
        <f t="shared" si="72"/>
        <v/>
      </c>
      <c r="AB178" s="171" t="str">
        <f t="shared" si="73"/>
        <v/>
      </c>
    </row>
    <row r="179" spans="1:28" ht="12" x14ac:dyDescent="0.15">
      <c r="A179" s="161"/>
      <c r="B179" s="205" t="s">
        <v>164</v>
      </c>
      <c r="C179" s="161"/>
      <c r="D179" s="177" t="e">
        <f>C92</f>
        <v>#DIV/0!</v>
      </c>
      <c r="E179" s="177">
        <f>IF(ISERROR(C95),0,C95)</f>
        <v>0</v>
      </c>
      <c r="F179" s="217">
        <f>IF(C96&lt;=0,1000,C96)</f>
        <v>1000</v>
      </c>
      <c r="G179" s="161">
        <f t="shared" si="75"/>
        <v>1.9623390808264143</v>
      </c>
      <c r="H179" s="216">
        <f t="shared" si="76"/>
        <v>0</v>
      </c>
      <c r="Z179" t="str">
        <f t="shared" si="72"/>
        <v/>
      </c>
      <c r="AB179" s="171" t="str">
        <f t="shared" si="73"/>
        <v/>
      </c>
    </row>
    <row r="180" spans="1:28" ht="12" x14ac:dyDescent="0.15">
      <c r="A180" s="161"/>
      <c r="B180" s="205" t="s">
        <v>165</v>
      </c>
      <c r="C180" s="161"/>
      <c r="D180" s="177" t="e">
        <f>C105</f>
        <v>#DIV/0!</v>
      </c>
      <c r="E180" s="177">
        <f>IF(ISERROR(C108),0,C108)</f>
        <v>0</v>
      </c>
      <c r="F180" s="175">
        <f>IF(C109&lt;=0,1000,C109)</f>
        <v>1000</v>
      </c>
      <c r="G180" s="161">
        <f t="shared" si="75"/>
        <v>1.9623390808264143</v>
      </c>
      <c r="H180" s="216">
        <f t="shared" si="76"/>
        <v>0</v>
      </c>
      <c r="Z180" t="str">
        <f t="shared" si="72"/>
        <v/>
      </c>
      <c r="AB180" s="171" t="str">
        <f t="shared" si="73"/>
        <v/>
      </c>
    </row>
    <row r="181" spans="1:28" ht="12" x14ac:dyDescent="0.15">
      <c r="A181" s="161"/>
      <c r="B181" s="205" t="s">
        <v>166</v>
      </c>
      <c r="C181" s="161"/>
      <c r="D181" s="177" t="e">
        <f>C145</f>
        <v>#DIV/0!</v>
      </c>
      <c r="E181" s="177">
        <f>IF(ISERROR(C148),0,C148)</f>
        <v>0</v>
      </c>
      <c r="F181" s="175">
        <f>IF(C149&lt;=0,1000,C149)</f>
        <v>1000</v>
      </c>
      <c r="G181" s="161">
        <f t="shared" si="75"/>
        <v>1.9623390808264143</v>
      </c>
      <c r="H181" s="216">
        <f t="shared" si="76"/>
        <v>0</v>
      </c>
      <c r="Z181" t="str">
        <f t="shared" si="72"/>
        <v/>
      </c>
      <c r="AB181" s="171" t="str">
        <f t="shared" si="73"/>
        <v/>
      </c>
    </row>
    <row r="182" spans="1:28" ht="12" x14ac:dyDescent="0.15">
      <c r="A182" s="161"/>
      <c r="B182" s="207" t="s">
        <v>167</v>
      </c>
      <c r="C182" s="179"/>
      <c r="D182" s="179" t="e">
        <f>C166</f>
        <v>#DIV/0!</v>
      </c>
      <c r="E182" s="218">
        <f>IF(ISERROR(C169),0,C169)</f>
        <v>0</v>
      </c>
      <c r="F182" s="181">
        <f>IF(C170&lt;=0,1000,C170)</f>
        <v>1000</v>
      </c>
      <c r="G182" s="179">
        <f t="shared" si="75"/>
        <v>1.9623390808264143</v>
      </c>
      <c r="H182" s="219">
        <f t="shared" si="76"/>
        <v>0</v>
      </c>
      <c r="Z182" t="str">
        <f t="shared" si="72"/>
        <v/>
      </c>
      <c r="AB182" s="171" t="str">
        <f t="shared" si="73"/>
        <v/>
      </c>
    </row>
    <row r="183" spans="1:28" ht="12" x14ac:dyDescent="0.15">
      <c r="A183" s="161"/>
      <c r="B183" s="220"/>
      <c r="C183" s="168"/>
      <c r="D183" s="168"/>
      <c r="E183" s="168"/>
      <c r="F183" s="169" t="s">
        <v>161</v>
      </c>
      <c r="G183" s="161"/>
      <c r="H183" s="161"/>
      <c r="Z183" t="str">
        <f t="shared" si="72"/>
        <v/>
      </c>
      <c r="AB183" s="171" t="str">
        <f t="shared" si="73"/>
        <v/>
      </c>
    </row>
    <row r="184" spans="1:28" ht="12" x14ac:dyDescent="0.15">
      <c r="B184" s="205" t="s">
        <v>168</v>
      </c>
      <c r="C184" s="161"/>
      <c r="D184" s="161"/>
      <c r="E184" s="161"/>
      <c r="F184" s="221">
        <f>MAX(H177:H182)</f>
        <v>0</v>
      </c>
      <c r="G184" s="161"/>
      <c r="H184" s="161"/>
      <c r="Z184" t="str">
        <f t="shared" si="72"/>
        <v/>
      </c>
      <c r="AB184" s="171" t="str">
        <f t="shared" si="73"/>
        <v/>
      </c>
    </row>
    <row r="185" spans="1:28" ht="13" x14ac:dyDescent="0.15">
      <c r="B185" s="205"/>
      <c r="C185" s="161"/>
      <c r="D185" s="161"/>
      <c r="E185" s="161"/>
      <c r="F185" s="221"/>
      <c r="G185" s="222" t="s">
        <v>169</v>
      </c>
      <c r="H185" s="223"/>
      <c r="I185" s="224"/>
      <c r="J185" s="224"/>
      <c r="K185" s="225"/>
      <c r="Z185" t="str">
        <f t="shared" si="72"/>
        <v/>
      </c>
      <c r="AB185" s="171" t="str">
        <f t="shared" si="73"/>
        <v/>
      </c>
    </row>
    <row r="186" spans="1:28" ht="13" x14ac:dyDescent="0.15">
      <c r="A186" s="161"/>
      <c r="B186" s="205" t="s">
        <v>170</v>
      </c>
      <c r="C186" s="161"/>
      <c r="D186" s="161"/>
      <c r="E186" s="161"/>
      <c r="F186" s="226" t="e">
        <f>DGET($B$176:$H$182,"Type",$F$183:$F$184)</f>
        <v>#NUM!</v>
      </c>
      <c r="G186" s="494">
        <f>MAX(AB3:AB8)</f>
        <v>0</v>
      </c>
      <c r="H186" s="494"/>
      <c r="I186" s="494"/>
      <c r="J186" s="227" t="e">
        <f>LOOKUP($G$186,$AB$3:$AB$6,$X$3:$X$6)</f>
        <v>#N/A</v>
      </c>
      <c r="K186" s="149"/>
      <c r="Z186" t="str">
        <f t="shared" si="72"/>
        <v/>
      </c>
      <c r="AB186" s="171" t="str">
        <f t="shared" si="73"/>
        <v/>
      </c>
    </row>
    <row r="187" spans="1:28" ht="12" x14ac:dyDescent="0.15">
      <c r="A187" s="161"/>
      <c r="B187" s="205" t="s">
        <v>171</v>
      </c>
      <c r="C187" s="161"/>
      <c r="D187" s="161"/>
      <c r="E187" s="161"/>
      <c r="F187" s="228" t="e">
        <f>DGET($B$176:$H$182,"Mean",$F$183:$F$184)</f>
        <v>#NUM!</v>
      </c>
      <c r="G187" s="161"/>
      <c r="H187" s="161"/>
      <c r="Z187" t="str">
        <f t="shared" si="72"/>
        <v/>
      </c>
      <c r="AB187" s="171" t="str">
        <f t="shared" si="73"/>
        <v/>
      </c>
    </row>
    <row r="188" spans="1:28" ht="12" x14ac:dyDescent="0.15">
      <c r="A188" s="161"/>
      <c r="B188" s="205" t="s">
        <v>172</v>
      </c>
      <c r="C188" s="161"/>
      <c r="D188" s="161"/>
      <c r="E188" s="161"/>
      <c r="F188" s="228" t="e">
        <f>DGET($B$176:$H$182,"Std Unc",$F$183:$F$184)</f>
        <v>#NUM!</v>
      </c>
      <c r="G188" s="161"/>
      <c r="H188" s="229"/>
      <c r="Z188" t="str">
        <f t="shared" si="72"/>
        <v/>
      </c>
      <c r="AB188" s="171" t="str">
        <f t="shared" si="73"/>
        <v/>
      </c>
    </row>
    <row r="189" spans="1:28" ht="12" x14ac:dyDescent="0.15">
      <c r="A189" s="161"/>
      <c r="B189" s="207" t="s">
        <v>173</v>
      </c>
      <c r="C189" s="179"/>
      <c r="D189" s="179"/>
      <c r="E189" s="179"/>
      <c r="F189" s="230" t="e">
        <f>DGET($B$176:$H$182,"d.f.",$F$183:$F$184)</f>
        <v>#NUM!</v>
      </c>
      <c r="G189" s="161"/>
      <c r="H189" s="161"/>
      <c r="Z189" t="str">
        <f t="shared" si="72"/>
        <v/>
      </c>
      <c r="AB189" s="171" t="str">
        <f t="shared" si="73"/>
        <v/>
      </c>
    </row>
    <row r="190" spans="1:28" x14ac:dyDescent="0.15">
      <c r="Z190" t="str">
        <f t="shared" si="72"/>
        <v/>
      </c>
      <c r="AB190" s="171" t="str">
        <f t="shared" si="73"/>
        <v/>
      </c>
    </row>
    <row r="191" spans="1:28" x14ac:dyDescent="0.15">
      <c r="Z191" t="str">
        <f t="shared" si="72"/>
        <v/>
      </c>
      <c r="AB191" s="171" t="str">
        <f t="shared" si="73"/>
        <v/>
      </c>
    </row>
    <row r="192" spans="1:28" x14ac:dyDescent="0.15">
      <c r="Z192" t="str">
        <f t="shared" si="72"/>
        <v/>
      </c>
      <c r="AB192" s="171" t="str">
        <f t="shared" si="73"/>
        <v/>
      </c>
    </row>
    <row r="193" spans="26:28" x14ac:dyDescent="0.15">
      <c r="Z193" t="str">
        <f t="shared" si="72"/>
        <v/>
      </c>
      <c r="AB193" s="171" t="str">
        <f t="shared" si="73"/>
        <v/>
      </c>
    </row>
    <row r="194" spans="26:28" x14ac:dyDescent="0.15">
      <c r="Z194" t="str">
        <f t="shared" si="72"/>
        <v/>
      </c>
      <c r="AB194" s="171" t="str">
        <f t="shared" si="73"/>
        <v/>
      </c>
    </row>
    <row r="195" spans="26:28" x14ac:dyDescent="0.15">
      <c r="Z195" t="str">
        <f t="shared" ref="Z195:Z200" si="77">IF(ISNUMBER(AA195),AA195^2,"")</f>
        <v/>
      </c>
      <c r="AB195" s="171" t="str">
        <f t="shared" ref="AB195:AB200" si="78">IF(ISNUMBER(AA195),Z195/SUM(Z$3:Z$200),"")</f>
        <v/>
      </c>
    </row>
    <row r="196" spans="26:28" x14ac:dyDescent="0.15">
      <c r="Z196" t="str">
        <f t="shared" si="77"/>
        <v/>
      </c>
      <c r="AB196" s="171" t="str">
        <f t="shared" si="78"/>
        <v/>
      </c>
    </row>
    <row r="197" spans="26:28" x14ac:dyDescent="0.15">
      <c r="Z197" t="str">
        <f t="shared" si="77"/>
        <v/>
      </c>
      <c r="AB197" s="171" t="str">
        <f t="shared" si="78"/>
        <v/>
      </c>
    </row>
    <row r="198" spans="26:28" x14ac:dyDescent="0.15">
      <c r="Z198" t="str">
        <f t="shared" si="77"/>
        <v/>
      </c>
      <c r="AB198" s="171" t="str">
        <f t="shared" si="78"/>
        <v/>
      </c>
    </row>
    <row r="199" spans="26:28" x14ac:dyDescent="0.15">
      <c r="Z199" t="str">
        <f t="shared" si="77"/>
        <v/>
      </c>
      <c r="AB199" s="171" t="str">
        <f t="shared" si="78"/>
        <v/>
      </c>
    </row>
    <row r="200" spans="26:28" x14ac:dyDescent="0.15">
      <c r="Z200" t="str">
        <f t="shared" si="77"/>
        <v/>
      </c>
      <c r="AB200" s="171" t="str">
        <f t="shared" si="78"/>
        <v/>
      </c>
    </row>
  </sheetData>
  <mergeCells count="1">
    <mergeCell ref="G186:I186"/>
  </mergeCells>
  <pageMargins left="0.75" right="0.75" top="1" bottom="1" header="0.511811023622047" footer="0.511811023622047"/>
  <pageSetup orientation="landscape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70"/>
  <sheetViews>
    <sheetView topLeftCell="C1" zoomScale="101" zoomScaleNormal="100" workbookViewId="0">
      <selection activeCell="U24" sqref="U24"/>
    </sheetView>
  </sheetViews>
  <sheetFormatPr baseColWidth="10" defaultColWidth="8.796875" defaultRowHeight="11" x14ac:dyDescent="0.15"/>
  <cols>
    <col min="1" max="2" width="10.19921875" customWidth="1"/>
    <col min="3" max="3" width="12.796875" customWidth="1"/>
    <col min="9" max="9" width="9.796875" customWidth="1"/>
    <col min="10" max="10" width="11.3984375" customWidth="1"/>
    <col min="12" max="13" width="9.59765625" style="231" customWidth="1"/>
    <col min="17" max="17" width="1.3984375" customWidth="1"/>
    <col min="18" max="18" width="5.59765625" customWidth="1"/>
    <col min="19" max="19" width="7.59765625" customWidth="1"/>
    <col min="20" max="20" width="14.796875" customWidth="1"/>
    <col min="21" max="21" width="14.59765625" customWidth="1"/>
    <col min="22" max="23" width="12" customWidth="1"/>
    <col min="26" max="26" width="9" customWidth="1"/>
  </cols>
  <sheetData>
    <row r="1" spans="1:23" ht="13" x14ac:dyDescent="0.15">
      <c r="A1" s="60" t="s">
        <v>174</v>
      </c>
      <c r="B1" s="60" t="s">
        <v>175</v>
      </c>
      <c r="L1" s="232">
        <v>1</v>
      </c>
      <c r="M1" s="233">
        <v>0</v>
      </c>
      <c r="N1" s="7" t="s">
        <v>176</v>
      </c>
      <c r="T1" s="234" t="s">
        <v>2</v>
      </c>
      <c r="U1" s="235" t="s">
        <v>60</v>
      </c>
      <c r="V1" s="236" t="s">
        <v>61</v>
      </c>
      <c r="W1" s="237" t="s">
        <v>60</v>
      </c>
    </row>
    <row r="2" spans="1:23" ht="13" x14ac:dyDescent="0.15">
      <c r="H2" t="s">
        <v>177</v>
      </c>
      <c r="J2" s="1" t="s">
        <v>178</v>
      </c>
      <c r="L2" s="238" t="e">
        <f>($L$1-Intercept)/Slope</f>
        <v>#DIV/0!</v>
      </c>
      <c r="N2" s="7" t="s">
        <v>179</v>
      </c>
      <c r="S2">
        <v>1</v>
      </c>
      <c r="T2" s="239" t="str">
        <f>'Standards Data'!M16</f>
        <v/>
      </c>
      <c r="U2" s="240" t="str">
        <f>'Standards Data'!N16</f>
        <v/>
      </c>
      <c r="V2" s="241" t="str">
        <f>'Standards Data'!K16</f>
        <v/>
      </c>
      <c r="W2" s="20" t="str">
        <f>'Standards Data'!L16</f>
        <v/>
      </c>
    </row>
    <row r="3" spans="1:23" ht="13" x14ac:dyDescent="0.15">
      <c r="B3" t="s">
        <v>180</v>
      </c>
      <c r="D3">
        <f>COUNT(SRatio)</f>
        <v>0</v>
      </c>
      <c r="H3" s="242" t="s">
        <v>181</v>
      </c>
      <c r="I3" s="243">
        <f>B27</f>
        <v>0</v>
      </c>
      <c r="J3" s="244" t="s">
        <v>182</v>
      </c>
      <c r="S3">
        <v>2</v>
      </c>
      <c r="T3" s="239" t="str">
        <f>'Standards Data'!M17</f>
        <v/>
      </c>
      <c r="U3" s="240" t="str">
        <f>'Standards Data'!N17</f>
        <v/>
      </c>
      <c r="V3" s="241" t="str">
        <f>'Standards Data'!K17</f>
        <v/>
      </c>
      <c r="W3" s="20" t="str">
        <f>'Standards Data'!L17</f>
        <v/>
      </c>
    </row>
    <row r="4" spans="1:23" ht="13" x14ac:dyDescent="0.15">
      <c r="B4" t="s">
        <v>183</v>
      </c>
      <c r="D4" s="63" t="e">
        <f>AVERAGE(SConc)</f>
        <v>#DIV/0!</v>
      </c>
      <c r="H4" s="245" t="s">
        <v>184</v>
      </c>
      <c r="I4" s="246">
        <f>C27</f>
        <v>0</v>
      </c>
      <c r="J4" s="247" t="s">
        <v>185</v>
      </c>
      <c r="L4" s="248">
        <v>1</v>
      </c>
      <c r="N4" s="7" t="s">
        <v>186</v>
      </c>
      <c r="O4" s="7"/>
      <c r="S4">
        <v>3</v>
      </c>
      <c r="T4" s="239" t="str">
        <f>'Standards Data'!M18</f>
        <v/>
      </c>
      <c r="U4" s="240" t="str">
        <f>'Standards Data'!N18</f>
        <v/>
      </c>
      <c r="V4" s="241" t="str">
        <f>'Standards Data'!K18</f>
        <v/>
      </c>
      <c r="W4" s="20" t="str">
        <f>'Standards Data'!L18</f>
        <v/>
      </c>
    </row>
    <row r="5" spans="1:23" ht="13" x14ac:dyDescent="0.15">
      <c r="H5" s="249" t="s">
        <v>187</v>
      </c>
      <c r="I5" s="250">
        <f>B26</f>
        <v>0</v>
      </c>
      <c r="J5" s="251" t="s">
        <v>188</v>
      </c>
      <c r="L5" s="252"/>
      <c r="M5" s="253"/>
      <c r="N5" s="7" t="s">
        <v>189</v>
      </c>
      <c r="O5" s="7"/>
      <c r="P5" s="7"/>
      <c r="S5">
        <v>4</v>
      </c>
      <c r="T5" s="239" t="str">
        <f>'Standards Data'!M19</f>
        <v/>
      </c>
      <c r="U5" s="240" t="str">
        <f>'Standards Data'!N19</f>
        <v/>
      </c>
      <c r="V5" s="241" t="str">
        <f>'Standards Data'!K19</f>
        <v/>
      </c>
      <c r="W5" s="20" t="str">
        <f>'Standards Data'!L19</f>
        <v/>
      </c>
    </row>
    <row r="6" spans="1:23" ht="13" x14ac:dyDescent="0.15">
      <c r="A6" s="60" t="s">
        <v>190</v>
      </c>
      <c r="B6" s="60" t="s">
        <v>191</v>
      </c>
      <c r="E6" s="254" t="s">
        <v>192</v>
      </c>
      <c r="H6" s="245" t="s">
        <v>193</v>
      </c>
      <c r="I6" s="250">
        <f>C26</f>
        <v>0</v>
      </c>
      <c r="J6" s="251" t="s">
        <v>194</v>
      </c>
      <c r="L6" s="252" t="e">
        <f>L5*MeanRatio</f>
        <v>#NUM!</v>
      </c>
      <c r="M6" s="253" t="e">
        <f>SQRT(SUMSQ(L6*SQRT(SUMSQ(M5/L5,StdUnc/MeanRatio)),'Certified Value'!E30))</f>
        <v>#NUM!</v>
      </c>
      <c r="N6" s="7" t="s">
        <v>195</v>
      </c>
      <c r="S6">
        <v>5</v>
      </c>
      <c r="T6" s="239" t="str">
        <f>'Standards Data'!M20</f>
        <v/>
      </c>
      <c r="U6" s="240" t="str">
        <f>'Standards Data'!N20</f>
        <v/>
      </c>
      <c r="V6" s="241" t="str">
        <f>'Standards Data'!K20</f>
        <v/>
      </c>
      <c r="W6" s="20" t="str">
        <f>'Standards Data'!L20</f>
        <v/>
      </c>
    </row>
    <row r="7" spans="1:23" ht="13" x14ac:dyDescent="0.15">
      <c r="E7" s="7" t="s">
        <v>196</v>
      </c>
      <c r="H7" s="249" t="s">
        <v>159</v>
      </c>
      <c r="I7" s="250">
        <f>B22</f>
        <v>0</v>
      </c>
      <c r="J7" s="251" t="s">
        <v>197</v>
      </c>
      <c r="L7" s="255"/>
      <c r="M7" s="255"/>
      <c r="N7" s="7" t="s">
        <v>198</v>
      </c>
      <c r="S7">
        <v>6</v>
      </c>
      <c r="T7" s="239" t="str">
        <f>'Standards Data'!M21</f>
        <v/>
      </c>
      <c r="U7" s="240" t="str">
        <f>'Standards Data'!N21</f>
        <v/>
      </c>
      <c r="V7" s="241" t="str">
        <f>'Standards Data'!K21</f>
        <v/>
      </c>
      <c r="W7" s="20" t="str">
        <f>'Standards Data'!L21</f>
        <v/>
      </c>
    </row>
    <row r="8" spans="1:23" ht="13" x14ac:dyDescent="0.15">
      <c r="E8" s="7" t="s">
        <v>199</v>
      </c>
      <c r="H8" s="256" t="s">
        <v>200</v>
      </c>
      <c r="I8" s="257" t="e">
        <f>-D4*C27^2</f>
        <v>#DIV/0!</v>
      </c>
      <c r="J8" s="258" t="s">
        <v>201</v>
      </c>
      <c r="L8" s="259"/>
      <c r="M8" s="260"/>
      <c r="N8" s="7" t="s">
        <v>202</v>
      </c>
      <c r="S8">
        <v>7</v>
      </c>
      <c r="T8" s="239" t="str">
        <f>'Standards Data'!M22</f>
        <v/>
      </c>
      <c r="U8" s="240" t="str">
        <f>'Standards Data'!N22</f>
        <v/>
      </c>
      <c r="V8" s="241" t="str">
        <f>'Standards Data'!K22</f>
        <v/>
      </c>
      <c r="W8" s="20" t="str">
        <f>'Standards Data'!L22</f>
        <v/>
      </c>
    </row>
    <row r="9" spans="1:23" ht="13" x14ac:dyDescent="0.15">
      <c r="E9" s="7" t="s">
        <v>203</v>
      </c>
      <c r="L9" s="261"/>
      <c r="M9" s="262"/>
      <c r="N9" s="7" t="s">
        <v>204</v>
      </c>
      <c r="S9">
        <v>8</v>
      </c>
      <c r="T9" s="239" t="str">
        <f>'Standards Data'!M23</f>
        <v/>
      </c>
      <c r="U9" s="240" t="str">
        <f>'Standards Data'!N23</f>
        <v/>
      </c>
      <c r="V9" s="241" t="str">
        <f>'Standards Data'!K23</f>
        <v/>
      </c>
      <c r="W9" s="20" t="str">
        <f>'Standards Data'!L23</f>
        <v/>
      </c>
    </row>
    <row r="10" spans="1:23" ht="13" x14ac:dyDescent="0.15">
      <c r="A10" t="s">
        <v>205</v>
      </c>
      <c r="L10" s="263"/>
      <c r="M10" s="264"/>
      <c r="N10" s="7" t="s">
        <v>206</v>
      </c>
      <c r="S10">
        <v>9</v>
      </c>
      <c r="T10" s="239" t="str">
        <f>'Standards Data'!M24</f>
        <v/>
      </c>
      <c r="U10" s="240" t="str">
        <f>'Standards Data'!N24</f>
        <v/>
      </c>
      <c r="V10" s="241" t="str">
        <f>'Standards Data'!K24</f>
        <v/>
      </c>
      <c r="W10" s="20" t="str">
        <f>'Standards Data'!L24</f>
        <v/>
      </c>
    </row>
    <row r="11" spans="1:23" ht="13" x14ac:dyDescent="0.15">
      <c r="M11" s="265" t="s">
        <v>207</v>
      </c>
      <c r="S11">
        <v>10</v>
      </c>
      <c r="T11" s="266" t="str">
        <f>'Standards Data'!M25</f>
        <v/>
      </c>
      <c r="U11" s="267" t="str">
        <f>'Standards Data'!N25</f>
        <v/>
      </c>
      <c r="V11" s="268" t="str">
        <f>'Standards Data'!K25</f>
        <v/>
      </c>
      <c r="W11" s="22" t="str">
        <f>'Standards Data'!L25</f>
        <v/>
      </c>
    </row>
    <row r="12" spans="1:23" x14ac:dyDescent="0.15">
      <c r="A12" s="491" t="s">
        <v>208</v>
      </c>
      <c r="B12" s="491"/>
      <c r="R12" s="490" t="s">
        <v>209</v>
      </c>
      <c r="S12" s="490"/>
      <c r="T12" s="269">
        <f>L1</f>
        <v>1</v>
      </c>
      <c r="U12" s="270">
        <f>M1</f>
        <v>0</v>
      </c>
      <c r="V12" s="75"/>
      <c r="W12" s="75"/>
    </row>
    <row r="13" spans="1:23" x14ac:dyDescent="0.15">
      <c r="A13" t="s">
        <v>210</v>
      </c>
      <c r="R13" s="490" t="s">
        <v>211</v>
      </c>
      <c r="S13" s="490"/>
      <c r="T13" s="269" t="str">
        <f>IF(ISERROR('Past LS'!M25),"",'Past LS'!M25)</f>
        <v/>
      </c>
      <c r="U13" s="271" t="str">
        <f>IF(ISERROR('Past LS'!M26),"",'Past LS'!M26)</f>
        <v/>
      </c>
      <c r="W13" s="75"/>
    </row>
    <row r="14" spans="1:23" x14ac:dyDescent="0.15">
      <c r="A14" t="s">
        <v>212</v>
      </c>
      <c r="R14" s="490" t="s">
        <v>211</v>
      </c>
      <c r="S14" s="490"/>
      <c r="T14" s="272" t="str">
        <f>IF(ISERROR('Past LS'!N25),"",'Past LS'!N25)</f>
        <v/>
      </c>
      <c r="U14" s="270" t="str">
        <f>IF(ISERROR('Past LS'!N26),"",'Past LS'!N26)</f>
        <v/>
      </c>
    </row>
    <row r="15" spans="1:23" x14ac:dyDescent="0.15">
      <c r="A15" t="s">
        <v>213</v>
      </c>
      <c r="R15" s="490" t="s">
        <v>211</v>
      </c>
      <c r="S15" s="490"/>
      <c r="T15" s="273" t="str">
        <f>IF(ISERROR('Past LS'!O25),"",'Past LS'!O25)</f>
        <v/>
      </c>
      <c r="U15" s="274" t="str">
        <f>IF(ISERROR('Past LS'!O26),"",'Past LS'!O26)</f>
        <v/>
      </c>
    </row>
    <row r="16" spans="1:23" x14ac:dyDescent="0.15">
      <c r="A16" t="s">
        <v>214</v>
      </c>
      <c r="R16" s="490"/>
      <c r="S16" s="490"/>
    </row>
    <row r="17" spans="1:24" x14ac:dyDescent="0.15">
      <c r="A17" s="191" t="s">
        <v>215</v>
      </c>
      <c r="B17" s="191"/>
      <c r="R17" s="490" t="s">
        <v>216</v>
      </c>
      <c r="S17" s="490"/>
      <c r="T17">
        <f>COUNT(T2:T11)</f>
        <v>0</v>
      </c>
    </row>
    <row r="18" spans="1:24" x14ac:dyDescent="0.15">
      <c r="R18" s="490" t="s">
        <v>217</v>
      </c>
      <c r="S18" s="490"/>
      <c r="T18">
        <f>COUNT(T12:T15)</f>
        <v>1</v>
      </c>
    </row>
    <row r="19" spans="1:24" x14ac:dyDescent="0.15">
      <c r="A19" t="s">
        <v>218</v>
      </c>
    </row>
    <row r="20" spans="1:24" x14ac:dyDescent="0.15">
      <c r="A20" s="2"/>
      <c r="B20" s="2" t="s">
        <v>219</v>
      </c>
      <c r="C20" s="2" t="s">
        <v>220</v>
      </c>
      <c r="D20" s="2" t="s">
        <v>221</v>
      </c>
      <c r="E20" s="2" t="s">
        <v>222</v>
      </c>
      <c r="F20" s="2" t="s">
        <v>223</v>
      </c>
    </row>
    <row r="21" spans="1:24" x14ac:dyDescent="0.15">
      <c r="A21" t="s">
        <v>224</v>
      </c>
    </row>
    <row r="22" spans="1:24" x14ac:dyDescent="0.15">
      <c r="A22" t="s">
        <v>225</v>
      </c>
      <c r="S22" s="275"/>
      <c r="T22" s="224"/>
      <c r="U22" s="224"/>
      <c r="V22" s="224"/>
      <c r="W22" s="224"/>
      <c r="X22" s="225"/>
    </row>
    <row r="23" spans="1:24" x14ac:dyDescent="0.15">
      <c r="A23" s="191" t="s">
        <v>226</v>
      </c>
      <c r="B23" s="191">
        <f>SUM(B21:B22)</f>
        <v>0</v>
      </c>
      <c r="C23" s="191">
        <f>SUM(C21:C22)</f>
        <v>0</v>
      </c>
      <c r="D23" s="191"/>
      <c r="E23" s="191"/>
      <c r="F23" s="191"/>
      <c r="S23" s="276"/>
      <c r="T23" s="277"/>
      <c r="U23" s="277" t="s">
        <v>227</v>
      </c>
      <c r="V23" s="277" t="s">
        <v>120</v>
      </c>
      <c r="W23" s="277"/>
      <c r="X23" s="250"/>
    </row>
    <row r="24" spans="1:24" x14ac:dyDescent="0.15">
      <c r="S24" s="276"/>
      <c r="T24" s="277" t="s">
        <v>323</v>
      </c>
      <c r="U24" s="277"/>
      <c r="V24" s="277"/>
      <c r="W24" s="277"/>
      <c r="X24" s="250"/>
    </row>
    <row r="25" spans="1:24" x14ac:dyDescent="0.15">
      <c r="A25" s="2"/>
      <c r="B25" s="2" t="s">
        <v>228</v>
      </c>
      <c r="C25" s="2" t="s">
        <v>214</v>
      </c>
      <c r="D25" s="2" t="s">
        <v>229</v>
      </c>
      <c r="E25" s="2" t="s">
        <v>230</v>
      </c>
      <c r="F25" s="2" t="s">
        <v>231</v>
      </c>
      <c r="G25" s="2" t="s">
        <v>232</v>
      </c>
      <c r="H25" s="2" t="s">
        <v>233</v>
      </c>
      <c r="I25" s="2" t="s">
        <v>234</v>
      </c>
      <c r="S25" s="276"/>
      <c r="T25" s="277"/>
      <c r="U25" s="277"/>
      <c r="V25" s="277"/>
      <c r="W25" s="277"/>
      <c r="X25" s="250"/>
    </row>
    <row r="26" spans="1:24" x14ac:dyDescent="0.15">
      <c r="A26" t="s">
        <v>235</v>
      </c>
      <c r="H26">
        <f>F26</f>
        <v>0</v>
      </c>
      <c r="I26">
        <f>G26</f>
        <v>0</v>
      </c>
      <c r="S26" s="276"/>
      <c r="T26" s="277"/>
      <c r="U26" s="277"/>
      <c r="V26" s="277"/>
      <c r="W26" s="277"/>
      <c r="X26" s="250"/>
    </row>
    <row r="27" spans="1:24" ht="12" thickBot="1" x14ac:dyDescent="0.2">
      <c r="A27" s="191" t="s">
        <v>236</v>
      </c>
      <c r="B27" s="191"/>
      <c r="C27" s="191"/>
      <c r="D27" s="191"/>
      <c r="E27" s="191"/>
      <c r="F27" s="191"/>
      <c r="G27" s="191"/>
      <c r="H27" s="191">
        <f>F27</f>
        <v>0</v>
      </c>
      <c r="I27" s="191">
        <f>G27</f>
        <v>0</v>
      </c>
      <c r="S27" s="276"/>
      <c r="T27" s="277"/>
      <c r="U27" s="277"/>
      <c r="V27" s="277"/>
      <c r="W27" s="277"/>
      <c r="X27" s="250"/>
    </row>
    <row r="28" spans="1:24" x14ac:dyDescent="0.15">
      <c r="S28" s="276"/>
      <c r="T28" s="277"/>
      <c r="U28" s="277"/>
      <c r="V28" s="277"/>
      <c r="W28" s="277"/>
      <c r="X28" s="250"/>
    </row>
    <row r="29" spans="1:24" x14ac:dyDescent="0.15">
      <c r="S29" s="276"/>
      <c r="T29" s="277"/>
      <c r="U29" s="277"/>
      <c r="V29" s="278"/>
      <c r="W29" s="277"/>
      <c r="X29" s="250"/>
    </row>
    <row r="30" spans="1:24" x14ac:dyDescent="0.15">
      <c r="S30" s="279"/>
      <c r="T30" s="156"/>
      <c r="U30" s="156"/>
      <c r="V30" s="156"/>
      <c r="W30" s="156"/>
      <c r="X30" s="250"/>
    </row>
    <row r="31" spans="1:24" x14ac:dyDescent="0.15">
      <c r="A31" t="s">
        <v>237</v>
      </c>
      <c r="S31" s="279"/>
      <c r="T31" s="156"/>
      <c r="U31" s="156"/>
      <c r="V31" s="156"/>
      <c r="W31" s="156"/>
      <c r="X31" s="250"/>
    </row>
    <row r="32" spans="1:24" x14ac:dyDescent="0.15">
      <c r="S32" s="279"/>
      <c r="T32" s="156"/>
      <c r="U32" s="156"/>
      <c r="V32" s="156"/>
      <c r="W32" s="156"/>
      <c r="X32" s="250"/>
    </row>
    <row r="33" spans="1:24" x14ac:dyDescent="0.15">
      <c r="A33" s="2" t="s">
        <v>238</v>
      </c>
      <c r="B33" s="2" t="s">
        <v>239</v>
      </c>
      <c r="C33" s="2" t="s">
        <v>240</v>
      </c>
      <c r="S33" s="279"/>
      <c r="T33" s="156"/>
      <c r="U33" s="156"/>
      <c r="V33" s="156"/>
      <c r="W33" s="156"/>
      <c r="X33" s="250"/>
    </row>
    <row r="34" spans="1:24" x14ac:dyDescent="0.15">
      <c r="J34" t="e">
        <f>D91/B27*SQRT(1/9+1/F92+((I31-H91)^2)/(B27*B27*F91))</f>
        <v>#DIV/0!</v>
      </c>
      <c r="S34" s="279"/>
      <c r="T34" s="156"/>
      <c r="U34" s="156"/>
      <c r="V34" s="156"/>
      <c r="W34" s="156"/>
      <c r="X34" s="250"/>
    </row>
    <row r="35" spans="1:24" x14ac:dyDescent="0.15">
      <c r="S35" s="279"/>
      <c r="T35" s="156"/>
      <c r="U35" s="156"/>
      <c r="V35" s="156"/>
      <c r="W35" s="156"/>
      <c r="X35" s="250"/>
    </row>
    <row r="36" spans="1:24" x14ac:dyDescent="0.15">
      <c r="S36" s="280" t="str">
        <f>IF(T36=1,"LS# 1",IF(T36="Xin","",IF(ISBLANK(T36),"",IF(T36='Past LS'!$M$25,CONCATENATE('Past LS'!$M$23,," ",'Past LS'!$M$24),IF(T36='Past LS'!$N$25,CONCATENATE('Past LS'!$N$23,," ",'Past LS'!$N$24),IF(T36='Past LS'!$O$25,CONCATENATE('Past LS'!$O$23,," ",'Past LS'!$O$24),"ERROR"))))))</f>
        <v/>
      </c>
      <c r="T36" s="156"/>
      <c r="U36" s="156"/>
      <c r="V36" s="156"/>
      <c r="W36" s="156"/>
      <c r="X36" s="250"/>
    </row>
    <row r="37" spans="1:24" x14ac:dyDescent="0.15">
      <c r="S37" s="280" t="str">
        <f>IF(T37=1,"LS# 1",IF(T37="Xin","",IF(ISBLANK(T37),"",IF(T37='Past LS'!$M$25,CONCATENATE('Past LS'!$M$23,," ",'Past LS'!$M$24),IF(T37='Past LS'!$N$25,CONCATENATE('Past LS'!$N$23,," ",'Past LS'!$N$24),IF(T37='Past LS'!$O$25,CONCATENATE('Past LS'!$O$23,," ",'Past LS'!$O$24),"ERROR"))))))</f>
        <v/>
      </c>
      <c r="T37" s="156"/>
      <c r="U37" s="156"/>
      <c r="V37" s="156"/>
      <c r="W37" s="156"/>
      <c r="X37" s="250"/>
    </row>
    <row r="38" spans="1:24" x14ac:dyDescent="0.15">
      <c r="S38" s="280" t="str">
        <f>IF(T38=1,"LS# 1",IF(T38="Xin","",IF(ISBLANK(T38),"",IF(T38='Past LS'!$M$25,CONCATENATE('Past LS'!$M$23,," ",'Past LS'!$M$24),IF(T38='Past LS'!$N$25,CONCATENATE('Past LS'!$N$23,," ",'Past LS'!$N$24),IF(T38='Past LS'!$O$25,CONCATENATE('Past LS'!$O$23,," ",'Past LS'!$O$24),"ERROR"))))))</f>
        <v/>
      </c>
      <c r="T38" s="156"/>
      <c r="U38" s="156"/>
      <c r="V38" s="156"/>
      <c r="W38" s="156"/>
      <c r="X38" s="250"/>
    </row>
    <row r="39" spans="1:24" x14ac:dyDescent="0.15">
      <c r="S39" s="280" t="str">
        <f>IF(T39=1,"LS# 1",IF(T39="Xin","",IF(ISBLANK(T39),"",IF(T39='Past LS'!$M$25,CONCATENATE('Past LS'!$M$23,," ",'Past LS'!$M$24),IF(T39='Past LS'!$N$25,CONCATENATE('Past LS'!$N$23,," ",'Past LS'!$N$24),IF(T39='Past LS'!$O$25,CONCATENATE('Past LS'!$O$23,," ",'Past LS'!$O$24),"ERROR"))))))</f>
        <v/>
      </c>
      <c r="T39" s="156"/>
      <c r="U39" s="156"/>
      <c r="V39" s="156"/>
      <c r="W39" s="156"/>
      <c r="X39" s="250"/>
    </row>
    <row r="40" spans="1:24" x14ac:dyDescent="0.15">
      <c r="S40" s="280" t="str">
        <f>IF(T40=1,"LS# 1",IF(T40="Xin","",IF(ISBLANK(T40),"",IF(T40='Past LS'!$M$25,CONCATENATE('Past LS'!$M$23,," ",'Past LS'!$M$24),IF(T40='Past LS'!$N$25,CONCATENATE('Past LS'!$N$23,," ",'Past LS'!$N$24),IF(T40='Past LS'!$O$25,CONCATENATE('Past LS'!$O$23,," ",'Past LS'!$O$24),"ERROR"))))))</f>
        <v/>
      </c>
      <c r="T40" s="156"/>
      <c r="U40" s="156"/>
      <c r="V40" s="156"/>
      <c r="W40" s="156"/>
      <c r="X40" s="250"/>
    </row>
    <row r="41" spans="1:24" x14ac:dyDescent="0.15">
      <c r="S41" s="280" t="str">
        <f>IF(T41=1,"LS# 1",IF(T41="Xin","",IF(ISBLANK(T41),"",IF(T41='Past LS'!$M$25,CONCATENATE('Past LS'!$M$23,," ",'Past LS'!$M$24),IF(T41='Past LS'!$N$25,CONCATENATE('Past LS'!$N$23,," ",'Past LS'!$N$24),IF(T41='Past LS'!$O$25,CONCATENATE('Past LS'!$O$23,," ",'Past LS'!$O$24),"ERROR"))))))</f>
        <v/>
      </c>
      <c r="T41" s="156"/>
      <c r="U41" s="156"/>
      <c r="V41" s="156"/>
      <c r="W41" s="156"/>
      <c r="X41" s="250"/>
    </row>
    <row r="42" spans="1:24" x14ac:dyDescent="0.15">
      <c r="S42" s="280" t="str">
        <f>IF(T42=1,"LS# 1",IF(T42="Xin","",IF(ISBLANK(T42),"",IF(T42='Past LS'!$M$25,CONCATENATE('Past LS'!$M$23,," ",'Past LS'!$M$24),IF(T42='Past LS'!$N$25,CONCATENATE('Past LS'!$N$23,," ",'Past LS'!$N$24),IF(T42='Past LS'!$O$25,CONCATENATE('Past LS'!$O$23,," ",'Past LS'!$O$24),"ERROR"))))))</f>
        <v/>
      </c>
      <c r="T42" s="156"/>
      <c r="U42" s="156"/>
      <c r="V42" s="156"/>
      <c r="W42" s="156"/>
      <c r="X42" s="250"/>
    </row>
    <row r="43" spans="1:24" x14ac:dyDescent="0.15">
      <c r="S43" s="280" t="str">
        <f>IF(T43=1,"LS# 1",IF(T43="Xin","",IF(ISBLANK(T43),"",IF(T43='Past LS'!$M$25,CONCATENATE('Past LS'!$M$23,," ",'Past LS'!$M$24),IF(T43='Past LS'!$N$25,CONCATENATE('Past LS'!$N$23,," ",'Past LS'!$N$24),IF(T43='Past LS'!$O$25,CONCATENATE('Past LS'!$O$23,," ",'Past LS'!$O$24),"ERROR"))))))</f>
        <v/>
      </c>
      <c r="T43" s="156"/>
      <c r="U43" s="156"/>
      <c r="V43" s="156"/>
      <c r="W43" s="156"/>
      <c r="X43" s="250"/>
    </row>
    <row r="44" spans="1:24" x14ac:dyDescent="0.15">
      <c r="S44" s="280" t="str">
        <f>IF(T44=1,"LS# 1",IF(T44="Xin","",IF(ISBLANK(T44),"",IF(T44='Past LS'!$M$25,CONCATENATE('Past LS'!$M$23,," ",'Past LS'!$M$24),IF(T44='Past LS'!$N$25,CONCATENATE('Past LS'!$N$23,," ",'Past LS'!$N$24),IF(T44='Past LS'!$O$25,CONCATENATE('Past LS'!$O$23,," ",'Past LS'!$O$24),"ERROR"))))))</f>
        <v/>
      </c>
      <c r="T44" s="156"/>
      <c r="U44" s="156"/>
      <c r="V44" s="156"/>
      <c r="W44" s="156"/>
      <c r="X44" s="250"/>
    </row>
    <row r="45" spans="1:24" x14ac:dyDescent="0.15">
      <c r="S45" s="280" t="str">
        <f>IF(T45=1,"LS# 1",IF(T45="Xin","",IF(ISBLANK(T45),"",IF(T45='Past LS'!$M$25,CONCATENATE('Past LS'!$M$23,," ",'Past LS'!$M$24),IF(T45='Past LS'!$N$25,CONCATENATE('Past LS'!$N$23,," ",'Past LS'!$N$24),IF(T45='Past LS'!$O$25,CONCATENATE('Past LS'!$O$23,," ",'Past LS'!$O$24),"ERROR"))))))</f>
        <v/>
      </c>
      <c r="T45" s="156"/>
      <c r="U45" s="156"/>
      <c r="V45" s="156"/>
      <c r="W45" s="156"/>
      <c r="X45" s="250"/>
    </row>
    <row r="46" spans="1:24" x14ac:dyDescent="0.15">
      <c r="S46" s="280" t="str">
        <f>IF(T46=1,"LS# 1",IF(T46="Xin","",IF(ISBLANK(T46),"",IF(T46='Past LS'!$M$25,CONCATENATE('Past LS'!$M$23,," ",'Past LS'!$M$24),IF(T46='Past LS'!$N$25,CONCATENATE('Past LS'!$N$23,," ",'Past LS'!$N$24),IF(T46='Past LS'!$O$25,CONCATENATE('Past LS'!$O$23,," ",'Past LS'!$O$24),"ERROR"))))))</f>
        <v/>
      </c>
      <c r="T46" s="156"/>
      <c r="U46" s="156"/>
      <c r="V46" s="156"/>
      <c r="W46" s="156"/>
      <c r="X46" s="250"/>
    </row>
    <row r="47" spans="1:24" x14ac:dyDescent="0.15">
      <c r="S47" s="280" t="str">
        <f>IF(T47=1,"LS# 1",IF(T47="Xin","",IF(ISBLANK(T47),"",IF(T47='Past LS'!$M$25,CONCATENATE('Past LS'!$M$23,," ",'Past LS'!$M$24),IF(T47='Past LS'!$N$25,CONCATENATE('Past LS'!$N$23,," ",'Past LS'!$N$24),IF(T47='Past LS'!$O$25,CONCATENATE('Past LS'!$O$23,," ",'Past LS'!$O$24),"ERROR"))))))</f>
        <v/>
      </c>
      <c r="T47" s="156"/>
      <c r="U47" s="156"/>
      <c r="V47" s="156"/>
      <c r="W47" s="156"/>
      <c r="X47" s="250"/>
    </row>
    <row r="48" spans="1:24" x14ac:dyDescent="0.15">
      <c r="S48" s="280" t="str">
        <f>IF(T48=1,"LS# 1",IF(T48="Xin","",IF(ISBLANK(T48),"",IF(T48='Past LS'!$M$25,CONCATENATE('Past LS'!$M$23,," ",'Past LS'!$M$24),IF(T48='Past LS'!$N$25,CONCATENATE('Past LS'!$N$23,," ",'Past LS'!$N$24),IF(T48='Past LS'!$O$25,CONCATENATE('Past LS'!$O$23,," ",'Past LS'!$O$24),"ERROR"))))))</f>
        <v/>
      </c>
      <c r="T48" s="156"/>
      <c r="U48" s="156"/>
      <c r="V48" s="156"/>
      <c r="W48" s="156"/>
      <c r="X48" s="250"/>
    </row>
    <row r="49" spans="19:24" x14ac:dyDescent="0.15">
      <c r="S49" s="280" t="str">
        <f>IF(T49=1,"LS# 1",IF(T49="Xin","",IF(ISBLANK(T49),"",IF(T49='Past LS'!$M$25,CONCATENATE('Past LS'!$M$23,," ",'Past LS'!$M$24),IF(T49='Past LS'!$N$25,CONCATENATE('Past LS'!$N$23,," ",'Past LS'!$N$24),IF(T49='Past LS'!$O$25,CONCATENATE('Past LS'!$O$23,," ",'Past LS'!$O$24),"ERROR"))))))</f>
        <v/>
      </c>
      <c r="T49" s="156"/>
      <c r="U49" s="156"/>
      <c r="V49" s="156"/>
      <c r="W49" s="156"/>
      <c r="X49" s="250"/>
    </row>
    <row r="50" spans="19:24" x14ac:dyDescent="0.15">
      <c r="S50" s="280" t="str">
        <f>IF(T50=1,"LS# 1",IF(T50="Xin","",IF(ISBLANK(T50),"",IF(T50='Past LS'!$M$25,CONCATENATE('Past LS'!$M$23,," ",'Past LS'!$M$24),IF(T50='Past LS'!$N$25,CONCATENATE('Past LS'!$N$23,," ",'Past LS'!$N$24),IF(T50='Past LS'!$O$25,CONCATENATE('Past LS'!$O$23,," ",'Past LS'!$O$24),"ERROR"))))))</f>
        <v/>
      </c>
      <c r="T50" s="156"/>
      <c r="U50" s="156"/>
      <c r="V50" s="156"/>
      <c r="W50" s="156"/>
      <c r="X50" s="250"/>
    </row>
    <row r="51" spans="19:24" x14ac:dyDescent="0.15">
      <c r="S51" s="280" t="str">
        <f>IF(T51=1,"LS# 1",IF(T51="Xin","",IF(ISBLANK(T51),"",IF(T51='Past LS'!$M$25,CONCATENATE('Past LS'!$M$23,," ",'Past LS'!$M$24),IF(T51='Past LS'!$N$25,CONCATENATE('Past LS'!$N$23,," ",'Past LS'!$N$24),IF(T51='Past LS'!$O$25,CONCATENATE('Past LS'!$O$23,," ",'Past LS'!$O$24),"ERROR"))))))</f>
        <v/>
      </c>
      <c r="T51" s="156"/>
      <c r="U51" s="156"/>
      <c r="V51" s="156"/>
      <c r="W51" s="156"/>
      <c r="X51" s="250"/>
    </row>
    <row r="52" spans="19:24" x14ac:dyDescent="0.15">
      <c r="S52" s="280" t="str">
        <f>IF(T52=1,"LS# 1",IF(T52="Xin","",IF(ISBLANK(T52),"",IF(T52='Past LS'!$M$25,CONCATENATE('Past LS'!$M$23,," ",'Past LS'!$M$24),IF(T52='Past LS'!$N$25,CONCATENATE('Past LS'!$N$23,," ",'Past LS'!$N$24),IF(T52='Past LS'!$O$25,CONCATENATE('Past LS'!$O$23,," ",'Past LS'!$O$24),"ERROR"))))))</f>
        <v/>
      </c>
      <c r="T52" s="156"/>
      <c r="U52" s="156"/>
      <c r="V52" s="156"/>
      <c r="W52" s="156"/>
      <c r="X52" s="250"/>
    </row>
    <row r="53" spans="19:24" x14ac:dyDescent="0.15">
      <c r="S53" s="280" t="str">
        <f>IF(T53=1,"LS# 1",IF(T53="Xin","",IF(ISBLANK(T53),"",IF(T53='Past LS'!$M$25,CONCATENATE('Past LS'!$M$23,," ",'Past LS'!$M$24),IF(T53='Past LS'!$N$25,CONCATENATE('Past LS'!$N$23,," ",'Past LS'!$N$24),IF(T53='Past LS'!$O$25,CONCATENATE('Past LS'!$O$23,," ",'Past LS'!$O$24),"ERROR"))))))</f>
        <v/>
      </c>
      <c r="T53" s="156"/>
      <c r="U53" s="156"/>
      <c r="V53" s="156"/>
      <c r="W53" s="156"/>
      <c r="X53" s="250"/>
    </row>
    <row r="54" spans="19:24" x14ac:dyDescent="0.15">
      <c r="S54" s="280" t="str">
        <f>IF(T54=1,"LS# 1",IF(T54="Xin","",IF(ISBLANK(T54),"",IF(T54='Past LS'!$M$25,CONCATENATE('Past LS'!$M$23,," ",'Past LS'!$M$24),IF(T54='Past LS'!$N$25,CONCATENATE('Past LS'!$N$23,," ",'Past LS'!$N$24),IF(T54='Past LS'!$O$25,CONCATENATE('Past LS'!$O$23,," ",'Past LS'!$O$24),"ERROR"))))))</f>
        <v/>
      </c>
      <c r="T54" s="156"/>
      <c r="U54" s="156"/>
      <c r="V54" s="156"/>
      <c r="W54" s="156"/>
      <c r="X54" s="250"/>
    </row>
    <row r="55" spans="19:24" x14ac:dyDescent="0.15">
      <c r="S55" s="280" t="str">
        <f>IF(T55=1,"LS# 1",IF(T55="Xin","",IF(ISBLANK(T55),"",IF(T55='Past LS'!$M$25,CONCATENATE('Past LS'!$M$23,," ",'Past LS'!$M$24),IF(T55='Past LS'!$N$25,CONCATENATE('Past LS'!$N$23,," ",'Past LS'!$N$24),IF(T55='Past LS'!$O$25,CONCATENATE('Past LS'!$O$23,," ",'Past LS'!$O$24),"ERROR"))))))</f>
        <v/>
      </c>
      <c r="T55" s="156"/>
      <c r="U55" s="156"/>
      <c r="V55" s="156"/>
      <c r="W55" s="156"/>
      <c r="X55" s="250"/>
    </row>
    <row r="56" spans="19:24" x14ac:dyDescent="0.15">
      <c r="S56" s="280" t="str">
        <f>IF(T56=1,"LS# 1",IF(T56="Xin","",IF(ISBLANK(T56),"",IF(T56='Past LS'!$M$25,CONCATENATE('Past LS'!$M$23,," ",'Past LS'!$M$24),IF(T56='Past LS'!$N$25,CONCATENATE('Past LS'!$N$23,," ",'Past LS'!$N$24),IF(T56='Past LS'!$O$25,CONCATENATE('Past LS'!$O$23,," ",'Past LS'!$O$24),"ERROR"))))))</f>
        <v/>
      </c>
      <c r="T56" s="156"/>
      <c r="U56" s="156"/>
      <c r="V56" s="156"/>
      <c r="W56" s="156"/>
      <c r="X56" s="250"/>
    </row>
    <row r="57" spans="19:24" x14ac:dyDescent="0.15">
      <c r="S57" s="280" t="str">
        <f>IF(T57=1,"LS# 1",IF(T57="Xin","",IF(ISBLANK(T57),"",IF(T57='Past LS'!$M$25,CONCATENATE('Past LS'!$M$23,," ",'Past LS'!$M$24),IF(T57='Past LS'!$N$25,CONCATENATE('Past LS'!$N$23,," ",'Past LS'!$N$24),IF(T57='Past LS'!$O$25,CONCATENATE('Past LS'!$O$23,," ",'Past LS'!$O$24),"ERROR"))))))</f>
        <v/>
      </c>
      <c r="T57" s="156"/>
      <c r="U57" s="156"/>
      <c r="V57" s="156"/>
      <c r="W57" s="156"/>
      <c r="X57" s="250"/>
    </row>
    <row r="58" spans="19:24" x14ac:dyDescent="0.15">
      <c r="S58" s="280" t="str">
        <f>IF(T58=1,"LS# 1",IF(T58="Xin","",IF(ISBLANK(T58),"",IF(T58='Past LS'!$M$25,CONCATENATE('Past LS'!$M$23,," ",'Past LS'!$M$24),IF(T58='Past LS'!$N$25,CONCATENATE('Past LS'!$N$23,," ",'Past LS'!$N$24),IF(T58='Past LS'!$O$25,CONCATENATE('Past LS'!$O$23,," ",'Past LS'!$O$24),"ERROR"))))))</f>
        <v/>
      </c>
      <c r="T58" s="156"/>
      <c r="U58" s="156"/>
      <c r="V58" s="156"/>
      <c r="W58" s="156"/>
      <c r="X58" s="250"/>
    </row>
    <row r="59" spans="19:24" x14ac:dyDescent="0.15">
      <c r="S59" s="280" t="str">
        <f>IF(T59=1,"LS# 1",IF(T59="Xin","",IF(ISBLANK(T59),"",IF(T59='Past LS'!$M$25,CONCATENATE('Past LS'!$M$23,," ",'Past LS'!$M$24),IF(T59='Past LS'!$N$25,CONCATENATE('Past LS'!$N$23,," ",'Past LS'!$N$24),IF(T59='Past LS'!$O$25,CONCATENATE('Past LS'!$O$23,," ",'Past LS'!$O$24),"ERROR"))))))</f>
        <v/>
      </c>
      <c r="T59" s="156"/>
      <c r="U59" s="156"/>
      <c r="V59" s="156"/>
      <c r="W59" s="156"/>
      <c r="X59" s="250"/>
    </row>
    <row r="60" spans="19:24" x14ac:dyDescent="0.15">
      <c r="S60" s="280" t="str">
        <f>IF(T60=1,"LS# 1",IF(T60="Xin","",IF(ISBLANK(T60),"",IF(T60='Past LS'!$M$25,CONCATENATE('Past LS'!$M$23,," ",'Past LS'!$M$24),IF(T60='Past LS'!$N$25,CONCATENATE('Past LS'!$N$23,," ",'Past LS'!$N$24),IF(T60='Past LS'!$O$25,CONCATENATE('Past LS'!$O$23,," ",'Past LS'!$O$24),"ERROR"))))))</f>
        <v/>
      </c>
      <c r="T60" s="156"/>
      <c r="U60" s="156"/>
      <c r="V60" s="156"/>
      <c r="W60" s="156"/>
      <c r="X60" s="250"/>
    </row>
    <row r="61" spans="19:24" x14ac:dyDescent="0.15">
      <c r="S61" s="280" t="str">
        <f>IF(T61=1,"LS# 1",IF(T61="Xin","",IF(ISBLANK(T61),"",IF(T61='Past LS'!$M$25,CONCATENATE('Past LS'!$M$23,," ",'Past LS'!$M$24),IF(T61='Past LS'!$N$25,CONCATENATE('Past LS'!$N$23,," ",'Past LS'!$N$24),IF(T61='Past LS'!$O$25,CONCATENATE('Past LS'!$O$23,," ",'Past LS'!$O$24),"ERROR"))))))</f>
        <v/>
      </c>
      <c r="T61" s="156"/>
      <c r="U61" s="156"/>
      <c r="V61" s="156"/>
      <c r="W61" s="156"/>
      <c r="X61" s="250"/>
    </row>
    <row r="62" spans="19:24" x14ac:dyDescent="0.15">
      <c r="S62" s="280" t="str">
        <f>IF(T62=1,"LS# 1",IF(T62="Xin","",IF(ISBLANK(T62),"",IF(T62='Past LS'!$M$25,CONCATENATE('Past LS'!$M$23,," ",'Past LS'!$M$24),IF(T62='Past LS'!$N$25,CONCATENATE('Past LS'!$N$23,," ",'Past LS'!$N$24),IF(T62='Past LS'!$O$25,CONCATENATE('Past LS'!$O$23,," ",'Past LS'!$O$24),"ERROR"))))))</f>
        <v/>
      </c>
      <c r="T62" s="156"/>
      <c r="U62" s="156"/>
      <c r="V62" s="156"/>
      <c r="W62" s="156"/>
      <c r="X62" s="250"/>
    </row>
    <row r="63" spans="19:24" x14ac:dyDescent="0.15">
      <c r="S63" s="280" t="str">
        <f>IF(T63=1,"LS# 1",IF(T63="Xin","",IF(ISBLANK(T63),"",IF(T63='Past LS'!$M$25,CONCATENATE('Past LS'!$M$23,," ",'Past LS'!$M$24),IF(T63='Past LS'!$N$25,CONCATENATE('Past LS'!$N$23,," ",'Past LS'!$N$24),IF(T63='Past LS'!$O$25,CONCATENATE('Past LS'!$O$23,," ",'Past LS'!$O$24),"ERROR"))))))</f>
        <v/>
      </c>
      <c r="T63" s="156"/>
      <c r="U63" s="156"/>
      <c r="V63" s="156"/>
      <c r="W63" s="156"/>
      <c r="X63" s="250"/>
    </row>
    <row r="64" spans="19:24" x14ac:dyDescent="0.15">
      <c r="S64" s="280" t="str">
        <f>IF(T64=1,"LS# 1",IF(T64="Xin","",IF(ISBLANK(T64),"",IF(T64='Past LS'!$M$25,CONCATENATE('Past LS'!$M$23,," ",'Past LS'!$M$24),IF(T64='Past LS'!$N$25,CONCATENATE('Past LS'!$N$23,," ",'Past LS'!$N$24),IF(T64='Past LS'!$O$25,CONCATENATE('Past LS'!$O$23,," ",'Past LS'!$O$24),"ERROR"))))))</f>
        <v/>
      </c>
      <c r="T64" s="156"/>
      <c r="U64" s="156"/>
      <c r="V64" s="156"/>
      <c r="W64" s="156"/>
      <c r="X64" s="250"/>
    </row>
    <row r="65" spans="19:24" x14ac:dyDescent="0.15">
      <c r="S65" s="280" t="str">
        <f>IF(T65=1,"LS# 1",IF(T65="Xin","",IF(ISBLANK(T65),"",IF(T65='Past LS'!$M$25,CONCATENATE('Past LS'!$M$23,," ",'Past LS'!$M$24),IF(T65='Past LS'!$N$25,CONCATENATE('Past LS'!$N$23,," ",'Past LS'!$N$24),IF(T65='Past LS'!$O$25,CONCATENATE('Past LS'!$O$23,," ",'Past LS'!$O$24),"ERROR"))))))</f>
        <v/>
      </c>
      <c r="T65" s="156"/>
      <c r="U65" s="156"/>
      <c r="V65" s="156"/>
      <c r="W65" s="156"/>
      <c r="X65" s="250"/>
    </row>
    <row r="66" spans="19:24" x14ac:dyDescent="0.15">
      <c r="S66" s="280" t="str">
        <f>IF(T66=1,"LS# 1",IF(T66="Xin","",IF(ISBLANK(T66),"",IF(T66='Past LS'!$M$25,CONCATENATE('Past LS'!$M$23,," ",'Past LS'!$M$24),IF(T66='Past LS'!$N$25,CONCATENATE('Past LS'!$N$23,," ",'Past LS'!$N$24),IF(T66='Past LS'!$O$25,CONCATENATE('Past LS'!$O$23,," ",'Past LS'!$O$24),"ERROR"))))))</f>
        <v/>
      </c>
      <c r="T66" s="156"/>
      <c r="U66" s="156"/>
      <c r="V66" s="156"/>
      <c r="W66" s="156"/>
      <c r="X66" s="250"/>
    </row>
    <row r="67" spans="19:24" x14ac:dyDescent="0.15">
      <c r="S67" s="280" t="str">
        <f>IF(T67=1,"LS# 1",IF(T67="Xin","",IF(ISBLANK(T67),"",IF(T67='Past LS'!$M$25,CONCATENATE('Past LS'!$M$23,," ",'Past LS'!$M$24),IF(T67='Past LS'!$N$25,CONCATENATE('Past LS'!$N$23,," ",'Past LS'!$N$24),IF(T67='Past LS'!$O$25,CONCATENATE('Past LS'!$O$23,," ",'Past LS'!$O$24),"ERROR"))))))</f>
        <v/>
      </c>
      <c r="T67" s="156"/>
      <c r="U67" s="156"/>
      <c r="V67" s="156"/>
      <c r="W67" s="156"/>
      <c r="X67" s="250"/>
    </row>
    <row r="68" spans="19:24" x14ac:dyDescent="0.15">
      <c r="S68" s="280" t="str">
        <f>IF(T68=1,"LS# 1",IF(T68="Xin","",IF(ISBLANK(T68),"",IF(T68='Past LS'!$M$25,CONCATENATE('Past LS'!$M$23,," ",'Past LS'!$M$24),IF(T68='Past LS'!$N$25,CONCATENATE('Past LS'!$N$23,," ",'Past LS'!$N$24),IF(T68='Past LS'!$O$25,CONCATENATE('Past LS'!$O$23,," ",'Past LS'!$O$24),"ERROR"))))))</f>
        <v/>
      </c>
      <c r="T68" s="156"/>
      <c r="U68" s="156"/>
      <c r="V68" s="156"/>
      <c r="W68" s="156"/>
      <c r="X68" s="250"/>
    </row>
    <row r="69" spans="19:24" x14ac:dyDescent="0.15">
      <c r="S69" s="280" t="str">
        <f>IF(T69=1,"LS# 1",IF(T69="Xin","",IF(ISBLANK(T69),"",IF(T69='Past LS'!$M$25,CONCATENATE('Past LS'!$M$23,," ",'Past LS'!$M$24),IF(T69='Past LS'!$N$25,CONCATENATE('Past LS'!$N$23,," ",'Past LS'!$N$24),IF(T69='Past LS'!$O$26,CONCATENATE('Past LS'!$O$24,," ",'Past LS'!$O$25),"ERROR"))))))</f>
        <v/>
      </c>
      <c r="T69" s="156"/>
      <c r="U69" s="156"/>
      <c r="V69" s="156"/>
      <c r="W69" s="156"/>
      <c r="X69" s="250"/>
    </row>
    <row r="70" spans="19:24" x14ac:dyDescent="0.15">
      <c r="S70" s="281"/>
      <c r="T70" s="146"/>
      <c r="U70" s="146"/>
      <c r="V70" s="146"/>
      <c r="W70" s="146"/>
      <c r="X70" s="149"/>
    </row>
  </sheetData>
  <mergeCells count="8">
    <mergeCell ref="R16:S16"/>
    <mergeCell ref="R17:S17"/>
    <mergeCell ref="R18:S18"/>
    <mergeCell ref="A12:B12"/>
    <mergeCell ref="R12:S12"/>
    <mergeCell ref="R13:S13"/>
    <mergeCell ref="R14:S14"/>
    <mergeCell ref="R15:S15"/>
  </mergeCells>
  <pageMargins left="0.75" right="0.75" top="1" bottom="1" header="0.511811023622047" footer="0.511811023622047"/>
  <pageSetup fitToWidth="2" fitToHeight="3" orientation="landscape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4"/>
  <sheetViews>
    <sheetView zoomScaleNormal="100" workbookViewId="0">
      <selection activeCell="E45" sqref="E45"/>
    </sheetView>
  </sheetViews>
  <sheetFormatPr baseColWidth="10" defaultColWidth="8.796875" defaultRowHeight="11" x14ac:dyDescent="0.15"/>
  <cols>
    <col min="2" max="2" width="21.3984375" customWidth="1"/>
    <col min="4" max="4" width="12.796875" customWidth="1"/>
    <col min="5" max="5" width="11.19921875" customWidth="1"/>
    <col min="6" max="6" width="11.3984375" customWidth="1"/>
    <col min="9" max="9" width="4.19921875" customWidth="1"/>
  </cols>
  <sheetData>
    <row r="1" spans="1:8" x14ac:dyDescent="0.15">
      <c r="A1" s="60" t="s">
        <v>241</v>
      </c>
      <c r="B1" s="60" t="s">
        <v>242</v>
      </c>
      <c r="C1" s="60"/>
    </row>
    <row r="4" spans="1:8" x14ac:dyDescent="0.15">
      <c r="B4" s="282" t="s">
        <v>243</v>
      </c>
      <c r="C4" s="283" t="e">
        <f>(MeanRatio-Intercept)/Slope</f>
        <v>#NUM!</v>
      </c>
      <c r="D4" s="284" t="str">
        <f>'Ratio Data'!K23</f>
        <v>ppm</v>
      </c>
    </row>
    <row r="7" spans="1:8" x14ac:dyDescent="0.15">
      <c r="A7" s="60" t="s">
        <v>244</v>
      </c>
      <c r="B7" s="60" t="s">
        <v>245</v>
      </c>
    </row>
    <row r="9" spans="1:8" x14ac:dyDescent="0.15">
      <c r="B9" t="s">
        <v>246</v>
      </c>
    </row>
    <row r="10" spans="1:8" x14ac:dyDescent="0.15">
      <c r="B10" s="285" t="s">
        <v>247</v>
      </c>
      <c r="C10" s="286" t="s">
        <v>248</v>
      </c>
      <c r="D10" s="286" t="s">
        <v>249</v>
      </c>
      <c r="E10" s="286" t="s">
        <v>250</v>
      </c>
      <c r="F10" s="287" t="s">
        <v>251</v>
      </c>
    </row>
    <row r="11" spans="1:8" x14ac:dyDescent="0.15">
      <c r="B11" s="186" t="s">
        <v>252</v>
      </c>
      <c r="C11" t="e">
        <f>-CertifiedValue/Slope</f>
        <v>#NUM!</v>
      </c>
      <c r="D11">
        <f>uslope</f>
        <v>0</v>
      </c>
      <c r="E11" t="e">
        <f>D11*C11</f>
        <v>#NUM!</v>
      </c>
      <c r="F11" s="288"/>
    </row>
    <row r="12" spans="1:8" x14ac:dyDescent="0.15">
      <c r="B12" s="186" t="s">
        <v>253</v>
      </c>
      <c r="C12" t="e">
        <f>-1/Slope</f>
        <v>#DIV/0!</v>
      </c>
      <c r="D12">
        <f>uintercept</f>
        <v>0</v>
      </c>
      <c r="E12" t="e">
        <f>D12*C12</f>
        <v>#DIV/0!</v>
      </c>
      <c r="F12" s="288"/>
    </row>
    <row r="13" spans="1:8" x14ac:dyDescent="0.15">
      <c r="B13" s="289" t="s">
        <v>254</v>
      </c>
      <c r="C13" s="290" t="e">
        <f>2*C11*C12</f>
        <v>#NUM!</v>
      </c>
      <c r="D13" s="291" t="e">
        <f>umb</f>
        <v>#DIV/0!</v>
      </c>
      <c r="E13" s="292"/>
      <c r="F13" s="293" t="e">
        <f>D13*C13</f>
        <v>#DIV/0!</v>
      </c>
    </row>
    <row r="14" spans="1:8" x14ac:dyDescent="0.15">
      <c r="B14" s="294" t="s">
        <v>255</v>
      </c>
      <c r="C14" s="191"/>
      <c r="D14" s="191"/>
      <c r="E14" s="295" t="e">
        <f>SQRT(SUMSQ(E11,E12)+F13)</f>
        <v>#NUM!</v>
      </c>
      <c r="F14" s="296"/>
      <c r="H14" s="297"/>
    </row>
    <row r="17" spans="1:7" x14ac:dyDescent="0.15">
      <c r="A17" s="60" t="s">
        <v>256</v>
      </c>
      <c r="B17" s="60" t="s">
        <v>257</v>
      </c>
    </row>
    <row r="19" spans="1:7" x14ac:dyDescent="0.15">
      <c r="A19" t="s">
        <v>258</v>
      </c>
      <c r="F19" s="298">
        <v>1E-3</v>
      </c>
    </row>
    <row r="20" spans="1:7" x14ac:dyDescent="0.15">
      <c r="A20" t="s">
        <v>259</v>
      </c>
      <c r="F20" s="63" t="e">
        <f>F19*CertifiedValue</f>
        <v>#NUM!</v>
      </c>
      <c r="G20" s="17" t="s">
        <v>260</v>
      </c>
    </row>
    <row r="23" spans="1:7" x14ac:dyDescent="0.15">
      <c r="A23" s="60" t="s">
        <v>261</v>
      </c>
      <c r="B23" s="60" t="s">
        <v>262</v>
      </c>
    </row>
    <row r="25" spans="1:7" x14ac:dyDescent="0.15">
      <c r="B25" t="s">
        <v>263</v>
      </c>
    </row>
    <row r="26" spans="1:7" x14ac:dyDescent="0.15">
      <c r="B26" s="285" t="s">
        <v>247</v>
      </c>
      <c r="C26" s="286" t="s">
        <v>248</v>
      </c>
      <c r="D26" s="286" t="s">
        <v>249</v>
      </c>
      <c r="E26" s="286" t="s">
        <v>250</v>
      </c>
      <c r="F26" s="287" t="s">
        <v>159</v>
      </c>
      <c r="G26" s="299" t="s">
        <v>47</v>
      </c>
    </row>
    <row r="27" spans="1:7" x14ac:dyDescent="0.15">
      <c r="B27" s="300" t="s">
        <v>264</v>
      </c>
      <c r="C27" s="301" t="e">
        <f>1/Slope</f>
        <v>#DIV/0!</v>
      </c>
      <c r="D27" s="302" t="e">
        <f>StdUnc</f>
        <v>#NUM!</v>
      </c>
      <c r="E27" s="303" t="e">
        <f>D27*C27</f>
        <v>#NUM!</v>
      </c>
      <c r="F27" s="304" t="e">
        <f>DegFree</f>
        <v>#NUM!</v>
      </c>
      <c r="G27" s="305" t="e">
        <f>E27/C27</f>
        <v>#NUM!</v>
      </c>
    </row>
    <row r="28" spans="1:7" x14ac:dyDescent="0.15">
      <c r="B28" s="186" t="s">
        <v>265</v>
      </c>
      <c r="C28">
        <v>1</v>
      </c>
      <c r="D28" t="e">
        <f>E14</f>
        <v>#NUM!</v>
      </c>
      <c r="E28" s="306" t="e">
        <f>D28*C28</f>
        <v>#NUM!</v>
      </c>
      <c r="F28" s="307">
        <f>Regdf</f>
        <v>0</v>
      </c>
      <c r="G28" s="308" t="e">
        <f>E28/C27</f>
        <v>#NUM!</v>
      </c>
    </row>
    <row r="29" spans="1:7" x14ac:dyDescent="0.15">
      <c r="B29" s="186" t="s">
        <v>266</v>
      </c>
      <c r="C29">
        <v>1</v>
      </c>
      <c r="D29" t="e">
        <f>F20</f>
        <v>#NUM!</v>
      </c>
      <c r="E29" s="309" t="e">
        <f>D29*C29</f>
        <v>#NUM!</v>
      </c>
      <c r="F29" s="307" t="s">
        <v>267</v>
      </c>
      <c r="G29" s="310" t="e">
        <f>E29/C27</f>
        <v>#NUM!</v>
      </c>
    </row>
    <row r="30" spans="1:7" x14ac:dyDescent="0.15">
      <c r="B30" s="186" t="s">
        <v>268</v>
      </c>
      <c r="C30" s="75" t="e">
        <f>C27</f>
        <v>#DIV/0!</v>
      </c>
      <c r="D30">
        <f>IF(ISERROR('Past LS'!N18),0,'Past LS'!N18)/SQRT(3)</f>
        <v>0</v>
      </c>
      <c r="E30" s="311" t="e">
        <f>D30*C30</f>
        <v>#DIV/0!</v>
      </c>
      <c r="F30" s="307"/>
      <c r="G30" s="312" t="e">
        <f>E30/C27</f>
        <v>#DIV/0!</v>
      </c>
    </row>
    <row r="31" spans="1:7" x14ac:dyDescent="0.15">
      <c r="B31" s="313" t="s">
        <v>269</v>
      </c>
      <c r="C31" s="314"/>
      <c r="D31" s="314"/>
      <c r="E31" s="315" t="e">
        <f>SQRT(SUMSQ(E27:E30))</f>
        <v>#NUM!</v>
      </c>
      <c r="F31" s="316" t="e">
        <f>E31^4/(E27^4/F27+E28^4/F28)</f>
        <v>#NUM!</v>
      </c>
      <c r="G31" s="317" t="e">
        <f>E31/C27</f>
        <v>#NUM!</v>
      </c>
    </row>
    <row r="34" spans="1:10" x14ac:dyDescent="0.15">
      <c r="A34" s="60" t="s">
        <v>270</v>
      </c>
      <c r="B34" s="60" t="s">
        <v>271</v>
      </c>
    </row>
    <row r="36" spans="1:10" x14ac:dyDescent="0.15">
      <c r="B36" s="285" t="s">
        <v>272</v>
      </c>
      <c r="C36" s="318"/>
      <c r="D36" s="318"/>
      <c r="E36" s="319"/>
    </row>
    <row r="37" spans="1:10" x14ac:dyDescent="0.15">
      <c r="B37" s="300" t="s">
        <v>269</v>
      </c>
      <c r="C37" s="320"/>
      <c r="D37" s="320"/>
      <c r="E37" s="321" t="e">
        <f>E31</f>
        <v>#NUM!</v>
      </c>
    </row>
    <row r="38" spans="1:10" x14ac:dyDescent="0.15">
      <c r="B38" s="186" t="s">
        <v>273</v>
      </c>
      <c r="E38" s="322" t="e">
        <f>TINV(0.05,F31)</f>
        <v>#NUM!</v>
      </c>
    </row>
    <row r="39" spans="1:10" x14ac:dyDescent="0.15">
      <c r="B39" s="294" t="s">
        <v>274</v>
      </c>
      <c r="C39" s="191"/>
      <c r="D39" s="191"/>
      <c r="E39" s="323" t="e">
        <f>E38*E37</f>
        <v>#NUM!</v>
      </c>
      <c r="F39" s="17"/>
    </row>
    <row r="41" spans="1:10" x14ac:dyDescent="0.15">
      <c r="C41" s="75"/>
      <c r="D41" s="75"/>
      <c r="E41" s="75"/>
    </row>
    <row r="42" spans="1:10" ht="13" x14ac:dyDescent="0.15">
      <c r="B42" s="324" t="s">
        <v>275</v>
      </c>
      <c r="C42" s="325" t="e">
        <f>CertifiedValue</f>
        <v>#NUM!</v>
      </c>
      <c r="D42" s="326" t="s">
        <v>276</v>
      </c>
      <c r="E42" s="327" t="e">
        <f>E39</f>
        <v>#NUM!</v>
      </c>
      <c r="F42" s="328" t="str">
        <f>'Ratio Data'!$K$23</f>
        <v>ppm</v>
      </c>
      <c r="G42" s="329" t="e">
        <f>E42/C42</f>
        <v>#NUM!</v>
      </c>
      <c r="H42" s="330" t="s">
        <v>118</v>
      </c>
      <c r="I42" s="324" t="s">
        <v>277</v>
      </c>
      <c r="J42" s="331" t="e">
        <f>E38</f>
        <v>#NUM!</v>
      </c>
    </row>
    <row r="43" spans="1:10" ht="13" x14ac:dyDescent="0.15">
      <c r="B43" s="324" t="s">
        <v>278</v>
      </c>
      <c r="C43" s="325">
        <f>RCertification!B48</f>
        <v>0</v>
      </c>
      <c r="D43" s="326" t="s">
        <v>276</v>
      </c>
      <c r="E43" s="327">
        <f>RCertification!B50</f>
        <v>0</v>
      </c>
      <c r="F43" s="328" t="str">
        <f>'Ratio Data'!$K$23</f>
        <v>ppm</v>
      </c>
      <c r="G43" s="329" t="e">
        <f>E43/C43</f>
        <v>#DIV/0!</v>
      </c>
      <c r="H43" s="330" t="s">
        <v>118</v>
      </c>
      <c r="I43" s="324" t="s">
        <v>277</v>
      </c>
      <c r="J43" s="331">
        <f>RCertification!B52</f>
        <v>0</v>
      </c>
    </row>
    <row r="44" spans="1:10" ht="13" x14ac:dyDescent="0.15">
      <c r="B44" s="324" t="s">
        <v>279</v>
      </c>
      <c r="C44" s="325">
        <f>RCertification!B54</f>
        <v>0</v>
      </c>
      <c r="D44" s="326" t="s">
        <v>276</v>
      </c>
      <c r="E44" s="327">
        <f>RCertification!B56</f>
        <v>0</v>
      </c>
      <c r="F44" s="328" t="str">
        <f>'Ratio Data'!$K$23</f>
        <v>ppm</v>
      </c>
      <c r="G44" s="329" t="e">
        <f>E44/C44</f>
        <v>#DIV/0!</v>
      </c>
      <c r="H44" s="330" t="s">
        <v>118</v>
      </c>
      <c r="I44" s="21"/>
      <c r="J44" s="22"/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L210"/>
  <sheetViews>
    <sheetView topLeftCell="A21" zoomScaleNormal="100" workbookViewId="0">
      <selection activeCell="W54" sqref="W54"/>
    </sheetView>
  </sheetViews>
  <sheetFormatPr baseColWidth="10" defaultColWidth="9" defaultRowHeight="11" x14ac:dyDescent="0.15"/>
  <cols>
    <col min="1" max="1" width="16.59765625" customWidth="1"/>
    <col min="2" max="2" width="14.19921875" customWidth="1"/>
    <col min="3" max="3" width="12.3984375" customWidth="1"/>
    <col min="4" max="4" width="11.19921875" customWidth="1"/>
    <col min="5" max="5" width="11.796875" customWidth="1"/>
    <col min="6" max="7" width="10.796875" customWidth="1"/>
    <col min="8" max="11" width="11" style="1" customWidth="1"/>
    <col min="13" max="13" width="9" style="363"/>
    <col min="14" max="16" width="10.19921875" style="363" customWidth="1"/>
    <col min="17" max="17" width="9" style="363"/>
    <col min="18" max="19" width="10.19921875" style="363" customWidth="1"/>
    <col min="20" max="29" width="9" style="363"/>
    <col min="30" max="31" width="9.19921875" style="367" customWidth="1"/>
    <col min="32" max="38" width="9" style="363"/>
  </cols>
  <sheetData>
    <row r="1" spans="8:31" customFormat="1" x14ac:dyDescent="0.15">
      <c r="H1" s="1"/>
      <c r="I1" s="1"/>
      <c r="J1" s="1"/>
      <c r="K1" s="1"/>
      <c r="AD1" s="17"/>
      <c r="AE1" s="17"/>
    </row>
    <row r="2" spans="8:31" customFormat="1" x14ac:dyDescent="0.15">
      <c r="H2" s="1"/>
      <c r="I2" s="1"/>
      <c r="J2" s="1"/>
      <c r="K2" s="1"/>
      <c r="AD2" s="17"/>
      <c r="AE2" s="17"/>
    </row>
    <row r="3" spans="8:31" customFormat="1" x14ac:dyDescent="0.15">
      <c r="H3" s="1"/>
      <c r="I3" s="1"/>
      <c r="J3" s="1"/>
      <c r="K3" s="1"/>
      <c r="AD3" s="17"/>
      <c r="AE3" s="17"/>
    </row>
    <row r="4" spans="8:31" customFormat="1" x14ac:dyDescent="0.15">
      <c r="H4" s="1"/>
      <c r="I4" s="1"/>
      <c r="J4" s="1"/>
      <c r="K4" s="1"/>
      <c r="AD4" s="17"/>
      <c r="AE4" s="17"/>
    </row>
    <row r="5" spans="8:31" customFormat="1" x14ac:dyDescent="0.15">
      <c r="H5" s="1"/>
      <c r="I5" s="1"/>
      <c r="J5" s="1"/>
      <c r="K5" s="1"/>
      <c r="AD5" s="17"/>
      <c r="AE5" s="17"/>
    </row>
    <row r="6" spans="8:31" customFormat="1" x14ac:dyDescent="0.15">
      <c r="H6" s="1"/>
      <c r="I6" s="1"/>
      <c r="J6" s="1"/>
      <c r="K6" s="1"/>
      <c r="AD6" s="17"/>
      <c r="AE6" s="17"/>
    </row>
    <row r="7" spans="8:31" customFormat="1" x14ac:dyDescent="0.15">
      <c r="H7" s="1"/>
      <c r="I7" s="1"/>
      <c r="J7" s="1"/>
      <c r="K7" s="1"/>
      <c r="AD7" s="17"/>
      <c r="AE7" s="17"/>
    </row>
    <row r="8" spans="8:31" customFormat="1" x14ac:dyDescent="0.15">
      <c r="H8" s="1"/>
      <c r="I8" s="1"/>
      <c r="J8" s="1"/>
      <c r="K8" s="1"/>
      <c r="AD8" s="17"/>
      <c r="AE8" s="17"/>
    </row>
    <row r="9" spans="8:31" customFormat="1" x14ac:dyDescent="0.15">
      <c r="H9" s="1"/>
      <c r="I9" s="1"/>
      <c r="J9" s="1"/>
      <c r="K9" s="1"/>
      <c r="AD9" s="17"/>
      <c r="AE9" s="17"/>
    </row>
    <row r="10" spans="8:31" customFormat="1" x14ac:dyDescent="0.15">
      <c r="H10" s="1"/>
      <c r="I10" s="1"/>
      <c r="J10" s="1"/>
      <c r="K10" s="1"/>
      <c r="AD10" s="17"/>
      <c r="AE10" s="17"/>
    </row>
    <row r="11" spans="8:31" customFormat="1" x14ac:dyDescent="0.15">
      <c r="H11" s="1"/>
      <c r="I11" s="1"/>
      <c r="J11" s="1"/>
      <c r="K11" s="1"/>
      <c r="AD11" s="17"/>
      <c r="AE11" s="17"/>
    </row>
    <row r="12" spans="8:31" customFormat="1" x14ac:dyDescent="0.15">
      <c r="H12" s="1"/>
      <c r="I12" s="1"/>
      <c r="J12" s="1"/>
      <c r="K12" s="1"/>
      <c r="AD12" s="17"/>
      <c r="AE12" s="17"/>
    </row>
    <row r="13" spans="8:31" customFormat="1" x14ac:dyDescent="0.15">
      <c r="H13" s="1"/>
      <c r="I13" s="1"/>
      <c r="J13" s="1"/>
      <c r="K13" s="1"/>
      <c r="AD13" s="17"/>
      <c r="AE13" s="17"/>
    </row>
    <row r="14" spans="8:31" customFormat="1" x14ac:dyDescent="0.15">
      <c r="H14" s="1"/>
      <c r="I14" s="1"/>
      <c r="J14" s="1"/>
      <c r="K14" s="1"/>
      <c r="AD14" s="17"/>
      <c r="AE14" s="17"/>
    </row>
    <row r="15" spans="8:31" customFormat="1" x14ac:dyDescent="0.15">
      <c r="H15" s="1"/>
      <c r="I15" s="1"/>
      <c r="J15" s="1"/>
      <c r="K15" s="1"/>
      <c r="AD15" s="17"/>
      <c r="AE15" s="17"/>
    </row>
    <row r="16" spans="8:31" customFormat="1" x14ac:dyDescent="0.15">
      <c r="H16" s="1"/>
      <c r="I16" s="1"/>
      <c r="J16" s="1"/>
      <c r="K16" s="1"/>
      <c r="AD16" s="17"/>
      <c r="AE16" s="17"/>
    </row>
    <row r="17" spans="8:31" customFormat="1" x14ac:dyDescent="0.15">
      <c r="H17" s="1"/>
      <c r="I17" s="1"/>
      <c r="J17" s="1"/>
      <c r="K17" s="1"/>
      <c r="AD17" s="17"/>
      <c r="AE17" s="17"/>
    </row>
    <row r="18" spans="8:31" customFormat="1" x14ac:dyDescent="0.15">
      <c r="H18" s="1"/>
      <c r="I18" s="1"/>
      <c r="J18" s="1"/>
      <c r="K18" s="1"/>
      <c r="AD18" s="17"/>
      <c r="AE18" s="17"/>
    </row>
    <row r="19" spans="8:31" customFormat="1" x14ac:dyDescent="0.15">
      <c r="H19" s="1"/>
      <c r="I19" s="1"/>
      <c r="J19" s="1"/>
      <c r="K19" s="1"/>
      <c r="AD19" s="17"/>
      <c r="AE19" s="17"/>
    </row>
    <row r="20" spans="8:31" customFormat="1" x14ac:dyDescent="0.15">
      <c r="H20" s="1"/>
      <c r="I20" s="1"/>
      <c r="J20" s="1"/>
      <c r="K20" s="1"/>
      <c r="AD20" s="17"/>
      <c r="AE20" s="17"/>
    </row>
    <row r="21" spans="8:31" customFormat="1" x14ac:dyDescent="0.15">
      <c r="H21" s="1"/>
      <c r="I21" s="1"/>
      <c r="J21" s="1"/>
      <c r="K21" s="1"/>
      <c r="AD21" s="17"/>
      <c r="AE21" s="17"/>
    </row>
    <row r="22" spans="8:31" customFormat="1" x14ac:dyDescent="0.15">
      <c r="H22" s="1"/>
      <c r="I22" s="1"/>
      <c r="J22" s="1"/>
      <c r="K22" s="1"/>
      <c r="AD22" s="17"/>
      <c r="AE22" s="17"/>
    </row>
    <row r="23" spans="8:31" customFormat="1" x14ac:dyDescent="0.15">
      <c r="H23" s="1"/>
      <c r="I23" s="1"/>
      <c r="J23" s="1"/>
      <c r="K23" s="1"/>
      <c r="AD23" s="17"/>
      <c r="AE23" s="17"/>
    </row>
    <row r="24" spans="8:31" customFormat="1" x14ac:dyDescent="0.15">
      <c r="H24" s="1"/>
      <c r="I24" s="1"/>
      <c r="J24" s="1"/>
      <c r="K24" s="1"/>
      <c r="AD24" s="17"/>
      <c r="AE24" s="17"/>
    </row>
    <row r="25" spans="8:31" customFormat="1" x14ac:dyDescent="0.15">
      <c r="H25" s="1"/>
      <c r="I25" s="1"/>
      <c r="J25" s="1"/>
      <c r="K25" s="1"/>
      <c r="AD25" s="17"/>
      <c r="AE25" s="17"/>
    </row>
    <row r="26" spans="8:31" customFormat="1" x14ac:dyDescent="0.15">
      <c r="H26" s="1"/>
      <c r="I26" s="1"/>
      <c r="J26" s="1"/>
      <c r="K26" s="1"/>
      <c r="AD26" s="17"/>
      <c r="AE26" s="17"/>
    </row>
    <row r="27" spans="8:31" customFormat="1" x14ac:dyDescent="0.15">
      <c r="H27" s="1"/>
      <c r="I27" s="1"/>
      <c r="J27" s="1"/>
      <c r="K27" s="1"/>
      <c r="AD27" s="17"/>
      <c r="AE27" s="17"/>
    </row>
    <row r="28" spans="8:31" customFormat="1" x14ac:dyDescent="0.15">
      <c r="H28" s="1"/>
      <c r="I28" s="1"/>
      <c r="J28" s="1"/>
      <c r="K28" s="1"/>
      <c r="AD28" s="17"/>
      <c r="AE28" s="17"/>
    </row>
    <row r="29" spans="8:31" customFormat="1" x14ac:dyDescent="0.15">
      <c r="H29" s="1"/>
      <c r="I29" s="1"/>
      <c r="J29" s="1"/>
      <c r="K29" s="1" t="s">
        <v>322</v>
      </c>
      <c r="AD29" s="17"/>
      <c r="AE29" s="17"/>
    </row>
    <row r="30" spans="8:31" customFormat="1" x14ac:dyDescent="0.15">
      <c r="H30" s="1"/>
      <c r="I30" s="1"/>
      <c r="J30" s="1"/>
      <c r="K30" s="1"/>
      <c r="AD30" s="17"/>
      <c r="AE30" s="17"/>
    </row>
    <row r="31" spans="8:31" customFormat="1" x14ac:dyDescent="0.15">
      <c r="H31" s="1"/>
      <c r="I31" s="1"/>
      <c r="J31" s="1"/>
      <c r="K31" s="1"/>
      <c r="AD31" s="17"/>
      <c r="AE31" s="17"/>
    </row>
    <row r="32" spans="8:31" customFormat="1" x14ac:dyDescent="0.15">
      <c r="H32" s="1"/>
      <c r="I32" s="1"/>
      <c r="J32" s="1"/>
      <c r="K32" s="1"/>
      <c r="AD32" s="17"/>
      <c r="AE32" s="17"/>
    </row>
    <row r="33" spans="1:31" customFormat="1" x14ac:dyDescent="0.15">
      <c r="H33" s="1"/>
      <c r="I33" s="1"/>
      <c r="J33" s="1"/>
      <c r="K33" s="1"/>
      <c r="AD33" s="17"/>
      <c r="AE33" s="17"/>
    </row>
    <row r="34" spans="1:31" customFormat="1" x14ac:dyDescent="0.15">
      <c r="H34" s="1"/>
      <c r="I34" s="1"/>
      <c r="J34" s="1"/>
      <c r="K34" s="1"/>
      <c r="AD34" s="17"/>
      <c r="AE34" s="17"/>
    </row>
    <row r="35" spans="1:31" customFormat="1" x14ac:dyDescent="0.15">
      <c r="H35" s="1"/>
      <c r="I35" s="1"/>
      <c r="J35" s="1"/>
      <c r="K35" s="1"/>
      <c r="AD35" s="17"/>
      <c r="AE35" s="17"/>
    </row>
    <row r="36" spans="1:31" customFormat="1" x14ac:dyDescent="0.15">
      <c r="H36" s="1"/>
      <c r="I36" s="1"/>
      <c r="J36" s="1"/>
      <c r="K36" s="1"/>
      <c r="AD36" s="17"/>
      <c r="AE36" s="17"/>
    </row>
    <row r="37" spans="1:31" customFormat="1" x14ac:dyDescent="0.15">
      <c r="H37" s="1"/>
      <c r="I37" s="1"/>
      <c r="J37" s="1"/>
      <c r="K37" s="1"/>
      <c r="AD37" s="17"/>
      <c r="AE37" s="17"/>
    </row>
    <row r="38" spans="1:31" customFormat="1" x14ac:dyDescent="0.15">
      <c r="H38" s="1"/>
      <c r="I38" s="1"/>
      <c r="J38" s="1"/>
      <c r="K38" s="1"/>
      <c r="AD38" s="17"/>
      <c r="AE38" s="17"/>
    </row>
    <row r="39" spans="1:31" customFormat="1" x14ac:dyDescent="0.15">
      <c r="H39" s="1"/>
      <c r="I39" s="1"/>
      <c r="J39" s="1"/>
      <c r="K39" s="1"/>
      <c r="AD39" s="17"/>
      <c r="AE39" s="17"/>
    </row>
    <row r="40" spans="1:31" customFormat="1" x14ac:dyDescent="0.15">
      <c r="H40" s="1"/>
      <c r="I40" s="1"/>
      <c r="J40" s="1"/>
      <c r="K40" s="1"/>
      <c r="AD40" s="17"/>
      <c r="AE40" s="17"/>
    </row>
    <row r="41" spans="1:31" customFormat="1" x14ac:dyDescent="0.15">
      <c r="H41" s="1"/>
      <c r="I41" s="1"/>
      <c r="J41" s="1"/>
      <c r="K41" s="1"/>
      <c r="AD41" s="17"/>
      <c r="AE41" s="17"/>
    </row>
    <row r="42" spans="1:31" customFormat="1" x14ac:dyDescent="0.15">
      <c r="H42" s="1"/>
      <c r="I42" s="1"/>
      <c r="J42" s="1"/>
      <c r="K42" s="1"/>
      <c r="AD42" s="17"/>
      <c r="AE42" s="17"/>
    </row>
    <row r="43" spans="1:31" customFormat="1" ht="13" x14ac:dyDescent="0.15">
      <c r="H43" s="1"/>
      <c r="I43" s="1"/>
      <c r="J43" s="1"/>
      <c r="K43" s="1"/>
      <c r="W43" s="332" t="s">
        <v>280</v>
      </c>
      <c r="X43" s="333">
        <v>0.8</v>
      </c>
      <c r="AD43" s="17"/>
      <c r="AE43" s="17"/>
    </row>
    <row r="44" spans="1:31" customFormat="1" ht="15.75" customHeight="1" x14ac:dyDescent="0.15">
      <c r="A44" s="334" t="s">
        <v>281</v>
      </c>
      <c r="B44" s="335"/>
      <c r="C44" s="336"/>
      <c r="H44" s="1"/>
      <c r="I44" s="1"/>
      <c r="J44" s="1"/>
      <c r="K44" s="1"/>
    </row>
    <row r="45" spans="1:31" customFormat="1" ht="13" x14ac:dyDescent="0.15">
      <c r="H45" s="1"/>
      <c r="I45" s="1"/>
      <c r="J45" s="1"/>
      <c r="K45" s="1"/>
      <c r="M45" s="495" t="s">
        <v>282</v>
      </c>
      <c r="N45" s="496"/>
      <c r="O45" s="496"/>
      <c r="P45" s="496"/>
      <c r="Q45" s="496"/>
      <c r="R45" s="496"/>
      <c r="S45" s="496"/>
      <c r="T45" s="496"/>
      <c r="U45" s="497"/>
    </row>
    <row r="46" spans="1:31" customFormat="1" ht="13" x14ac:dyDescent="0.15">
      <c r="A46" s="425"/>
      <c r="B46" s="426"/>
      <c r="C46" s="426" t="s">
        <v>283</v>
      </c>
      <c r="D46" s="427"/>
      <c r="F46" s="445" t="s">
        <v>284</v>
      </c>
      <c r="G46" s="446"/>
      <c r="H46" s="426"/>
      <c r="I46" s="426"/>
      <c r="J46" s="445" t="s">
        <v>285</v>
      </c>
      <c r="K46" s="427"/>
      <c r="M46" s="349" t="s">
        <v>286</v>
      </c>
      <c r="N46" s="350"/>
      <c r="O46" s="350"/>
      <c r="P46" s="351" t="s">
        <v>287</v>
      </c>
      <c r="Q46" s="350"/>
      <c r="R46" s="350" t="s">
        <v>288</v>
      </c>
      <c r="S46" s="351" t="s">
        <v>288</v>
      </c>
      <c r="T46" s="350" t="s">
        <v>118</v>
      </c>
      <c r="U46" s="352" t="s">
        <v>8</v>
      </c>
    </row>
    <row r="47" spans="1:31" customFormat="1" ht="13" x14ac:dyDescent="0.15">
      <c r="A47" s="428"/>
      <c r="B47" s="351"/>
      <c r="C47" s="351" t="s">
        <v>227</v>
      </c>
      <c r="D47" s="356" t="s">
        <v>289</v>
      </c>
      <c r="F47" s="353"/>
      <c r="G47" s="355" t="s">
        <v>227</v>
      </c>
      <c r="H47" s="355" t="s">
        <v>62</v>
      </c>
      <c r="I47" s="355" t="s">
        <v>290</v>
      </c>
      <c r="J47" s="353" t="s">
        <v>227</v>
      </c>
      <c r="K47" s="356" t="s">
        <v>290</v>
      </c>
      <c r="M47" s="353" t="s">
        <v>291</v>
      </c>
      <c r="N47" s="354" t="s">
        <v>227</v>
      </c>
      <c r="O47" s="354" t="s">
        <v>287</v>
      </c>
      <c r="P47" s="355" t="s">
        <v>292</v>
      </c>
      <c r="Q47" s="354" t="s">
        <v>293</v>
      </c>
      <c r="R47" s="354" t="s">
        <v>294</v>
      </c>
      <c r="S47" s="355" t="s">
        <v>295</v>
      </c>
      <c r="T47" s="354" t="s">
        <v>287</v>
      </c>
      <c r="U47" s="356" t="s">
        <v>296</v>
      </c>
    </row>
    <row r="48" spans="1:31" customFormat="1" ht="13" x14ac:dyDescent="0.15">
      <c r="A48" s="429" t="s">
        <v>297</v>
      </c>
      <c r="B48" s="430"/>
      <c r="C48" s="431" t="e">
        <f>'Certified Value'!C42</f>
        <v>#NUM!</v>
      </c>
      <c r="D48" s="432" t="e">
        <f>(C48-B48)/B48</f>
        <v>#NUM!</v>
      </c>
      <c r="F48" s="447" t="s">
        <v>82</v>
      </c>
      <c r="G48" s="448"/>
      <c r="H48" s="448"/>
      <c r="I48" s="449"/>
      <c r="J48" s="450" t="str">
        <f>IF(ISNUMBER(G48),'Std Analysis'!U24,"")</f>
        <v/>
      </c>
      <c r="K48" s="464" t="str">
        <f>IF(ISNUMBER(H48),'Std Analysis'!V24,"")</f>
        <v/>
      </c>
      <c r="M48" s="369"/>
      <c r="N48" s="359"/>
      <c r="O48" s="358"/>
      <c r="P48" s="359"/>
      <c r="Q48" s="370" t="str">
        <f t="shared" ref="Q48" si="0">IF(ISNUMBER(P48),P48/O48,"")</f>
        <v/>
      </c>
      <c r="R48" s="359" t="str">
        <f t="shared" ref="R48" si="1">IF(ISNUMBER(N48),N48-P48,"")</f>
        <v/>
      </c>
      <c r="S48" s="359" t="str">
        <f t="shared" ref="S48" si="2">IF(ISNUMBER(N48),N48-P48,"")</f>
        <v/>
      </c>
      <c r="T48" s="371" t="str">
        <f>IF(OR(ISBLANK(M48),M48=""),"",P48/N48)</f>
        <v/>
      </c>
      <c r="U48" s="360" t="str">
        <f>IF(ISBLANK(M48),"",IF(ABS(N48-$B$48)&lt;=$B$50*$X$43,"IN","OUT"))</f>
        <v/>
      </c>
    </row>
    <row r="49" spans="1:23" customFormat="1" ht="13" x14ac:dyDescent="0.15">
      <c r="A49" s="428" t="s">
        <v>298</v>
      </c>
      <c r="B49" s="433"/>
      <c r="C49" s="415" t="e">
        <f>'Certified Value'!E37</f>
        <v>#NUM!</v>
      </c>
      <c r="D49" s="368"/>
      <c r="F49" s="399" t="s">
        <v>85</v>
      </c>
      <c r="G49" s="433"/>
      <c r="H49" s="433"/>
      <c r="I49" s="449"/>
      <c r="J49" s="451" t="str">
        <f>IF(ISNUMBER(G49),'Std Analysis'!U25,"")</f>
        <v/>
      </c>
      <c r="K49" s="464" t="str">
        <f>IF(ISNUMBER(H49),'Std Analysis'!V25,"")</f>
        <v/>
      </c>
      <c r="M49" s="380"/>
      <c r="N49" s="372"/>
      <c r="O49" s="372"/>
      <c r="P49" s="372"/>
      <c r="Q49" s="381" t="str">
        <f t="shared" ref="Q49:Q112" si="3">IF(ISNUMBER(P49),P49/O49,"")</f>
        <v/>
      </c>
      <c r="R49" s="372" t="str">
        <f t="shared" ref="R49" si="4">IF(ISNUMBER(N49),N49-P49,"")</f>
        <v/>
      </c>
      <c r="S49" s="372" t="str">
        <f t="shared" ref="S49" si="5">IF(ISNUMBER(N49),N49-P49,"")</f>
        <v/>
      </c>
      <c r="T49" s="382" t="str">
        <f>IF(OR(ISBLANK(M49),M49=""),"",P49/N49)</f>
        <v/>
      </c>
      <c r="U49" s="373" t="str">
        <f>IF(ISBLANK(M49),"",IF(ABS(N49-$B$48)&lt;=$B$50*$X$43,"IN","OUT"))</f>
        <v/>
      </c>
    </row>
    <row r="50" spans="1:23" customFormat="1" ht="13" x14ac:dyDescent="0.15">
      <c r="A50" s="428" t="s">
        <v>299</v>
      </c>
      <c r="B50" s="433"/>
      <c r="C50" s="415" t="e">
        <f>'Certified Value'!E39</f>
        <v>#NUM!</v>
      </c>
      <c r="D50" s="368"/>
      <c r="F50" s="399" t="s">
        <v>86</v>
      </c>
      <c r="G50" s="350"/>
      <c r="H50" s="350"/>
      <c r="I50" s="449" t="str">
        <f>IF(ISNUMBER(G50),$B$52*H50,"")</f>
        <v/>
      </c>
      <c r="J50" s="451" t="str">
        <f>IF(ISNUMBER(G50),'Std Analysis'!U26,"")</f>
        <v/>
      </c>
      <c r="K50" s="352" t="str">
        <f>IF(ISNUMBER(H50),'Std Analysis'!V26,"")</f>
        <v/>
      </c>
      <c r="M50" s="380"/>
      <c r="N50" s="372"/>
      <c r="O50" s="372"/>
      <c r="P50" s="372"/>
      <c r="Q50" s="381" t="str">
        <f t="shared" si="3"/>
        <v/>
      </c>
      <c r="R50" s="372" t="str">
        <f t="shared" ref="R50:R112" si="6">IF(ISNUMBER(N50),N50-P50,"")</f>
        <v/>
      </c>
      <c r="S50" s="372" t="str">
        <f t="shared" ref="S50:S112" si="7">IF(ISNUMBER(N50),N50-P50,"")</f>
        <v/>
      </c>
      <c r="T50" s="382" t="str">
        <f t="shared" ref="T50:T112" si="8">IF(OR(ISBLANK(M50),M50=""),"",P50/N50)</f>
        <v/>
      </c>
      <c r="U50" s="373" t="str">
        <f t="shared" ref="U50:U112" si="9">IF(ISBLANK(M50),"",IF(ABS(N50-$B$48)&lt;=$B$50*$X$43,"IN","OUT"))</f>
        <v/>
      </c>
    </row>
    <row r="51" spans="1:23" customFormat="1" ht="14" thickBot="1" x14ac:dyDescent="0.2">
      <c r="A51" s="428" t="s">
        <v>300</v>
      </c>
      <c r="B51" s="433"/>
      <c r="C51" s="415" t="e">
        <f>C50/C48</f>
        <v>#NUM!</v>
      </c>
      <c r="D51" s="368"/>
      <c r="F51" s="399" t="s">
        <v>301</v>
      </c>
      <c r="G51" s="452"/>
      <c r="H51" s="452"/>
      <c r="I51" s="449" t="str">
        <f>IF(ISNUMBER(G51),$B$52*H51,"")</f>
        <v/>
      </c>
      <c r="J51" s="453" t="str">
        <f>IF(ISNUMBER(G51),'Std Analysis'!U27,"")</f>
        <v/>
      </c>
      <c r="K51" s="463" t="str">
        <f>IF(ISNUMBER(H51),'Std Analysis'!V27,"")</f>
        <v/>
      </c>
      <c r="M51" s="383"/>
      <c r="N51" s="374"/>
      <c r="O51" s="374"/>
      <c r="P51" s="374"/>
      <c r="Q51" s="384" t="str">
        <f t="shared" si="3"/>
        <v/>
      </c>
      <c r="R51" s="374" t="str">
        <f t="shared" si="6"/>
        <v/>
      </c>
      <c r="S51" s="374" t="str">
        <f t="shared" si="7"/>
        <v/>
      </c>
      <c r="T51" s="385" t="str">
        <f t="shared" si="8"/>
        <v/>
      </c>
      <c r="U51" s="375" t="str">
        <f t="shared" si="9"/>
        <v/>
      </c>
    </row>
    <row r="52" spans="1:23" customFormat="1" ht="13" x14ac:dyDescent="0.15">
      <c r="A52" s="428" t="s">
        <v>302</v>
      </c>
      <c r="B52" s="433"/>
      <c r="C52" s="415" t="e">
        <f>'Certified Value'!E38</f>
        <v>#NUM!</v>
      </c>
      <c r="D52" s="368"/>
      <c r="F52" s="454" t="s">
        <v>303</v>
      </c>
      <c r="G52" s="347"/>
      <c r="H52" s="455"/>
      <c r="I52" s="456"/>
      <c r="J52" s="403"/>
      <c r="K52" s="337"/>
      <c r="M52" s="386"/>
      <c r="N52" s="376"/>
      <c r="O52" s="376"/>
      <c r="P52" s="376"/>
      <c r="Q52" s="387" t="str">
        <f t="shared" si="3"/>
        <v/>
      </c>
      <c r="R52" s="376" t="str">
        <f t="shared" si="6"/>
        <v/>
      </c>
      <c r="S52" s="376" t="str">
        <f t="shared" si="7"/>
        <v/>
      </c>
      <c r="T52" s="388" t="str">
        <f t="shared" si="8"/>
        <v/>
      </c>
      <c r="U52" s="377" t="str">
        <f t="shared" si="9"/>
        <v/>
      </c>
    </row>
    <row r="53" spans="1:23" customFormat="1" ht="13" x14ac:dyDescent="0.15">
      <c r="A53" s="434" t="s">
        <v>304</v>
      </c>
      <c r="B53" s="435"/>
      <c r="C53" s="436"/>
      <c r="D53" s="437"/>
      <c r="F53" s="457"/>
      <c r="G53" s="458" t="s">
        <v>82</v>
      </c>
      <c r="H53" s="459" t="s">
        <v>85</v>
      </c>
      <c r="I53" s="459" t="s">
        <v>86</v>
      </c>
      <c r="J53" s="460" t="s">
        <v>301</v>
      </c>
      <c r="K53" s="337"/>
      <c r="M53" s="386"/>
      <c r="N53" s="376"/>
      <c r="O53" s="376"/>
      <c r="P53" s="376"/>
      <c r="Q53" s="387" t="str">
        <f t="shared" si="3"/>
        <v/>
      </c>
      <c r="R53" s="376" t="str">
        <f t="shared" si="6"/>
        <v/>
      </c>
      <c r="S53" s="376" t="str">
        <f t="shared" si="7"/>
        <v/>
      </c>
      <c r="T53" s="388" t="str">
        <f t="shared" si="8"/>
        <v/>
      </c>
      <c r="U53" s="377" t="str">
        <f t="shared" si="9"/>
        <v/>
      </c>
    </row>
    <row r="54" spans="1:23" customFormat="1" ht="13" x14ac:dyDescent="0.15">
      <c r="A54" s="428" t="s">
        <v>305</v>
      </c>
      <c r="B54" s="438"/>
      <c r="C54" s="439">
        <f>'Std Analysis'!L5</f>
        <v>0</v>
      </c>
      <c r="D54" s="440" t="e">
        <f>(C54-B54)/B54</f>
        <v>#DIV/0!</v>
      </c>
      <c r="F54" s="349" t="s">
        <v>82</v>
      </c>
      <c r="G54" s="461">
        <v>1</v>
      </c>
      <c r="H54" s="350">
        <v>-0.95990927915426905</v>
      </c>
      <c r="I54" s="350"/>
      <c r="J54" s="352"/>
      <c r="K54" s="337"/>
      <c r="M54" s="386"/>
      <c r="N54" s="376"/>
      <c r="O54" s="376"/>
      <c r="P54" s="376"/>
      <c r="Q54" s="387" t="str">
        <f t="shared" si="3"/>
        <v/>
      </c>
      <c r="R54" s="376" t="str">
        <f t="shared" si="6"/>
        <v/>
      </c>
      <c r="S54" s="376" t="str">
        <f t="shared" si="7"/>
        <v/>
      </c>
      <c r="T54" s="388" t="str">
        <f t="shared" si="8"/>
        <v/>
      </c>
      <c r="U54" s="377" t="str">
        <f t="shared" si="9"/>
        <v/>
      </c>
    </row>
    <row r="55" spans="1:23" customFormat="1" ht="13" x14ac:dyDescent="0.15">
      <c r="A55" s="428" t="s">
        <v>306</v>
      </c>
      <c r="B55" s="433"/>
      <c r="C55" s="415">
        <f>'Std Analysis'!M5</f>
        <v>0</v>
      </c>
      <c r="D55" s="368"/>
      <c r="F55" s="349" t="s">
        <v>85</v>
      </c>
      <c r="G55" s="461">
        <v>-0.95990927915426905</v>
      </c>
      <c r="H55" s="350">
        <v>1</v>
      </c>
      <c r="I55" s="350"/>
      <c r="J55" s="352"/>
      <c r="K55" s="337"/>
      <c r="M55" s="383"/>
      <c r="N55" s="374"/>
      <c r="O55" s="374"/>
      <c r="P55" s="374"/>
      <c r="Q55" s="384" t="str">
        <f t="shared" si="3"/>
        <v/>
      </c>
      <c r="R55" s="374" t="str">
        <f t="shared" si="6"/>
        <v/>
      </c>
      <c r="S55" s="374" t="str">
        <f t="shared" si="7"/>
        <v/>
      </c>
      <c r="T55" s="385" t="str">
        <f t="shared" si="8"/>
        <v/>
      </c>
      <c r="U55" s="375" t="str">
        <f t="shared" si="9"/>
        <v/>
      </c>
    </row>
    <row r="56" spans="1:23" customFormat="1" ht="13" x14ac:dyDescent="0.15">
      <c r="A56" s="428" t="s">
        <v>307</v>
      </c>
      <c r="B56" s="433"/>
      <c r="C56" s="415">
        <f>C55*2</f>
        <v>0</v>
      </c>
      <c r="D56" s="368"/>
      <c r="F56" s="349" t="s">
        <v>86</v>
      </c>
      <c r="G56" s="461"/>
      <c r="H56" s="350"/>
      <c r="I56" s="350"/>
      <c r="J56" s="352"/>
      <c r="K56" s="337"/>
      <c r="M56" s="386"/>
      <c r="N56" s="376"/>
      <c r="O56" s="376"/>
      <c r="P56" s="376"/>
      <c r="Q56" s="387" t="str">
        <f t="shared" si="3"/>
        <v/>
      </c>
      <c r="R56" s="376" t="str">
        <f t="shared" si="6"/>
        <v/>
      </c>
      <c r="S56" s="376" t="str">
        <f t="shared" si="7"/>
        <v/>
      </c>
      <c r="T56" s="388" t="str">
        <f t="shared" si="8"/>
        <v/>
      </c>
      <c r="U56" s="377" t="str">
        <f t="shared" si="9"/>
        <v/>
      </c>
      <c r="W56" s="75"/>
    </row>
    <row r="57" spans="1:23" customFormat="1" ht="14" thickBot="1" x14ac:dyDescent="0.2">
      <c r="A57" s="441" t="s">
        <v>308</v>
      </c>
      <c r="B57" s="442"/>
      <c r="C57" s="443" t="e">
        <f>C56/C54</f>
        <v>#DIV/0!</v>
      </c>
      <c r="D57" s="444"/>
      <c r="F57" s="419" t="s">
        <v>301</v>
      </c>
      <c r="G57" s="462"/>
      <c r="H57" s="420"/>
      <c r="I57" s="420"/>
      <c r="J57" s="463"/>
      <c r="K57" s="337"/>
      <c r="M57" s="386"/>
      <c r="N57" s="376"/>
      <c r="O57" s="376"/>
      <c r="P57" s="376"/>
      <c r="Q57" s="387" t="str">
        <f t="shared" si="3"/>
        <v/>
      </c>
      <c r="R57" s="376" t="str">
        <f t="shared" si="6"/>
        <v/>
      </c>
      <c r="S57" s="376" t="str">
        <f t="shared" si="7"/>
        <v/>
      </c>
      <c r="T57" s="388" t="str">
        <f t="shared" si="8"/>
        <v/>
      </c>
      <c r="U57" s="377" t="str">
        <f t="shared" si="9"/>
        <v/>
      </c>
      <c r="W57" s="75"/>
    </row>
    <row r="58" spans="1:23" customFormat="1" ht="14" thickBot="1" x14ac:dyDescent="0.2">
      <c r="H58" s="1"/>
      <c r="I58" s="1"/>
      <c r="J58" s="1"/>
      <c r="K58" s="1"/>
      <c r="M58" s="386"/>
      <c r="N58" s="376"/>
      <c r="O58" s="376"/>
      <c r="P58" s="376"/>
      <c r="Q58" s="387" t="str">
        <f t="shared" si="3"/>
        <v/>
      </c>
      <c r="R58" s="376" t="str">
        <f t="shared" si="6"/>
        <v/>
      </c>
      <c r="S58" s="376" t="str">
        <f t="shared" si="7"/>
        <v/>
      </c>
      <c r="T58" s="388" t="str">
        <f t="shared" si="8"/>
        <v/>
      </c>
      <c r="U58" s="377" t="str">
        <f t="shared" si="9"/>
        <v/>
      </c>
    </row>
    <row r="59" spans="1:23" customFormat="1" ht="13" x14ac:dyDescent="0.15">
      <c r="A59" s="409" t="s">
        <v>266</v>
      </c>
      <c r="B59" s="410" t="s">
        <v>227</v>
      </c>
      <c r="C59" s="411" t="s">
        <v>309</v>
      </c>
      <c r="D59" s="412" t="s">
        <v>310</v>
      </c>
      <c r="E59" s="412" t="s">
        <v>309</v>
      </c>
      <c r="F59" s="398" t="s">
        <v>311</v>
      </c>
      <c r="G59" s="398" t="s">
        <v>8</v>
      </c>
      <c r="H59" s="398" t="s">
        <v>2</v>
      </c>
      <c r="I59" s="348" t="s">
        <v>287</v>
      </c>
      <c r="J59" s="1"/>
      <c r="K59" s="1"/>
      <c r="M59" s="386"/>
      <c r="N59" s="376"/>
      <c r="O59" s="376"/>
      <c r="P59" s="376"/>
      <c r="Q59" s="387" t="str">
        <f t="shared" si="3"/>
        <v/>
      </c>
      <c r="R59" s="376" t="str">
        <f t="shared" si="6"/>
        <v/>
      </c>
      <c r="S59" s="376" t="str">
        <f t="shared" si="7"/>
        <v/>
      </c>
      <c r="T59" s="388" t="str">
        <f t="shared" si="8"/>
        <v/>
      </c>
      <c r="U59" s="377" t="str">
        <f t="shared" si="9"/>
        <v/>
      </c>
    </row>
    <row r="60" spans="1:23" customFormat="1" ht="13" x14ac:dyDescent="0.15">
      <c r="A60" s="349">
        <v>1</v>
      </c>
      <c r="B60" s="413"/>
      <c r="C60" s="414"/>
      <c r="D60" s="414"/>
      <c r="E60" s="415"/>
      <c r="F60" s="416" t="str">
        <f t="shared" ref="F60:F69" si="10">IF(ISNUMBER(B60),(D60-B60)/B60,"")</f>
        <v/>
      </c>
      <c r="G60" s="350" t="str">
        <f t="shared" ref="G60:G69" si="11">IF(ISNUMBER(B60),IF(ABS(D60-B60)&lt;2*SQRT(SUMSQ(E60,C60)),"PASS","FAIL"),"")</f>
        <v/>
      </c>
      <c r="H60" s="417" t="str">
        <f>IF(ISNUMBER(B60),VLOOKUP(B60,'Standards Data'!$K$15:$N$25,3,FALSE()),"")</f>
        <v/>
      </c>
      <c r="I60" s="418" t="str">
        <f>IF(ISNUMBER(B60),2*VLOOKUP(B60,'Standards Data'!$K$15:$N$25,4,FALSE()),"")</f>
        <v/>
      </c>
      <c r="J60" s="1"/>
      <c r="K60" s="1"/>
      <c r="M60" s="386"/>
      <c r="N60" s="376"/>
      <c r="O60" s="376"/>
      <c r="P60" s="376"/>
      <c r="Q60" s="387" t="str">
        <f t="shared" si="3"/>
        <v/>
      </c>
      <c r="R60" s="376" t="str">
        <f t="shared" si="6"/>
        <v/>
      </c>
      <c r="S60" s="376" t="str">
        <f t="shared" si="7"/>
        <v/>
      </c>
      <c r="T60" s="388" t="str">
        <f t="shared" si="8"/>
        <v/>
      </c>
      <c r="U60" s="377" t="str">
        <f t="shared" si="9"/>
        <v/>
      </c>
    </row>
    <row r="61" spans="1:23" customFormat="1" ht="13" x14ac:dyDescent="0.15">
      <c r="A61" s="349">
        <v>2</v>
      </c>
      <c r="B61" s="350"/>
      <c r="C61" s="415"/>
      <c r="D61" s="415"/>
      <c r="E61" s="415"/>
      <c r="F61" s="416" t="str">
        <f t="shared" si="10"/>
        <v/>
      </c>
      <c r="G61" s="350" t="str">
        <f t="shared" si="11"/>
        <v/>
      </c>
      <c r="H61" s="417" t="str">
        <f>IF(ISNUMBER(B61),VLOOKUP(B61,'Standards Data'!$K$15:$N$25,3,FALSE()),"")</f>
        <v/>
      </c>
      <c r="I61" s="418" t="str">
        <f>IF(ISNUMBER(B61),2*VLOOKUP(B61,'Standards Data'!$K$15:$N$25,4,FALSE()),"")</f>
        <v/>
      </c>
      <c r="J61" s="1"/>
      <c r="K61" s="1"/>
      <c r="M61" s="386"/>
      <c r="N61" s="376"/>
      <c r="O61" s="376"/>
      <c r="P61" s="376"/>
      <c r="Q61" s="387" t="str">
        <f t="shared" si="3"/>
        <v/>
      </c>
      <c r="R61" s="376" t="str">
        <f t="shared" si="6"/>
        <v/>
      </c>
      <c r="S61" s="376" t="str">
        <f t="shared" si="7"/>
        <v/>
      </c>
      <c r="T61" s="388" t="str">
        <f t="shared" si="8"/>
        <v/>
      </c>
      <c r="U61" s="377" t="str">
        <f t="shared" si="9"/>
        <v/>
      </c>
    </row>
    <row r="62" spans="1:23" customFormat="1" ht="13" x14ac:dyDescent="0.15">
      <c r="A62" s="349">
        <v>3</v>
      </c>
      <c r="B62" s="350"/>
      <c r="C62" s="415"/>
      <c r="D62" s="415"/>
      <c r="E62" s="415"/>
      <c r="F62" s="416" t="str">
        <f t="shared" si="10"/>
        <v/>
      </c>
      <c r="G62" s="350" t="str">
        <f t="shared" si="11"/>
        <v/>
      </c>
      <c r="H62" s="417" t="str">
        <f>IF(ISNUMBER(B62),VLOOKUP(B62,'Standards Data'!$K$15:$N$25,3,FALSE()),"")</f>
        <v/>
      </c>
      <c r="I62" s="418" t="str">
        <f>IF(ISNUMBER(B62),2*VLOOKUP(B62,'Standards Data'!$K$15:$N$25,4,FALSE()),"")</f>
        <v/>
      </c>
      <c r="J62" s="1"/>
      <c r="K62" s="1"/>
      <c r="M62" s="386"/>
      <c r="N62" s="376"/>
      <c r="O62" s="376"/>
      <c r="P62" s="376"/>
      <c r="Q62" s="387" t="str">
        <f t="shared" si="3"/>
        <v/>
      </c>
      <c r="R62" s="376" t="str">
        <f t="shared" si="6"/>
        <v/>
      </c>
      <c r="S62" s="376" t="str">
        <f t="shared" si="7"/>
        <v/>
      </c>
      <c r="T62" s="388" t="str">
        <f t="shared" si="8"/>
        <v/>
      </c>
      <c r="U62" s="377" t="str">
        <f t="shared" si="9"/>
        <v/>
      </c>
    </row>
    <row r="63" spans="1:23" customFormat="1" ht="13" x14ac:dyDescent="0.15">
      <c r="A63" s="349">
        <v>4</v>
      </c>
      <c r="B63" s="350"/>
      <c r="C63" s="415"/>
      <c r="D63" s="415"/>
      <c r="E63" s="415"/>
      <c r="F63" s="416" t="str">
        <f t="shared" si="10"/>
        <v/>
      </c>
      <c r="G63" s="350" t="str">
        <f t="shared" si="11"/>
        <v/>
      </c>
      <c r="H63" s="417" t="str">
        <f>IF(ISNUMBER(B63),VLOOKUP(B63,'Standards Data'!$K$15:$N$25,3,FALSE()),"")</f>
        <v/>
      </c>
      <c r="I63" s="418" t="str">
        <f>IF(ISNUMBER(B63),2*VLOOKUP(B63,'Standards Data'!$K$15:$N$25,4,FALSE()),"")</f>
        <v/>
      </c>
      <c r="J63" s="1"/>
      <c r="K63" s="1"/>
      <c r="M63" s="386"/>
      <c r="N63" s="376"/>
      <c r="O63" s="376"/>
      <c r="P63" s="376"/>
      <c r="Q63" s="387" t="str">
        <f t="shared" si="3"/>
        <v/>
      </c>
      <c r="R63" s="376" t="str">
        <f t="shared" si="6"/>
        <v/>
      </c>
      <c r="S63" s="376" t="str">
        <f t="shared" si="7"/>
        <v/>
      </c>
      <c r="T63" s="388" t="str">
        <f t="shared" si="8"/>
        <v/>
      </c>
      <c r="U63" s="377" t="str">
        <f t="shared" si="9"/>
        <v/>
      </c>
    </row>
    <row r="64" spans="1:23" customFormat="1" ht="13" x14ac:dyDescent="0.15">
      <c r="A64" s="349">
        <v>5</v>
      </c>
      <c r="B64" s="350"/>
      <c r="C64" s="400"/>
      <c r="D64" s="400"/>
      <c r="E64" s="400"/>
      <c r="F64" s="416" t="str">
        <f t="shared" si="10"/>
        <v/>
      </c>
      <c r="G64" s="350" t="str">
        <f t="shared" si="11"/>
        <v/>
      </c>
      <c r="H64" s="417" t="str">
        <f>IF(ISNUMBER(B64),VLOOKUP(B64,'Standards Data'!$K$15:$N$25,3,FALSE()),"")</f>
        <v/>
      </c>
      <c r="I64" s="418" t="str">
        <f>IF(ISNUMBER(B64),2*VLOOKUP(B64,'Standards Data'!$K$15:$N$25,4,FALSE()),"")</f>
        <v/>
      </c>
      <c r="J64" s="1"/>
      <c r="K64" s="1"/>
      <c r="M64" s="386"/>
      <c r="N64" s="376"/>
      <c r="O64" s="376"/>
      <c r="P64" s="376"/>
      <c r="Q64" s="387" t="str">
        <f t="shared" si="3"/>
        <v/>
      </c>
      <c r="R64" s="376" t="str">
        <f t="shared" si="6"/>
        <v/>
      </c>
      <c r="S64" s="376" t="str">
        <f t="shared" si="7"/>
        <v/>
      </c>
      <c r="T64" s="388" t="str">
        <f t="shared" si="8"/>
        <v/>
      </c>
      <c r="U64" s="377" t="str">
        <f t="shared" si="9"/>
        <v/>
      </c>
    </row>
    <row r="65" spans="1:21" customFormat="1" ht="13" x14ac:dyDescent="0.15">
      <c r="A65" s="349">
        <v>6</v>
      </c>
      <c r="B65" s="350"/>
      <c r="C65" s="400"/>
      <c r="D65" s="400"/>
      <c r="E65" s="400"/>
      <c r="F65" s="416" t="str">
        <f t="shared" si="10"/>
        <v/>
      </c>
      <c r="G65" s="350" t="str">
        <f t="shared" si="11"/>
        <v/>
      </c>
      <c r="H65" s="417" t="str">
        <f>IF(ISNUMBER(B65),VLOOKUP(B65,'Standards Data'!$K$15:$N$25,3,FALSE()),"")</f>
        <v/>
      </c>
      <c r="I65" s="418" t="str">
        <f>IF(ISNUMBER(B65),2*VLOOKUP(B65,'Standards Data'!$K$15:$N$25,4,FALSE()),"")</f>
        <v/>
      </c>
      <c r="J65" s="1"/>
      <c r="K65" s="1"/>
      <c r="M65" s="386"/>
      <c r="N65" s="376"/>
      <c r="O65" s="376"/>
      <c r="P65" s="376"/>
      <c r="Q65" s="387" t="str">
        <f t="shared" si="3"/>
        <v/>
      </c>
      <c r="R65" s="376" t="str">
        <f t="shared" si="6"/>
        <v/>
      </c>
      <c r="S65" s="376" t="str">
        <f t="shared" si="7"/>
        <v/>
      </c>
      <c r="T65" s="388" t="str">
        <f t="shared" si="8"/>
        <v/>
      </c>
      <c r="U65" s="377" t="str">
        <f t="shared" si="9"/>
        <v/>
      </c>
    </row>
    <row r="66" spans="1:21" customFormat="1" ht="13" x14ac:dyDescent="0.15">
      <c r="A66" s="349">
        <v>7</v>
      </c>
      <c r="B66" s="350"/>
      <c r="C66" s="400"/>
      <c r="D66" s="400"/>
      <c r="E66" s="400"/>
      <c r="F66" s="416" t="str">
        <f t="shared" si="10"/>
        <v/>
      </c>
      <c r="G66" s="350" t="str">
        <f t="shared" si="11"/>
        <v/>
      </c>
      <c r="H66" s="417" t="str">
        <f>IF(ISNUMBER(B66),VLOOKUP(B66,'Standards Data'!$K$15:$N$25,3,FALSE()),"")</f>
        <v/>
      </c>
      <c r="I66" s="418" t="str">
        <f>IF(ISNUMBER(B66),2*VLOOKUP(B66,'Standards Data'!$K$15:$N$25,4,FALSE()),"")</f>
        <v/>
      </c>
      <c r="J66" s="1"/>
      <c r="K66" s="1"/>
      <c r="M66" s="386"/>
      <c r="N66" s="376"/>
      <c r="O66" s="376"/>
      <c r="P66" s="376"/>
      <c r="Q66" s="387" t="str">
        <f t="shared" si="3"/>
        <v/>
      </c>
      <c r="R66" s="376" t="str">
        <f t="shared" si="6"/>
        <v/>
      </c>
      <c r="S66" s="376" t="str">
        <f t="shared" si="7"/>
        <v/>
      </c>
      <c r="T66" s="388" t="str">
        <f t="shared" si="8"/>
        <v/>
      </c>
      <c r="U66" s="377" t="str">
        <f t="shared" si="9"/>
        <v/>
      </c>
    </row>
    <row r="67" spans="1:21" customFormat="1" ht="13" x14ac:dyDescent="0.15">
      <c r="A67" s="349">
        <v>8</v>
      </c>
      <c r="B67" s="350"/>
      <c r="C67" s="400"/>
      <c r="D67" s="400"/>
      <c r="E67" s="400"/>
      <c r="F67" s="416" t="str">
        <f t="shared" si="10"/>
        <v/>
      </c>
      <c r="G67" s="350" t="str">
        <f t="shared" si="11"/>
        <v/>
      </c>
      <c r="H67" s="417" t="str">
        <f>IF(ISNUMBER(B67),VLOOKUP(B67,'Standards Data'!$K$15:$N$25,3,FALSE()),"")</f>
        <v/>
      </c>
      <c r="I67" s="418" t="str">
        <f>IF(ISNUMBER(B67),2*VLOOKUP(B67,'Standards Data'!$K$15:$N$25,4,FALSE()),"")</f>
        <v/>
      </c>
      <c r="J67" s="1"/>
      <c r="K67" s="1"/>
      <c r="M67" s="386"/>
      <c r="N67" s="376"/>
      <c r="O67" s="376"/>
      <c r="P67" s="376"/>
      <c r="Q67" s="387" t="str">
        <f t="shared" si="3"/>
        <v/>
      </c>
      <c r="R67" s="376" t="str">
        <f t="shared" si="6"/>
        <v/>
      </c>
      <c r="S67" s="376" t="str">
        <f t="shared" si="7"/>
        <v/>
      </c>
      <c r="T67" s="388" t="str">
        <f t="shared" si="8"/>
        <v/>
      </c>
      <c r="U67" s="377" t="str">
        <f t="shared" si="9"/>
        <v/>
      </c>
    </row>
    <row r="68" spans="1:21" customFormat="1" ht="13" x14ac:dyDescent="0.15">
      <c r="A68" s="349">
        <v>9</v>
      </c>
      <c r="B68" s="350"/>
      <c r="C68" s="400"/>
      <c r="D68" s="400"/>
      <c r="E68" s="400"/>
      <c r="F68" s="416" t="str">
        <f t="shared" si="10"/>
        <v/>
      </c>
      <c r="G68" s="350" t="str">
        <f t="shared" si="11"/>
        <v/>
      </c>
      <c r="H68" s="417" t="str">
        <f>IF(ISNUMBER(B68),VLOOKUP(B68,'Standards Data'!$K$15:$N$25,3,FALSE()),"")</f>
        <v/>
      </c>
      <c r="I68" s="418" t="str">
        <f>IF(ISNUMBER(B68),2*VLOOKUP(B68,'Standards Data'!$K$15:$N$25,4,FALSE()),"")</f>
        <v/>
      </c>
      <c r="J68" s="1"/>
      <c r="K68" s="1"/>
      <c r="M68" s="386"/>
      <c r="N68" s="376"/>
      <c r="O68" s="376"/>
      <c r="P68" s="376"/>
      <c r="Q68" s="387" t="str">
        <f t="shared" si="3"/>
        <v/>
      </c>
      <c r="R68" s="376" t="str">
        <f t="shared" si="6"/>
        <v/>
      </c>
      <c r="S68" s="376" t="str">
        <f t="shared" si="7"/>
        <v/>
      </c>
      <c r="T68" s="388" t="str">
        <f t="shared" si="8"/>
        <v/>
      </c>
      <c r="U68" s="377" t="str">
        <f t="shared" si="9"/>
        <v/>
      </c>
    </row>
    <row r="69" spans="1:21" customFormat="1" ht="14" thickBot="1" x14ac:dyDescent="0.2">
      <c r="A69" s="419">
        <v>10</v>
      </c>
      <c r="B69" s="420"/>
      <c r="C69" s="421"/>
      <c r="D69" s="421"/>
      <c r="E69" s="421"/>
      <c r="F69" s="422" t="str">
        <f t="shared" si="10"/>
        <v/>
      </c>
      <c r="G69" s="420" t="str">
        <f t="shared" si="11"/>
        <v/>
      </c>
      <c r="H69" s="423" t="str">
        <f>IF(ISNUMBER(B69),VLOOKUP(B69,'Standards Data'!$K$15:$N$25,3,FALSE()),"")</f>
        <v/>
      </c>
      <c r="I69" s="424" t="str">
        <f>IF(ISNUMBER(B69),2*VLOOKUP(B69,'Standards Data'!$K$15:$N$25,4,FALSE()),"")</f>
        <v/>
      </c>
      <c r="J69" s="1"/>
      <c r="K69" s="1"/>
      <c r="M69" s="386"/>
      <c r="N69" s="376"/>
      <c r="O69" s="376"/>
      <c r="P69" s="376"/>
      <c r="Q69" s="387" t="str">
        <f t="shared" si="3"/>
        <v/>
      </c>
      <c r="R69" s="376" t="str">
        <f t="shared" si="6"/>
        <v/>
      </c>
      <c r="S69" s="376" t="str">
        <f t="shared" si="7"/>
        <v/>
      </c>
      <c r="T69" s="388" t="str">
        <f t="shared" si="8"/>
        <v/>
      </c>
      <c r="U69" s="377" t="str">
        <f t="shared" si="9"/>
        <v/>
      </c>
    </row>
    <row r="70" spans="1:21" customFormat="1" ht="13" x14ac:dyDescent="0.15">
      <c r="H70" s="1"/>
      <c r="I70" s="1"/>
      <c r="J70" s="1"/>
      <c r="K70" s="1"/>
      <c r="M70" s="386"/>
      <c r="N70" s="376"/>
      <c r="O70" s="376"/>
      <c r="P70" s="376"/>
      <c r="Q70" s="387" t="str">
        <f t="shared" si="3"/>
        <v/>
      </c>
      <c r="R70" s="376" t="str">
        <f t="shared" si="6"/>
        <v/>
      </c>
      <c r="S70" s="376" t="str">
        <f t="shared" si="7"/>
        <v/>
      </c>
      <c r="T70" s="388" t="str">
        <f t="shared" si="8"/>
        <v/>
      </c>
      <c r="U70" s="377" t="str">
        <f t="shared" si="9"/>
        <v/>
      </c>
    </row>
    <row r="71" spans="1:21" customFormat="1" ht="14" thickBot="1" x14ac:dyDescent="0.2">
      <c r="A71" s="191"/>
      <c r="B71" s="191"/>
      <c r="C71" s="191"/>
      <c r="D71" s="191"/>
      <c r="H71" s="1"/>
      <c r="I71" s="1"/>
      <c r="J71" s="1"/>
      <c r="M71" s="386"/>
      <c r="N71" s="376"/>
      <c r="O71" s="376"/>
      <c r="P71" s="376"/>
      <c r="Q71" s="387" t="str">
        <f t="shared" si="3"/>
        <v/>
      </c>
      <c r="R71" s="376" t="str">
        <f t="shared" si="6"/>
        <v/>
      </c>
      <c r="S71" s="376" t="str">
        <f t="shared" si="7"/>
        <v/>
      </c>
      <c r="T71" s="388" t="str">
        <f t="shared" si="8"/>
        <v/>
      </c>
      <c r="U71" s="377" t="str">
        <f t="shared" si="9"/>
        <v/>
      </c>
    </row>
    <row r="72" spans="1:21" customFormat="1" ht="13" x14ac:dyDescent="0.15">
      <c r="A72" s="347" t="s">
        <v>312</v>
      </c>
      <c r="B72" s="398" t="s">
        <v>313</v>
      </c>
      <c r="C72" s="398" t="s">
        <v>227</v>
      </c>
      <c r="D72" s="398" t="s">
        <v>287</v>
      </c>
      <c r="E72" s="347" t="s">
        <v>292</v>
      </c>
      <c r="F72" s="398" t="s">
        <v>293</v>
      </c>
      <c r="G72" s="398" t="s">
        <v>314</v>
      </c>
      <c r="H72" s="348" t="s">
        <v>315</v>
      </c>
      <c r="M72" s="386"/>
      <c r="N72" s="376"/>
      <c r="O72" s="376"/>
      <c r="P72" s="376"/>
      <c r="Q72" s="387" t="str">
        <f t="shared" si="3"/>
        <v/>
      </c>
      <c r="R72" s="376" t="str">
        <f t="shared" si="6"/>
        <v/>
      </c>
      <c r="S72" s="376" t="str">
        <f t="shared" si="7"/>
        <v/>
      </c>
      <c r="T72" s="388" t="str">
        <f t="shared" si="8"/>
        <v/>
      </c>
      <c r="U72" s="377" t="str">
        <f t="shared" si="9"/>
        <v/>
      </c>
    </row>
    <row r="73" spans="1:21" customFormat="1" ht="13" x14ac:dyDescent="0.15">
      <c r="A73" s="399"/>
      <c r="B73" s="400"/>
      <c r="C73" s="401"/>
      <c r="D73" s="401"/>
      <c r="E73" s="402"/>
      <c r="F73" s="357" t="str">
        <f>IF(ISNUMBER(E73),E73/D73,"")</f>
        <v/>
      </c>
      <c r="G73" s="401" t="str">
        <f>IF(ISNUMBER(E73),C73-E73,"")</f>
        <v/>
      </c>
      <c r="H73" s="403" t="str">
        <f>IF(ISNUMBER(E73),C73+E73,"")</f>
        <v/>
      </c>
      <c r="M73" s="386"/>
      <c r="N73" s="376"/>
      <c r="O73" s="376"/>
      <c r="P73" s="376"/>
      <c r="Q73" s="387" t="str">
        <f t="shared" si="3"/>
        <v/>
      </c>
      <c r="R73" s="376" t="str">
        <f t="shared" si="6"/>
        <v/>
      </c>
      <c r="S73" s="376" t="str">
        <f t="shared" si="7"/>
        <v/>
      </c>
      <c r="T73" s="388" t="str">
        <f t="shared" si="8"/>
        <v/>
      </c>
      <c r="U73" s="377" t="str">
        <f t="shared" si="9"/>
        <v/>
      </c>
    </row>
    <row r="74" spans="1:21" customFormat="1" ht="13" x14ac:dyDescent="0.15">
      <c r="A74" s="399"/>
      <c r="B74" s="400"/>
      <c r="C74" s="401"/>
      <c r="D74" s="401"/>
      <c r="E74" s="402"/>
      <c r="F74" s="357" t="str">
        <f>IF(ISNUMBER(E74),E74/D74,"")</f>
        <v/>
      </c>
      <c r="G74" s="401" t="str">
        <f>IF(ISNUMBER(E74),C74-E74,"")</f>
        <v/>
      </c>
      <c r="H74" s="403" t="str">
        <f>IF(ISNUMBER(E74),C74+E74,"")</f>
        <v/>
      </c>
      <c r="M74" s="386"/>
      <c r="N74" s="376"/>
      <c r="O74" s="376"/>
      <c r="P74" s="376"/>
      <c r="Q74" s="387" t="str">
        <f t="shared" si="3"/>
        <v/>
      </c>
      <c r="R74" s="376" t="str">
        <f t="shared" si="6"/>
        <v/>
      </c>
      <c r="S74" s="376" t="str">
        <f t="shared" si="7"/>
        <v/>
      </c>
      <c r="T74" s="388" t="str">
        <f t="shared" si="8"/>
        <v/>
      </c>
      <c r="U74" s="377" t="str">
        <f t="shared" si="9"/>
        <v/>
      </c>
    </row>
    <row r="75" spans="1:21" customFormat="1" ht="13" x14ac:dyDescent="0.15">
      <c r="A75" s="399"/>
      <c r="B75" s="400"/>
      <c r="C75" s="401"/>
      <c r="D75" s="401"/>
      <c r="E75" s="402"/>
      <c r="F75" s="357" t="str">
        <f>IF(ISNUMBER(E75),E75/D75,"")</f>
        <v/>
      </c>
      <c r="G75" s="401" t="str">
        <f>IF(ISNUMBER(E75),C75-E75,"")</f>
        <v/>
      </c>
      <c r="H75" s="403" t="str">
        <f>IF(ISNUMBER(E75),C75+E75,"")</f>
        <v/>
      </c>
      <c r="M75" s="386"/>
      <c r="N75" s="376"/>
      <c r="O75" s="376"/>
      <c r="P75" s="376"/>
      <c r="Q75" s="387" t="str">
        <f t="shared" si="3"/>
        <v/>
      </c>
      <c r="R75" s="376" t="str">
        <f t="shared" si="6"/>
        <v/>
      </c>
      <c r="S75" s="376" t="str">
        <f t="shared" si="7"/>
        <v/>
      </c>
      <c r="T75" s="388" t="str">
        <f t="shared" si="8"/>
        <v/>
      </c>
      <c r="U75" s="377" t="str">
        <f t="shared" si="9"/>
        <v/>
      </c>
    </row>
    <row r="76" spans="1:21" customFormat="1" ht="14" thickBot="1" x14ac:dyDescent="0.2">
      <c r="A76" s="404"/>
      <c r="B76" s="405"/>
      <c r="C76" s="406"/>
      <c r="D76" s="406"/>
      <c r="E76" s="407"/>
      <c r="F76" s="406" t="str">
        <f>IF(ISNUMBER(E76),E76/D76,"")</f>
        <v/>
      </c>
      <c r="G76" s="406" t="str">
        <f>IF(ISNUMBER(E76),C76-E76,"")</f>
        <v/>
      </c>
      <c r="H76" s="408" t="str">
        <f>IF(ISNUMBER(E76),C76+E76,"")</f>
        <v/>
      </c>
      <c r="M76" s="386"/>
      <c r="N76" s="376"/>
      <c r="O76" s="376"/>
      <c r="P76" s="376"/>
      <c r="Q76" s="387" t="str">
        <f t="shared" si="3"/>
        <v/>
      </c>
      <c r="R76" s="376" t="str">
        <f t="shared" si="6"/>
        <v/>
      </c>
      <c r="S76" s="376" t="str">
        <f t="shared" si="7"/>
        <v/>
      </c>
      <c r="T76" s="388" t="str">
        <f t="shared" si="8"/>
        <v/>
      </c>
      <c r="U76" s="377" t="str">
        <f t="shared" si="9"/>
        <v/>
      </c>
    </row>
    <row r="77" spans="1:21" customFormat="1" ht="13" x14ac:dyDescent="0.15">
      <c r="G77" s="338"/>
      <c r="H77" s="338"/>
      <c r="I77" s="338"/>
      <c r="J77" s="1"/>
      <c r="M77" s="386"/>
      <c r="N77" s="376"/>
      <c r="O77" s="376"/>
      <c r="P77" s="376"/>
      <c r="Q77" s="387" t="str">
        <f t="shared" si="3"/>
        <v/>
      </c>
      <c r="R77" s="376" t="str">
        <f t="shared" si="6"/>
        <v/>
      </c>
      <c r="S77" s="376" t="str">
        <f t="shared" si="7"/>
        <v/>
      </c>
      <c r="T77" s="388" t="str">
        <f t="shared" si="8"/>
        <v/>
      </c>
      <c r="U77" s="377" t="str">
        <f t="shared" si="9"/>
        <v/>
      </c>
    </row>
    <row r="78" spans="1:21" customFormat="1" ht="14" thickBot="1" x14ac:dyDescent="0.2">
      <c r="G78" s="338"/>
      <c r="H78" s="338"/>
      <c r="I78" s="338"/>
      <c r="J78" s="1"/>
      <c r="K78" s="1"/>
      <c r="M78" s="386"/>
      <c r="N78" s="376"/>
      <c r="O78" s="376"/>
      <c r="P78" s="376"/>
      <c r="Q78" s="387" t="str">
        <f t="shared" si="3"/>
        <v/>
      </c>
      <c r="R78" s="376" t="str">
        <f t="shared" si="6"/>
        <v/>
      </c>
      <c r="S78" s="376" t="str">
        <f t="shared" si="7"/>
        <v/>
      </c>
      <c r="T78" s="388" t="str">
        <f t="shared" si="8"/>
        <v/>
      </c>
      <c r="U78" s="377" t="str">
        <f t="shared" si="9"/>
        <v/>
      </c>
    </row>
    <row r="79" spans="1:21" customFormat="1" ht="13" x14ac:dyDescent="0.15">
      <c r="A79" s="346" t="s">
        <v>0</v>
      </c>
      <c r="B79" s="398" t="s">
        <v>2</v>
      </c>
      <c r="C79" s="398" t="s">
        <v>8</v>
      </c>
      <c r="D79" s="348" t="s">
        <v>227</v>
      </c>
      <c r="G79" s="498" t="s">
        <v>316</v>
      </c>
      <c r="H79" s="498"/>
      <c r="I79" s="1"/>
      <c r="J79" s="1"/>
      <c r="K79" s="1"/>
      <c r="M79" s="386"/>
      <c r="N79" s="376"/>
      <c r="O79" s="376"/>
      <c r="P79" s="376"/>
      <c r="Q79" s="387" t="str">
        <f t="shared" si="3"/>
        <v/>
      </c>
      <c r="R79" s="376" t="str">
        <f t="shared" si="6"/>
        <v/>
      </c>
      <c r="S79" s="376" t="str">
        <f t="shared" si="7"/>
        <v/>
      </c>
      <c r="T79" s="388" t="str">
        <f t="shared" si="8"/>
        <v/>
      </c>
      <c r="U79" s="377" t="str">
        <f t="shared" si="9"/>
        <v/>
      </c>
    </row>
    <row r="80" spans="1:21" customFormat="1" ht="13" x14ac:dyDescent="0.15">
      <c r="A80" s="394"/>
      <c r="B80" s="395"/>
      <c r="C80" s="396"/>
      <c r="D80" s="397"/>
      <c r="G80" s="339" t="s">
        <v>227</v>
      </c>
      <c r="H80" s="340"/>
      <c r="I80" s="1"/>
      <c r="J80" s="1"/>
      <c r="K80" s="1"/>
      <c r="M80" s="386"/>
      <c r="N80" s="376"/>
      <c r="O80" s="376"/>
      <c r="P80" s="376"/>
      <c r="Q80" s="387" t="str">
        <f t="shared" si="3"/>
        <v/>
      </c>
      <c r="R80" s="376" t="str">
        <f t="shared" si="6"/>
        <v/>
      </c>
      <c r="S80" s="376" t="str">
        <f t="shared" si="7"/>
        <v/>
      </c>
      <c r="T80" s="388" t="str">
        <f t="shared" si="8"/>
        <v/>
      </c>
      <c r="U80" s="377" t="str">
        <f t="shared" si="9"/>
        <v/>
      </c>
    </row>
    <row r="81" spans="1:21" customFormat="1" ht="13" x14ac:dyDescent="0.15">
      <c r="A81" s="379"/>
      <c r="B81" s="480"/>
      <c r="C81" s="345"/>
      <c r="D81" s="481"/>
      <c r="G81" s="339" t="s">
        <v>317</v>
      </c>
      <c r="H81" s="340"/>
      <c r="I81" s="1"/>
      <c r="J81" s="1"/>
      <c r="K81" s="1"/>
      <c r="M81" s="386"/>
      <c r="N81" s="376"/>
      <c r="O81" s="376"/>
      <c r="P81" s="376"/>
      <c r="Q81" s="387" t="str">
        <f t="shared" si="3"/>
        <v/>
      </c>
      <c r="R81" s="376" t="str">
        <f t="shared" si="6"/>
        <v/>
      </c>
      <c r="S81" s="376" t="str">
        <f t="shared" si="7"/>
        <v/>
      </c>
      <c r="T81" s="388" t="str">
        <f t="shared" si="8"/>
        <v/>
      </c>
      <c r="U81" s="377" t="str">
        <f t="shared" si="9"/>
        <v/>
      </c>
    </row>
    <row r="82" spans="1:21" customFormat="1" ht="13" x14ac:dyDescent="0.15">
      <c r="A82" s="379"/>
      <c r="B82" s="480"/>
      <c r="C82" s="345"/>
      <c r="D82" s="481"/>
      <c r="G82" s="339" t="s">
        <v>318</v>
      </c>
      <c r="H82" s="340"/>
      <c r="I82" s="1"/>
      <c r="J82" s="1"/>
      <c r="K82" s="1"/>
      <c r="M82" s="386"/>
      <c r="N82" s="376"/>
      <c r="O82" s="376"/>
      <c r="P82" s="376"/>
      <c r="Q82" s="387" t="str">
        <f t="shared" si="3"/>
        <v/>
      </c>
      <c r="R82" s="376" t="str">
        <f t="shared" si="6"/>
        <v/>
      </c>
      <c r="S82" s="376" t="str">
        <f t="shared" si="7"/>
        <v/>
      </c>
      <c r="T82" s="388" t="str">
        <f t="shared" si="8"/>
        <v/>
      </c>
      <c r="U82" s="377" t="str">
        <f t="shared" si="9"/>
        <v/>
      </c>
    </row>
    <row r="83" spans="1:21" customFormat="1" ht="13" x14ac:dyDescent="0.15">
      <c r="A83" s="379"/>
      <c r="B83" s="480"/>
      <c r="C83" s="345"/>
      <c r="D83" s="481"/>
      <c r="G83" s="339" t="s">
        <v>319</v>
      </c>
      <c r="H83" s="340"/>
      <c r="I83" s="1"/>
      <c r="J83" s="1"/>
      <c r="K83" s="1"/>
      <c r="M83" s="386"/>
      <c r="N83" s="376"/>
      <c r="O83" s="376"/>
      <c r="P83" s="376"/>
      <c r="Q83" s="387" t="str">
        <f t="shared" si="3"/>
        <v/>
      </c>
      <c r="R83" s="376" t="str">
        <f t="shared" si="6"/>
        <v/>
      </c>
      <c r="S83" s="376" t="str">
        <f t="shared" si="7"/>
        <v/>
      </c>
      <c r="T83" s="388" t="str">
        <f t="shared" si="8"/>
        <v/>
      </c>
      <c r="U83" s="377" t="str">
        <f t="shared" si="9"/>
        <v/>
      </c>
    </row>
    <row r="84" spans="1:21" customFormat="1" ht="13" x14ac:dyDescent="0.15">
      <c r="A84" s="379"/>
      <c r="B84" s="482"/>
      <c r="C84" s="345"/>
      <c r="D84" s="344"/>
      <c r="G84" s="339" t="s">
        <v>320</v>
      </c>
      <c r="H84" s="340"/>
      <c r="I84" s="1"/>
      <c r="J84" s="1"/>
      <c r="K84" s="1"/>
      <c r="M84" s="386"/>
      <c r="N84" s="376"/>
      <c r="O84" s="376"/>
      <c r="P84" s="376"/>
      <c r="Q84" s="387" t="str">
        <f t="shared" si="3"/>
        <v/>
      </c>
      <c r="R84" s="376" t="str">
        <f t="shared" si="6"/>
        <v/>
      </c>
      <c r="S84" s="376" t="str">
        <f t="shared" si="7"/>
        <v/>
      </c>
      <c r="T84" s="388" t="str">
        <f t="shared" si="8"/>
        <v/>
      </c>
      <c r="U84" s="377" t="str">
        <f t="shared" si="9"/>
        <v/>
      </c>
    </row>
    <row r="85" spans="1:21" customFormat="1" ht="14" thickBot="1" x14ac:dyDescent="0.2">
      <c r="A85" s="379"/>
      <c r="B85" s="482"/>
      <c r="C85" s="345"/>
      <c r="D85" s="344"/>
      <c r="G85" s="341" t="s">
        <v>321</v>
      </c>
      <c r="H85" s="342"/>
      <c r="I85" s="1"/>
      <c r="J85" s="1"/>
      <c r="K85" s="1"/>
      <c r="M85" s="383"/>
      <c r="N85" s="374"/>
      <c r="O85" s="374"/>
      <c r="P85" s="374"/>
      <c r="Q85" s="384" t="str">
        <f t="shared" si="3"/>
        <v/>
      </c>
      <c r="R85" s="374" t="str">
        <f t="shared" si="6"/>
        <v/>
      </c>
      <c r="S85" s="374" t="str">
        <f t="shared" si="7"/>
        <v/>
      </c>
      <c r="T85" s="385" t="str">
        <f t="shared" si="8"/>
        <v/>
      </c>
      <c r="U85" s="375" t="str">
        <f t="shared" si="9"/>
        <v/>
      </c>
    </row>
    <row r="86" spans="1:21" customFormat="1" ht="13" x14ac:dyDescent="0.15">
      <c r="A86" s="379"/>
      <c r="B86" s="482"/>
      <c r="C86" s="345"/>
      <c r="D86" s="344"/>
      <c r="G86" s="63"/>
      <c r="H86" s="1"/>
      <c r="I86" s="1"/>
      <c r="J86" s="1"/>
      <c r="K86" s="1"/>
      <c r="M86" s="386"/>
      <c r="N86" s="376"/>
      <c r="O86" s="376"/>
      <c r="P86" s="376"/>
      <c r="Q86" s="387" t="str">
        <f t="shared" si="3"/>
        <v/>
      </c>
      <c r="R86" s="376" t="str">
        <f t="shared" si="6"/>
        <v/>
      </c>
      <c r="S86" s="376" t="str">
        <f t="shared" si="7"/>
        <v/>
      </c>
      <c r="T86" s="388" t="str">
        <f t="shared" si="8"/>
        <v/>
      </c>
      <c r="U86" s="377" t="str">
        <f t="shared" si="9"/>
        <v/>
      </c>
    </row>
    <row r="87" spans="1:21" customFormat="1" ht="13" x14ac:dyDescent="0.15">
      <c r="A87" s="379"/>
      <c r="B87" s="482"/>
      <c r="C87" s="345"/>
      <c r="D87" s="344"/>
      <c r="G87" s="63"/>
      <c r="H87" s="1"/>
      <c r="I87" s="1"/>
      <c r="J87" s="1"/>
      <c r="K87" s="1"/>
      <c r="M87" s="386"/>
      <c r="N87" s="376"/>
      <c r="O87" s="376"/>
      <c r="P87" s="376"/>
      <c r="Q87" s="387" t="str">
        <f t="shared" si="3"/>
        <v/>
      </c>
      <c r="R87" s="376" t="str">
        <f t="shared" si="6"/>
        <v/>
      </c>
      <c r="S87" s="376" t="str">
        <f t="shared" si="7"/>
        <v/>
      </c>
      <c r="T87" s="388" t="str">
        <f t="shared" si="8"/>
        <v/>
      </c>
      <c r="U87" s="377" t="str">
        <f t="shared" si="9"/>
        <v/>
      </c>
    </row>
    <row r="88" spans="1:21" customFormat="1" ht="13" x14ac:dyDescent="0.15">
      <c r="A88" s="379"/>
      <c r="B88" s="482"/>
      <c r="C88" s="345"/>
      <c r="D88" s="344"/>
      <c r="H88" s="1"/>
      <c r="I88" s="1"/>
      <c r="J88" s="1"/>
      <c r="K88" s="1"/>
      <c r="M88" s="386"/>
      <c r="N88" s="376"/>
      <c r="O88" s="376"/>
      <c r="P88" s="376"/>
      <c r="Q88" s="387" t="str">
        <f t="shared" si="3"/>
        <v/>
      </c>
      <c r="R88" s="376" t="str">
        <f t="shared" si="6"/>
        <v/>
      </c>
      <c r="S88" s="376" t="str">
        <f t="shared" si="7"/>
        <v/>
      </c>
      <c r="T88" s="388" t="str">
        <f t="shared" si="8"/>
        <v/>
      </c>
      <c r="U88" s="377" t="str">
        <f t="shared" si="9"/>
        <v/>
      </c>
    </row>
    <row r="89" spans="1:21" customFormat="1" ht="13" x14ac:dyDescent="0.15">
      <c r="A89" s="379"/>
      <c r="B89" s="482"/>
      <c r="C89" s="345"/>
      <c r="D89" s="344"/>
      <c r="H89" s="1"/>
      <c r="I89" s="1"/>
      <c r="J89" s="1"/>
      <c r="K89" s="1"/>
      <c r="M89" s="383"/>
      <c r="N89" s="374"/>
      <c r="O89" s="374"/>
      <c r="P89" s="374"/>
      <c r="Q89" s="384" t="str">
        <f t="shared" si="3"/>
        <v/>
      </c>
      <c r="R89" s="374" t="str">
        <f t="shared" si="6"/>
        <v/>
      </c>
      <c r="S89" s="374" t="str">
        <f t="shared" si="7"/>
        <v/>
      </c>
      <c r="T89" s="385" t="str">
        <f t="shared" si="8"/>
        <v/>
      </c>
      <c r="U89" s="375" t="str">
        <f t="shared" si="9"/>
        <v/>
      </c>
    </row>
    <row r="90" spans="1:21" customFormat="1" ht="13" x14ac:dyDescent="0.15">
      <c r="A90" s="379"/>
      <c r="B90" s="482"/>
      <c r="C90" s="345"/>
      <c r="D90" s="344"/>
      <c r="H90" s="1"/>
      <c r="I90" s="1"/>
      <c r="J90" s="1"/>
      <c r="K90" s="1"/>
      <c r="M90" s="386"/>
      <c r="N90" s="376"/>
      <c r="O90" s="376"/>
      <c r="P90" s="376"/>
      <c r="Q90" s="387" t="str">
        <f t="shared" si="3"/>
        <v/>
      </c>
      <c r="R90" s="376" t="str">
        <f t="shared" si="6"/>
        <v/>
      </c>
      <c r="S90" s="376" t="str">
        <f t="shared" si="7"/>
        <v/>
      </c>
      <c r="T90" s="388" t="str">
        <f t="shared" si="8"/>
        <v/>
      </c>
      <c r="U90" s="377" t="str">
        <f t="shared" si="9"/>
        <v/>
      </c>
    </row>
    <row r="91" spans="1:21" customFormat="1" ht="13" x14ac:dyDescent="0.15">
      <c r="A91" s="379"/>
      <c r="B91" s="482"/>
      <c r="C91" s="345"/>
      <c r="D91" s="344"/>
      <c r="H91" s="1"/>
      <c r="I91" s="1"/>
      <c r="J91" s="1"/>
      <c r="K91" s="1"/>
      <c r="M91" s="386"/>
      <c r="N91" s="376"/>
      <c r="O91" s="376"/>
      <c r="P91" s="376"/>
      <c r="Q91" s="387" t="str">
        <f t="shared" si="3"/>
        <v/>
      </c>
      <c r="R91" s="376" t="str">
        <f t="shared" si="6"/>
        <v/>
      </c>
      <c r="S91" s="376" t="str">
        <f t="shared" si="7"/>
        <v/>
      </c>
      <c r="T91" s="388" t="str">
        <f t="shared" si="8"/>
        <v/>
      </c>
      <c r="U91" s="377" t="str">
        <f t="shared" si="9"/>
        <v/>
      </c>
    </row>
    <row r="92" spans="1:21" customFormat="1" ht="13" x14ac:dyDescent="0.15">
      <c r="A92" s="379"/>
      <c r="B92" s="483"/>
      <c r="C92" s="345"/>
      <c r="D92" s="344"/>
      <c r="E92" s="343"/>
      <c r="H92" s="1"/>
      <c r="I92" s="1"/>
      <c r="J92" s="1"/>
      <c r="K92" s="1"/>
      <c r="M92" s="386"/>
      <c r="N92" s="376"/>
      <c r="O92" s="376"/>
      <c r="P92" s="376"/>
      <c r="Q92" s="387" t="str">
        <f t="shared" si="3"/>
        <v/>
      </c>
      <c r="R92" s="376" t="str">
        <f t="shared" si="6"/>
        <v/>
      </c>
      <c r="S92" s="376" t="str">
        <f t="shared" si="7"/>
        <v/>
      </c>
      <c r="T92" s="388" t="str">
        <f t="shared" si="8"/>
        <v/>
      </c>
      <c r="U92" s="377" t="str">
        <f t="shared" si="9"/>
        <v/>
      </c>
    </row>
    <row r="93" spans="1:21" customFormat="1" ht="13" x14ac:dyDescent="0.15">
      <c r="A93" s="379"/>
      <c r="B93" s="483"/>
      <c r="C93" s="345"/>
      <c r="D93" s="344"/>
      <c r="E93" s="343"/>
      <c r="H93" s="1"/>
      <c r="I93" s="1"/>
      <c r="J93" s="1"/>
      <c r="K93" s="1"/>
      <c r="M93" s="386"/>
      <c r="N93" s="376"/>
      <c r="O93" s="376"/>
      <c r="P93" s="376"/>
      <c r="Q93" s="387" t="str">
        <f t="shared" si="3"/>
        <v/>
      </c>
      <c r="R93" s="376" t="str">
        <f t="shared" si="6"/>
        <v/>
      </c>
      <c r="S93" s="376" t="str">
        <f t="shared" si="7"/>
        <v/>
      </c>
      <c r="T93" s="388" t="str">
        <f t="shared" si="8"/>
        <v/>
      </c>
      <c r="U93" s="377" t="str">
        <f t="shared" si="9"/>
        <v/>
      </c>
    </row>
    <row r="94" spans="1:21" customFormat="1" ht="13" x14ac:dyDescent="0.15">
      <c r="A94" s="379"/>
      <c r="B94" s="483"/>
      <c r="C94" s="345"/>
      <c r="D94" s="344"/>
      <c r="E94" s="343"/>
      <c r="H94" s="1"/>
      <c r="I94" s="1"/>
      <c r="J94" s="1"/>
      <c r="K94" s="1"/>
      <c r="M94" s="383"/>
      <c r="N94" s="374"/>
      <c r="O94" s="374"/>
      <c r="P94" s="374"/>
      <c r="Q94" s="384" t="str">
        <f t="shared" si="3"/>
        <v/>
      </c>
      <c r="R94" s="374" t="str">
        <f t="shared" si="6"/>
        <v/>
      </c>
      <c r="S94" s="374" t="str">
        <f t="shared" si="7"/>
        <v/>
      </c>
      <c r="T94" s="385" t="str">
        <f t="shared" si="8"/>
        <v/>
      </c>
      <c r="U94" s="375" t="str">
        <f t="shared" si="9"/>
        <v/>
      </c>
    </row>
    <row r="95" spans="1:21" customFormat="1" ht="13" x14ac:dyDescent="0.15">
      <c r="A95" s="379"/>
      <c r="B95" s="483"/>
      <c r="C95" s="345"/>
      <c r="D95" s="344"/>
      <c r="E95" s="343"/>
      <c r="H95" s="1"/>
      <c r="I95" s="1"/>
      <c r="J95" s="1"/>
      <c r="K95" s="1"/>
      <c r="M95" s="386"/>
      <c r="N95" s="376"/>
      <c r="O95" s="376"/>
      <c r="P95" s="376"/>
      <c r="Q95" s="387" t="str">
        <f t="shared" si="3"/>
        <v/>
      </c>
      <c r="R95" s="376" t="str">
        <f t="shared" si="6"/>
        <v/>
      </c>
      <c r="S95" s="376" t="str">
        <f t="shared" si="7"/>
        <v/>
      </c>
      <c r="T95" s="388" t="str">
        <f t="shared" si="8"/>
        <v/>
      </c>
      <c r="U95" s="377" t="str">
        <f t="shared" si="9"/>
        <v/>
      </c>
    </row>
    <row r="96" spans="1:21" customFormat="1" ht="13" x14ac:dyDescent="0.15">
      <c r="A96" s="379"/>
      <c r="B96" s="483"/>
      <c r="C96" s="345"/>
      <c r="D96" s="344"/>
      <c r="E96" s="343"/>
      <c r="H96" s="1"/>
      <c r="I96" s="1"/>
      <c r="J96" s="1"/>
      <c r="K96" s="1"/>
      <c r="M96" s="380"/>
      <c r="N96" s="372"/>
      <c r="O96" s="372"/>
      <c r="P96" s="372"/>
      <c r="Q96" s="381" t="str">
        <f t="shared" si="3"/>
        <v/>
      </c>
      <c r="R96" s="372" t="str">
        <f t="shared" si="6"/>
        <v/>
      </c>
      <c r="S96" s="372" t="str">
        <f t="shared" si="7"/>
        <v/>
      </c>
      <c r="T96" s="382" t="str">
        <f t="shared" si="8"/>
        <v/>
      </c>
      <c r="U96" s="373" t="str">
        <f t="shared" si="9"/>
        <v/>
      </c>
    </row>
    <row r="97" spans="1:21" customFormat="1" ht="13" x14ac:dyDescent="0.15">
      <c r="A97" s="379"/>
      <c r="B97" s="483"/>
      <c r="C97" s="345"/>
      <c r="D97" s="344"/>
      <c r="E97" s="343"/>
      <c r="H97" s="1"/>
      <c r="I97" s="1"/>
      <c r="J97" s="1"/>
      <c r="K97" s="1"/>
      <c r="M97" s="386"/>
      <c r="N97" s="376"/>
      <c r="O97" s="376"/>
      <c r="P97" s="376"/>
      <c r="Q97" s="387" t="str">
        <f t="shared" si="3"/>
        <v/>
      </c>
      <c r="R97" s="376" t="str">
        <f t="shared" si="6"/>
        <v/>
      </c>
      <c r="S97" s="376" t="str">
        <f t="shared" si="7"/>
        <v/>
      </c>
      <c r="T97" s="388" t="str">
        <f t="shared" si="8"/>
        <v/>
      </c>
      <c r="U97" s="377" t="str">
        <f t="shared" si="9"/>
        <v/>
      </c>
    </row>
    <row r="98" spans="1:21" customFormat="1" ht="13" x14ac:dyDescent="0.15">
      <c r="A98" s="379"/>
      <c r="B98" s="483"/>
      <c r="C98" s="345"/>
      <c r="D98" s="344"/>
      <c r="E98" s="343"/>
      <c r="H98" s="1"/>
      <c r="I98" s="1"/>
      <c r="J98" s="1"/>
      <c r="K98" s="1"/>
      <c r="M98" s="386"/>
      <c r="N98" s="376"/>
      <c r="O98" s="376"/>
      <c r="P98" s="376"/>
      <c r="Q98" s="387" t="str">
        <f t="shared" si="3"/>
        <v/>
      </c>
      <c r="R98" s="376" t="str">
        <f t="shared" si="6"/>
        <v/>
      </c>
      <c r="S98" s="376" t="str">
        <f t="shared" si="7"/>
        <v/>
      </c>
      <c r="T98" s="388" t="str">
        <f t="shared" si="8"/>
        <v/>
      </c>
      <c r="U98" s="377" t="str">
        <f t="shared" si="9"/>
        <v/>
      </c>
    </row>
    <row r="99" spans="1:21" customFormat="1" ht="13" x14ac:dyDescent="0.15">
      <c r="A99" s="379"/>
      <c r="B99" s="483"/>
      <c r="C99" s="345"/>
      <c r="D99" s="344"/>
      <c r="E99" s="343"/>
      <c r="H99" s="1"/>
      <c r="I99" s="1"/>
      <c r="J99" s="1"/>
      <c r="K99" s="1"/>
      <c r="M99" s="386"/>
      <c r="N99" s="376"/>
      <c r="O99" s="376"/>
      <c r="P99" s="376"/>
      <c r="Q99" s="387" t="str">
        <f t="shared" si="3"/>
        <v/>
      </c>
      <c r="R99" s="376" t="str">
        <f t="shared" si="6"/>
        <v/>
      </c>
      <c r="S99" s="376" t="str">
        <f t="shared" si="7"/>
        <v/>
      </c>
      <c r="T99" s="388" t="str">
        <f t="shared" si="8"/>
        <v/>
      </c>
      <c r="U99" s="377" t="str">
        <f t="shared" si="9"/>
        <v/>
      </c>
    </row>
    <row r="100" spans="1:21" customFormat="1" ht="13" x14ac:dyDescent="0.15">
      <c r="A100" s="379"/>
      <c r="B100" s="483"/>
      <c r="C100" s="345"/>
      <c r="D100" s="344"/>
      <c r="E100" s="343"/>
      <c r="H100" s="1"/>
      <c r="I100" s="1"/>
      <c r="J100" s="1"/>
      <c r="K100" s="1"/>
      <c r="M100" s="386"/>
      <c r="N100" s="376"/>
      <c r="O100" s="376"/>
      <c r="P100" s="376"/>
      <c r="Q100" s="387" t="str">
        <f t="shared" si="3"/>
        <v/>
      </c>
      <c r="R100" s="376" t="str">
        <f t="shared" si="6"/>
        <v/>
      </c>
      <c r="S100" s="376" t="str">
        <f t="shared" si="7"/>
        <v/>
      </c>
      <c r="T100" s="388" t="str">
        <f t="shared" si="8"/>
        <v/>
      </c>
      <c r="U100" s="377" t="str">
        <f t="shared" si="9"/>
        <v/>
      </c>
    </row>
    <row r="101" spans="1:21" customFormat="1" ht="13" x14ac:dyDescent="0.15">
      <c r="A101" s="379"/>
      <c r="B101" s="483"/>
      <c r="C101" s="345"/>
      <c r="D101" s="344"/>
      <c r="E101" s="343"/>
      <c r="H101" s="1"/>
      <c r="I101" s="1"/>
      <c r="J101" s="1"/>
      <c r="K101" s="1"/>
      <c r="M101" s="386"/>
      <c r="N101" s="376"/>
      <c r="O101" s="376"/>
      <c r="P101" s="376"/>
      <c r="Q101" s="387" t="str">
        <f t="shared" si="3"/>
        <v/>
      </c>
      <c r="R101" s="376" t="str">
        <f t="shared" si="6"/>
        <v/>
      </c>
      <c r="S101" s="376" t="str">
        <f t="shared" si="7"/>
        <v/>
      </c>
      <c r="T101" s="388" t="str">
        <f t="shared" si="8"/>
        <v/>
      </c>
      <c r="U101" s="377" t="str">
        <f t="shared" si="9"/>
        <v/>
      </c>
    </row>
    <row r="102" spans="1:21" customFormat="1" ht="13" x14ac:dyDescent="0.15">
      <c r="A102" s="379"/>
      <c r="B102" s="483"/>
      <c r="C102" s="345"/>
      <c r="D102" s="344"/>
      <c r="E102" s="343"/>
      <c r="H102" s="1"/>
      <c r="I102" s="1"/>
      <c r="J102" s="1"/>
      <c r="K102" s="1"/>
      <c r="M102" s="383"/>
      <c r="N102" s="374"/>
      <c r="O102" s="374"/>
      <c r="P102" s="374"/>
      <c r="Q102" s="384" t="str">
        <f t="shared" si="3"/>
        <v/>
      </c>
      <c r="R102" s="374" t="str">
        <f t="shared" si="6"/>
        <v/>
      </c>
      <c r="S102" s="374" t="str">
        <f t="shared" si="7"/>
        <v/>
      </c>
      <c r="T102" s="385" t="str">
        <f t="shared" si="8"/>
        <v/>
      </c>
      <c r="U102" s="375" t="str">
        <f t="shared" si="9"/>
        <v/>
      </c>
    </row>
    <row r="103" spans="1:21" customFormat="1" ht="13" x14ac:dyDescent="0.15">
      <c r="A103" s="379"/>
      <c r="B103" s="483"/>
      <c r="C103" s="345"/>
      <c r="D103" s="344"/>
      <c r="E103" s="343"/>
      <c r="H103" s="1"/>
      <c r="I103" s="1"/>
      <c r="J103" s="1"/>
      <c r="K103" s="1"/>
      <c r="M103" s="386"/>
      <c r="N103" s="376"/>
      <c r="O103" s="376"/>
      <c r="P103" s="376"/>
      <c r="Q103" s="387" t="str">
        <f t="shared" si="3"/>
        <v/>
      </c>
      <c r="R103" s="376" t="str">
        <f t="shared" si="6"/>
        <v/>
      </c>
      <c r="S103" s="376" t="str">
        <f t="shared" si="7"/>
        <v/>
      </c>
      <c r="T103" s="388" t="str">
        <f t="shared" si="8"/>
        <v/>
      </c>
      <c r="U103" s="377" t="str">
        <f t="shared" si="9"/>
        <v/>
      </c>
    </row>
    <row r="104" spans="1:21" customFormat="1" ht="13" x14ac:dyDescent="0.15">
      <c r="A104" s="379"/>
      <c r="B104" s="483"/>
      <c r="C104" s="345"/>
      <c r="D104" s="344"/>
      <c r="E104" s="343"/>
      <c r="H104" s="1"/>
      <c r="I104" s="1"/>
      <c r="J104" s="1"/>
      <c r="K104" s="1"/>
      <c r="M104" s="386"/>
      <c r="N104" s="376"/>
      <c r="O104" s="376"/>
      <c r="P104" s="376"/>
      <c r="Q104" s="387" t="str">
        <f t="shared" si="3"/>
        <v/>
      </c>
      <c r="R104" s="376" t="str">
        <f t="shared" si="6"/>
        <v/>
      </c>
      <c r="S104" s="376" t="str">
        <f t="shared" si="7"/>
        <v/>
      </c>
      <c r="T104" s="388" t="str">
        <f t="shared" si="8"/>
        <v/>
      </c>
      <c r="U104" s="377" t="str">
        <f t="shared" si="9"/>
        <v/>
      </c>
    </row>
    <row r="105" spans="1:21" customFormat="1" ht="13" x14ac:dyDescent="0.15">
      <c r="A105" s="379"/>
      <c r="B105" s="483"/>
      <c r="C105" s="345"/>
      <c r="D105" s="344"/>
      <c r="E105" s="343"/>
      <c r="H105" s="1"/>
      <c r="I105" s="1"/>
      <c r="J105" s="1"/>
      <c r="K105" s="1"/>
      <c r="M105" s="386"/>
      <c r="N105" s="376"/>
      <c r="O105" s="376"/>
      <c r="P105" s="376"/>
      <c r="Q105" s="387" t="str">
        <f t="shared" si="3"/>
        <v/>
      </c>
      <c r="R105" s="376" t="str">
        <f t="shared" si="6"/>
        <v/>
      </c>
      <c r="S105" s="376" t="str">
        <f t="shared" si="7"/>
        <v/>
      </c>
      <c r="T105" s="388" t="str">
        <f t="shared" si="8"/>
        <v/>
      </c>
      <c r="U105" s="377" t="str">
        <f t="shared" si="9"/>
        <v/>
      </c>
    </row>
    <row r="106" spans="1:21" customFormat="1" ht="13" x14ac:dyDescent="0.15">
      <c r="A106" s="379"/>
      <c r="B106" s="483"/>
      <c r="C106" s="345"/>
      <c r="D106" s="344"/>
      <c r="E106" s="343"/>
      <c r="H106" s="1"/>
      <c r="I106" s="1"/>
      <c r="J106" s="1"/>
      <c r="K106" s="1"/>
      <c r="M106" s="386"/>
      <c r="N106" s="376"/>
      <c r="O106" s="376"/>
      <c r="P106" s="376"/>
      <c r="Q106" s="387" t="str">
        <f t="shared" si="3"/>
        <v/>
      </c>
      <c r="R106" s="376" t="str">
        <f t="shared" si="6"/>
        <v/>
      </c>
      <c r="S106" s="376" t="str">
        <f t="shared" si="7"/>
        <v/>
      </c>
      <c r="T106" s="388" t="str">
        <f t="shared" si="8"/>
        <v/>
      </c>
      <c r="U106" s="377" t="str">
        <f t="shared" si="9"/>
        <v/>
      </c>
    </row>
    <row r="107" spans="1:21" customFormat="1" ht="13" x14ac:dyDescent="0.15">
      <c r="A107" s="379"/>
      <c r="B107" s="483"/>
      <c r="C107" s="345"/>
      <c r="D107" s="344"/>
      <c r="E107" s="343"/>
      <c r="H107" s="1"/>
      <c r="I107" s="1"/>
      <c r="J107" s="1"/>
      <c r="K107" s="1"/>
      <c r="M107" s="389"/>
      <c r="N107" s="378"/>
      <c r="O107" s="378"/>
      <c r="P107" s="378"/>
      <c r="Q107" s="378" t="str">
        <f t="shared" si="3"/>
        <v/>
      </c>
      <c r="R107" s="378" t="str">
        <f t="shared" si="6"/>
        <v/>
      </c>
      <c r="S107" s="378" t="str">
        <f t="shared" si="7"/>
        <v/>
      </c>
      <c r="T107" s="388" t="str">
        <f t="shared" si="8"/>
        <v/>
      </c>
      <c r="U107" s="377" t="str">
        <f t="shared" si="9"/>
        <v/>
      </c>
    </row>
    <row r="108" spans="1:21" customFormat="1" ht="13" x14ac:dyDescent="0.15">
      <c r="A108" s="379"/>
      <c r="B108" s="483"/>
      <c r="C108" s="345"/>
      <c r="D108" s="344"/>
      <c r="E108" s="343"/>
      <c r="H108" s="1"/>
      <c r="I108" s="1"/>
      <c r="J108" s="1"/>
      <c r="K108" s="1"/>
      <c r="M108" s="389"/>
      <c r="N108" s="378"/>
      <c r="O108" s="378"/>
      <c r="P108" s="378"/>
      <c r="Q108" s="378" t="str">
        <f t="shared" si="3"/>
        <v/>
      </c>
      <c r="R108" s="378" t="str">
        <f t="shared" si="6"/>
        <v/>
      </c>
      <c r="S108" s="378" t="str">
        <f t="shared" si="7"/>
        <v/>
      </c>
      <c r="T108" s="388" t="str">
        <f t="shared" si="8"/>
        <v/>
      </c>
      <c r="U108" s="377" t="str">
        <f t="shared" si="9"/>
        <v/>
      </c>
    </row>
    <row r="109" spans="1:21" customFormat="1" ht="13" x14ac:dyDescent="0.15">
      <c r="A109" s="379"/>
      <c r="B109" s="483"/>
      <c r="C109" s="345"/>
      <c r="D109" s="344"/>
      <c r="E109" s="343"/>
      <c r="H109" s="1"/>
      <c r="I109" s="1"/>
      <c r="J109" s="1"/>
      <c r="K109" s="1"/>
      <c r="M109" s="389"/>
      <c r="N109" s="378"/>
      <c r="O109" s="378"/>
      <c r="P109" s="378"/>
      <c r="Q109" s="378" t="str">
        <f t="shared" si="3"/>
        <v/>
      </c>
      <c r="R109" s="378" t="str">
        <f t="shared" si="6"/>
        <v/>
      </c>
      <c r="S109" s="378" t="str">
        <f t="shared" si="7"/>
        <v/>
      </c>
      <c r="T109" s="388" t="str">
        <f t="shared" si="8"/>
        <v/>
      </c>
      <c r="U109" s="377" t="str">
        <f t="shared" si="9"/>
        <v/>
      </c>
    </row>
    <row r="110" spans="1:21" customFormat="1" ht="13" x14ac:dyDescent="0.15">
      <c r="A110" s="379"/>
      <c r="B110" s="483"/>
      <c r="C110" s="345"/>
      <c r="D110" s="344"/>
      <c r="E110" s="343"/>
      <c r="H110" s="1"/>
      <c r="I110" s="1"/>
      <c r="J110" s="1"/>
      <c r="K110" s="1"/>
      <c r="M110" s="389"/>
      <c r="N110" s="378"/>
      <c r="O110" s="378"/>
      <c r="P110" s="378"/>
      <c r="Q110" s="378" t="str">
        <f t="shared" si="3"/>
        <v/>
      </c>
      <c r="R110" s="378" t="str">
        <f t="shared" si="6"/>
        <v/>
      </c>
      <c r="S110" s="378" t="str">
        <f t="shared" si="7"/>
        <v/>
      </c>
      <c r="T110" s="388" t="str">
        <f t="shared" si="8"/>
        <v/>
      </c>
      <c r="U110" s="377" t="str">
        <f t="shared" si="9"/>
        <v/>
      </c>
    </row>
    <row r="111" spans="1:21" customFormat="1" ht="13" x14ac:dyDescent="0.15">
      <c r="A111" s="379"/>
      <c r="B111" s="483"/>
      <c r="C111" s="345"/>
      <c r="D111" s="344"/>
      <c r="E111" s="343"/>
      <c r="H111" s="1"/>
      <c r="I111" s="1"/>
      <c r="J111" s="1"/>
      <c r="K111" s="1"/>
      <c r="M111" s="389"/>
      <c r="N111" s="378"/>
      <c r="O111" s="378"/>
      <c r="P111" s="378"/>
      <c r="Q111" s="378" t="str">
        <f t="shared" si="3"/>
        <v/>
      </c>
      <c r="R111" s="378" t="str">
        <f t="shared" si="6"/>
        <v/>
      </c>
      <c r="S111" s="378" t="str">
        <f t="shared" si="7"/>
        <v/>
      </c>
      <c r="T111" s="388" t="str">
        <f t="shared" si="8"/>
        <v/>
      </c>
      <c r="U111" s="377" t="str">
        <f t="shared" si="9"/>
        <v/>
      </c>
    </row>
    <row r="112" spans="1:21" customFormat="1" ht="13" x14ac:dyDescent="0.15">
      <c r="A112" s="379"/>
      <c r="B112" s="483"/>
      <c r="C112" s="345"/>
      <c r="D112" s="344"/>
      <c r="E112" s="343"/>
      <c r="H112" s="1"/>
      <c r="I112" s="1"/>
      <c r="J112" s="1"/>
      <c r="K112" s="1"/>
      <c r="M112" s="389"/>
      <c r="N112" s="378"/>
      <c r="O112" s="378"/>
      <c r="P112" s="378"/>
      <c r="Q112" s="378" t="str">
        <f t="shared" si="3"/>
        <v/>
      </c>
      <c r="R112" s="378" t="str">
        <f t="shared" si="6"/>
        <v/>
      </c>
      <c r="S112" s="378" t="str">
        <f t="shared" si="7"/>
        <v/>
      </c>
      <c r="T112" s="388" t="str">
        <f t="shared" si="8"/>
        <v/>
      </c>
      <c r="U112" s="377" t="str">
        <f t="shared" si="9"/>
        <v/>
      </c>
    </row>
    <row r="113" spans="1:21" customFormat="1" ht="13" x14ac:dyDescent="0.15">
      <c r="A113" s="379"/>
      <c r="B113" s="483"/>
      <c r="C113" s="345"/>
      <c r="D113" s="344"/>
      <c r="E113" s="343"/>
      <c r="H113" s="1"/>
      <c r="I113" s="1"/>
      <c r="J113" s="1"/>
      <c r="K113" s="1"/>
      <c r="M113" s="389"/>
      <c r="N113" s="378"/>
      <c r="O113" s="378"/>
      <c r="P113" s="378"/>
      <c r="Q113" s="378" t="str">
        <f t="shared" ref="Q113:Q176" si="12">IF(ISNUMBER(P113),P113/O113,"")</f>
        <v/>
      </c>
      <c r="R113" s="378" t="str">
        <f t="shared" ref="R113:R176" si="13">IF(ISNUMBER(N113),N113-P113,"")</f>
        <v/>
      </c>
      <c r="S113" s="378" t="str">
        <f t="shared" ref="S113:S176" si="14">IF(ISNUMBER(N113),N113-P113,"")</f>
        <v/>
      </c>
      <c r="T113" s="388" t="str">
        <f t="shared" ref="T113:T176" si="15">IF(OR(ISBLANK(M113),M113=""),"",P113/N113)</f>
        <v/>
      </c>
      <c r="U113" s="377" t="str">
        <f t="shared" ref="U113:U176" si="16">IF(ISBLANK(M113),"",IF(ABS(N113-$B$48)&lt;=$B$50*$X$43,"IN","OUT"))</f>
        <v/>
      </c>
    </row>
    <row r="114" spans="1:21" customFormat="1" ht="13" x14ac:dyDescent="0.15">
      <c r="A114" s="379"/>
      <c r="B114" s="483"/>
      <c r="C114" s="345"/>
      <c r="D114" s="344"/>
      <c r="E114" s="343"/>
      <c r="H114" s="1"/>
      <c r="I114" s="1"/>
      <c r="J114" s="1"/>
      <c r="K114" s="1"/>
      <c r="M114" s="389"/>
      <c r="N114" s="378"/>
      <c r="O114" s="378"/>
      <c r="P114" s="378"/>
      <c r="Q114" s="378" t="str">
        <f t="shared" si="12"/>
        <v/>
      </c>
      <c r="R114" s="378" t="str">
        <f t="shared" si="13"/>
        <v/>
      </c>
      <c r="S114" s="378" t="str">
        <f t="shared" si="14"/>
        <v/>
      </c>
      <c r="T114" s="388" t="str">
        <f t="shared" si="15"/>
        <v/>
      </c>
      <c r="U114" s="377" t="str">
        <f t="shared" si="16"/>
        <v/>
      </c>
    </row>
    <row r="115" spans="1:21" customFormat="1" ht="13" x14ac:dyDescent="0.15">
      <c r="A115" s="379"/>
      <c r="B115" s="483"/>
      <c r="C115" s="345"/>
      <c r="D115" s="344"/>
      <c r="E115" s="343"/>
      <c r="H115" s="1"/>
      <c r="I115" s="1"/>
      <c r="J115" s="1"/>
      <c r="K115" s="1"/>
      <c r="M115" s="389"/>
      <c r="N115" s="378"/>
      <c r="O115" s="378"/>
      <c r="P115" s="378"/>
      <c r="Q115" s="378" t="str">
        <f t="shared" si="12"/>
        <v/>
      </c>
      <c r="R115" s="378" t="str">
        <f t="shared" si="13"/>
        <v/>
      </c>
      <c r="S115" s="378" t="str">
        <f t="shared" si="14"/>
        <v/>
      </c>
      <c r="T115" s="388" t="str">
        <f t="shared" si="15"/>
        <v/>
      </c>
      <c r="U115" s="377" t="str">
        <f t="shared" si="16"/>
        <v/>
      </c>
    </row>
    <row r="116" spans="1:21" customFormat="1" ht="13" x14ac:dyDescent="0.15">
      <c r="A116" s="379"/>
      <c r="B116" s="483"/>
      <c r="C116" s="345"/>
      <c r="D116" s="344"/>
      <c r="E116" s="343"/>
      <c r="H116" s="1"/>
      <c r="I116" s="1"/>
      <c r="J116" s="1"/>
      <c r="K116" s="1"/>
      <c r="M116" s="389"/>
      <c r="N116" s="378"/>
      <c r="O116" s="378"/>
      <c r="P116" s="378"/>
      <c r="Q116" s="378" t="str">
        <f t="shared" si="12"/>
        <v/>
      </c>
      <c r="R116" s="378" t="str">
        <f t="shared" si="13"/>
        <v/>
      </c>
      <c r="S116" s="378" t="str">
        <f t="shared" si="14"/>
        <v/>
      </c>
      <c r="T116" s="388" t="str">
        <f t="shared" si="15"/>
        <v/>
      </c>
      <c r="U116" s="377" t="str">
        <f t="shared" si="16"/>
        <v/>
      </c>
    </row>
    <row r="117" spans="1:21" customFormat="1" ht="13" x14ac:dyDescent="0.15">
      <c r="A117" s="379"/>
      <c r="B117" s="483"/>
      <c r="C117" s="345"/>
      <c r="D117" s="344"/>
      <c r="E117" s="343"/>
      <c r="H117" s="1"/>
      <c r="I117" s="1"/>
      <c r="J117" s="1"/>
      <c r="K117" s="1"/>
      <c r="M117" s="389"/>
      <c r="N117" s="378"/>
      <c r="O117" s="378"/>
      <c r="P117" s="378"/>
      <c r="Q117" s="378" t="str">
        <f t="shared" si="12"/>
        <v/>
      </c>
      <c r="R117" s="378" t="str">
        <f t="shared" si="13"/>
        <v/>
      </c>
      <c r="S117" s="378" t="str">
        <f t="shared" si="14"/>
        <v/>
      </c>
      <c r="T117" s="388" t="str">
        <f t="shared" si="15"/>
        <v/>
      </c>
      <c r="U117" s="377" t="str">
        <f t="shared" si="16"/>
        <v/>
      </c>
    </row>
    <row r="118" spans="1:21" customFormat="1" ht="13" x14ac:dyDescent="0.15">
      <c r="A118" s="379"/>
      <c r="B118" s="483"/>
      <c r="C118" s="345"/>
      <c r="D118" s="344"/>
      <c r="E118" s="343"/>
      <c r="H118" s="1"/>
      <c r="I118" s="1"/>
      <c r="J118" s="1"/>
      <c r="K118" s="1"/>
      <c r="M118" s="389"/>
      <c r="N118" s="378"/>
      <c r="O118" s="378"/>
      <c r="P118" s="378"/>
      <c r="Q118" s="378" t="str">
        <f t="shared" si="12"/>
        <v/>
      </c>
      <c r="R118" s="378" t="str">
        <f t="shared" si="13"/>
        <v/>
      </c>
      <c r="S118" s="378" t="str">
        <f t="shared" si="14"/>
        <v/>
      </c>
      <c r="T118" s="388" t="str">
        <f t="shared" si="15"/>
        <v/>
      </c>
      <c r="U118" s="377" t="str">
        <f t="shared" si="16"/>
        <v/>
      </c>
    </row>
    <row r="119" spans="1:21" customFormat="1" ht="13" x14ac:dyDescent="0.15">
      <c r="A119" s="379"/>
      <c r="B119" s="483"/>
      <c r="C119" s="345"/>
      <c r="D119" s="344"/>
      <c r="E119" s="343"/>
      <c r="H119" s="1"/>
      <c r="I119" s="1"/>
      <c r="J119" s="1"/>
      <c r="K119" s="1"/>
      <c r="M119" s="389"/>
      <c r="N119" s="378"/>
      <c r="O119" s="378"/>
      <c r="P119" s="378"/>
      <c r="Q119" s="378" t="str">
        <f t="shared" si="12"/>
        <v/>
      </c>
      <c r="R119" s="378" t="str">
        <f t="shared" si="13"/>
        <v/>
      </c>
      <c r="S119" s="378" t="str">
        <f t="shared" si="14"/>
        <v/>
      </c>
      <c r="T119" s="388" t="str">
        <f t="shared" si="15"/>
        <v/>
      </c>
      <c r="U119" s="377" t="str">
        <f t="shared" si="16"/>
        <v/>
      </c>
    </row>
    <row r="120" spans="1:21" customFormat="1" ht="13" x14ac:dyDescent="0.15">
      <c r="A120" s="379"/>
      <c r="B120" s="483"/>
      <c r="C120" s="345"/>
      <c r="D120" s="344"/>
      <c r="E120" s="343"/>
      <c r="H120" s="1"/>
      <c r="I120" s="1"/>
      <c r="J120" s="1"/>
      <c r="K120" s="1"/>
      <c r="M120" s="389"/>
      <c r="N120" s="378"/>
      <c r="O120" s="378"/>
      <c r="P120" s="378"/>
      <c r="Q120" s="378" t="str">
        <f t="shared" si="12"/>
        <v/>
      </c>
      <c r="R120" s="378" t="str">
        <f t="shared" si="13"/>
        <v/>
      </c>
      <c r="S120" s="378" t="str">
        <f t="shared" si="14"/>
        <v/>
      </c>
      <c r="T120" s="388" t="str">
        <f t="shared" si="15"/>
        <v/>
      </c>
      <c r="U120" s="377" t="str">
        <f t="shared" si="16"/>
        <v/>
      </c>
    </row>
    <row r="121" spans="1:21" customFormat="1" ht="13" x14ac:dyDescent="0.15">
      <c r="A121" s="379"/>
      <c r="B121" s="483"/>
      <c r="C121" s="345"/>
      <c r="D121" s="344"/>
      <c r="E121" s="343"/>
      <c r="H121" s="1"/>
      <c r="I121" s="1"/>
      <c r="J121" s="1"/>
      <c r="K121" s="1"/>
      <c r="M121" s="389"/>
      <c r="N121" s="378"/>
      <c r="O121" s="378"/>
      <c r="P121" s="378"/>
      <c r="Q121" s="378" t="str">
        <f t="shared" si="12"/>
        <v/>
      </c>
      <c r="R121" s="378" t="str">
        <f t="shared" si="13"/>
        <v/>
      </c>
      <c r="S121" s="378" t="str">
        <f t="shared" si="14"/>
        <v/>
      </c>
      <c r="T121" s="388" t="str">
        <f t="shared" si="15"/>
        <v/>
      </c>
      <c r="U121" s="377" t="str">
        <f t="shared" si="16"/>
        <v/>
      </c>
    </row>
    <row r="122" spans="1:21" customFormat="1" ht="13" x14ac:dyDescent="0.15">
      <c r="A122" s="379"/>
      <c r="B122" s="483"/>
      <c r="C122" s="345"/>
      <c r="D122" s="344"/>
      <c r="E122" s="343"/>
      <c r="H122" s="1"/>
      <c r="I122" s="1"/>
      <c r="J122" s="1"/>
      <c r="K122" s="1"/>
      <c r="M122" s="389"/>
      <c r="N122" s="378"/>
      <c r="O122" s="378"/>
      <c r="P122" s="378"/>
      <c r="Q122" s="378" t="str">
        <f t="shared" si="12"/>
        <v/>
      </c>
      <c r="R122" s="378" t="str">
        <f t="shared" si="13"/>
        <v/>
      </c>
      <c r="S122" s="378" t="str">
        <f t="shared" si="14"/>
        <v/>
      </c>
      <c r="T122" s="388" t="str">
        <f t="shared" si="15"/>
        <v/>
      </c>
      <c r="U122" s="377" t="str">
        <f t="shared" si="16"/>
        <v/>
      </c>
    </row>
    <row r="123" spans="1:21" customFormat="1" ht="13" x14ac:dyDescent="0.15">
      <c r="A123" s="379"/>
      <c r="B123" s="483"/>
      <c r="C123" s="345"/>
      <c r="D123" s="344"/>
      <c r="E123" s="343"/>
      <c r="H123" s="1"/>
      <c r="I123" s="1"/>
      <c r="J123" s="1"/>
      <c r="K123" s="1"/>
      <c r="M123" s="389"/>
      <c r="N123" s="378"/>
      <c r="O123" s="378"/>
      <c r="P123" s="378"/>
      <c r="Q123" s="378" t="str">
        <f t="shared" si="12"/>
        <v/>
      </c>
      <c r="R123" s="378" t="str">
        <f t="shared" si="13"/>
        <v/>
      </c>
      <c r="S123" s="378" t="str">
        <f t="shared" si="14"/>
        <v/>
      </c>
      <c r="T123" s="388" t="str">
        <f t="shared" si="15"/>
        <v/>
      </c>
      <c r="U123" s="377" t="str">
        <f t="shared" si="16"/>
        <v/>
      </c>
    </row>
    <row r="124" spans="1:21" customFormat="1" ht="13" x14ac:dyDescent="0.15">
      <c r="A124" s="379"/>
      <c r="B124" s="483"/>
      <c r="C124" s="345"/>
      <c r="D124" s="344"/>
      <c r="H124" s="1"/>
      <c r="I124" s="1"/>
      <c r="J124" s="1"/>
      <c r="K124" s="1"/>
      <c r="M124" s="389"/>
      <c r="N124" s="378"/>
      <c r="O124" s="378"/>
      <c r="P124" s="378"/>
      <c r="Q124" s="378" t="str">
        <f t="shared" si="12"/>
        <v/>
      </c>
      <c r="R124" s="378" t="str">
        <f t="shared" si="13"/>
        <v/>
      </c>
      <c r="S124" s="378" t="str">
        <f t="shared" si="14"/>
        <v/>
      </c>
      <c r="T124" s="388" t="str">
        <f t="shared" si="15"/>
        <v/>
      </c>
      <c r="U124" s="377" t="str">
        <f t="shared" si="16"/>
        <v/>
      </c>
    </row>
    <row r="125" spans="1:21" customFormat="1" ht="13" x14ac:dyDescent="0.15">
      <c r="A125" s="379"/>
      <c r="B125" s="483"/>
      <c r="C125" s="345"/>
      <c r="D125" s="344"/>
      <c r="H125" s="1"/>
      <c r="I125" s="1"/>
      <c r="J125" s="1"/>
      <c r="K125" s="1"/>
      <c r="M125" s="389"/>
      <c r="N125" s="378"/>
      <c r="O125" s="378"/>
      <c r="P125" s="378"/>
      <c r="Q125" s="378" t="str">
        <f t="shared" si="12"/>
        <v/>
      </c>
      <c r="R125" s="378" t="str">
        <f t="shared" si="13"/>
        <v/>
      </c>
      <c r="S125" s="378" t="str">
        <f t="shared" si="14"/>
        <v/>
      </c>
      <c r="T125" s="388" t="str">
        <f t="shared" si="15"/>
        <v/>
      </c>
      <c r="U125" s="377" t="str">
        <f t="shared" si="16"/>
        <v/>
      </c>
    </row>
    <row r="126" spans="1:21" customFormat="1" ht="13" x14ac:dyDescent="0.15">
      <c r="A126" s="379"/>
      <c r="B126" s="483"/>
      <c r="C126" s="345"/>
      <c r="D126" s="344"/>
      <c r="H126" s="1"/>
      <c r="I126" s="1"/>
      <c r="J126" s="1"/>
      <c r="K126" s="1"/>
      <c r="M126" s="389"/>
      <c r="N126" s="378"/>
      <c r="O126" s="378"/>
      <c r="P126" s="378"/>
      <c r="Q126" s="378" t="str">
        <f t="shared" si="12"/>
        <v/>
      </c>
      <c r="R126" s="378" t="str">
        <f t="shared" si="13"/>
        <v/>
      </c>
      <c r="S126" s="378" t="str">
        <f t="shared" si="14"/>
        <v/>
      </c>
      <c r="T126" s="388" t="str">
        <f t="shared" si="15"/>
        <v/>
      </c>
      <c r="U126" s="377" t="str">
        <f t="shared" si="16"/>
        <v/>
      </c>
    </row>
    <row r="127" spans="1:21" customFormat="1" ht="13" x14ac:dyDescent="0.15">
      <c r="A127" s="379"/>
      <c r="B127" s="483"/>
      <c r="C127" s="345"/>
      <c r="D127" s="344"/>
      <c r="H127" s="1"/>
      <c r="I127" s="1"/>
      <c r="J127" s="1"/>
      <c r="K127" s="1"/>
      <c r="M127" s="389"/>
      <c r="N127" s="378"/>
      <c r="O127" s="378"/>
      <c r="P127" s="378"/>
      <c r="Q127" s="378" t="str">
        <f t="shared" si="12"/>
        <v/>
      </c>
      <c r="R127" s="378" t="str">
        <f t="shared" si="13"/>
        <v/>
      </c>
      <c r="S127" s="378" t="str">
        <f t="shared" si="14"/>
        <v/>
      </c>
      <c r="T127" s="388" t="str">
        <f t="shared" si="15"/>
        <v/>
      </c>
      <c r="U127" s="377" t="str">
        <f t="shared" si="16"/>
        <v/>
      </c>
    </row>
    <row r="128" spans="1:21" customFormat="1" ht="13" x14ac:dyDescent="0.15">
      <c r="A128" s="379"/>
      <c r="B128" s="483"/>
      <c r="C128" s="345"/>
      <c r="D128" s="344"/>
      <c r="H128" s="1"/>
      <c r="I128" s="1"/>
      <c r="J128" s="1"/>
      <c r="K128" s="1"/>
      <c r="M128" s="389"/>
      <c r="N128" s="378"/>
      <c r="O128" s="378"/>
      <c r="P128" s="378"/>
      <c r="Q128" s="378" t="str">
        <f t="shared" si="12"/>
        <v/>
      </c>
      <c r="R128" s="378" t="str">
        <f t="shared" si="13"/>
        <v/>
      </c>
      <c r="S128" s="378" t="str">
        <f t="shared" si="14"/>
        <v/>
      </c>
      <c r="T128" s="388" t="str">
        <f t="shared" si="15"/>
        <v/>
      </c>
      <c r="U128" s="377" t="str">
        <f t="shared" si="16"/>
        <v/>
      </c>
    </row>
    <row r="129" spans="1:21" customFormat="1" ht="13" x14ac:dyDescent="0.15">
      <c r="A129" s="379"/>
      <c r="B129" s="483"/>
      <c r="C129" s="345"/>
      <c r="D129" s="344"/>
      <c r="H129" s="1"/>
      <c r="I129" s="1"/>
      <c r="J129" s="1"/>
      <c r="K129" s="1"/>
      <c r="M129" s="389"/>
      <c r="N129" s="378"/>
      <c r="O129" s="378"/>
      <c r="P129" s="378"/>
      <c r="Q129" s="378" t="str">
        <f t="shared" si="12"/>
        <v/>
      </c>
      <c r="R129" s="378" t="str">
        <f t="shared" si="13"/>
        <v/>
      </c>
      <c r="S129" s="378" t="str">
        <f t="shared" si="14"/>
        <v/>
      </c>
      <c r="T129" s="388" t="str">
        <f t="shared" si="15"/>
        <v/>
      </c>
      <c r="U129" s="377" t="str">
        <f t="shared" si="16"/>
        <v/>
      </c>
    </row>
    <row r="130" spans="1:21" customFormat="1" ht="13" x14ac:dyDescent="0.15">
      <c r="A130" s="379"/>
      <c r="B130" s="483"/>
      <c r="C130" s="345"/>
      <c r="D130" s="344"/>
      <c r="H130" s="1"/>
      <c r="I130" s="1"/>
      <c r="J130" s="1"/>
      <c r="K130" s="1"/>
      <c r="M130" s="389"/>
      <c r="N130" s="378"/>
      <c r="O130" s="378"/>
      <c r="P130" s="378"/>
      <c r="Q130" s="378" t="str">
        <f t="shared" si="12"/>
        <v/>
      </c>
      <c r="R130" s="378" t="str">
        <f t="shared" si="13"/>
        <v/>
      </c>
      <c r="S130" s="378" t="str">
        <f t="shared" si="14"/>
        <v/>
      </c>
      <c r="T130" s="388" t="str">
        <f t="shared" si="15"/>
        <v/>
      </c>
      <c r="U130" s="377" t="str">
        <f t="shared" si="16"/>
        <v/>
      </c>
    </row>
    <row r="131" spans="1:21" customFormat="1" ht="13" x14ac:dyDescent="0.15">
      <c r="A131" s="379"/>
      <c r="B131" s="483"/>
      <c r="C131" s="345"/>
      <c r="D131" s="344"/>
      <c r="H131" s="1"/>
      <c r="I131" s="1"/>
      <c r="J131" s="1"/>
      <c r="K131" s="1"/>
      <c r="M131" s="389"/>
      <c r="N131" s="378"/>
      <c r="O131" s="378"/>
      <c r="P131" s="378"/>
      <c r="Q131" s="378" t="str">
        <f t="shared" si="12"/>
        <v/>
      </c>
      <c r="R131" s="378" t="str">
        <f t="shared" si="13"/>
        <v/>
      </c>
      <c r="S131" s="378" t="str">
        <f t="shared" si="14"/>
        <v/>
      </c>
      <c r="T131" s="388" t="str">
        <f t="shared" si="15"/>
        <v/>
      </c>
      <c r="U131" s="377" t="str">
        <f t="shared" si="16"/>
        <v/>
      </c>
    </row>
    <row r="132" spans="1:21" customFormat="1" ht="13" x14ac:dyDescent="0.15">
      <c r="A132" s="379"/>
      <c r="B132" s="483"/>
      <c r="C132" s="345"/>
      <c r="D132" s="344"/>
      <c r="H132" s="1"/>
      <c r="I132" s="1"/>
      <c r="J132" s="1"/>
      <c r="K132" s="1"/>
      <c r="M132" s="389"/>
      <c r="N132" s="378"/>
      <c r="O132" s="378"/>
      <c r="P132" s="378"/>
      <c r="Q132" s="378" t="str">
        <f t="shared" si="12"/>
        <v/>
      </c>
      <c r="R132" s="378" t="str">
        <f t="shared" si="13"/>
        <v/>
      </c>
      <c r="S132" s="378" t="str">
        <f t="shared" si="14"/>
        <v/>
      </c>
      <c r="T132" s="388" t="str">
        <f t="shared" si="15"/>
        <v/>
      </c>
      <c r="U132" s="377" t="str">
        <f t="shared" si="16"/>
        <v/>
      </c>
    </row>
    <row r="133" spans="1:21" customFormat="1" ht="13" x14ac:dyDescent="0.15">
      <c r="A133" s="379"/>
      <c r="B133" s="483"/>
      <c r="C133" s="345"/>
      <c r="D133" s="344"/>
      <c r="H133" s="1"/>
      <c r="I133" s="1"/>
      <c r="J133" s="1"/>
      <c r="K133" s="1"/>
      <c r="M133" s="389"/>
      <c r="N133" s="378"/>
      <c r="O133" s="378"/>
      <c r="P133" s="378"/>
      <c r="Q133" s="378" t="str">
        <f t="shared" si="12"/>
        <v/>
      </c>
      <c r="R133" s="378" t="str">
        <f t="shared" si="13"/>
        <v/>
      </c>
      <c r="S133" s="378" t="str">
        <f t="shared" si="14"/>
        <v/>
      </c>
      <c r="T133" s="388" t="str">
        <f t="shared" si="15"/>
        <v/>
      </c>
      <c r="U133" s="377" t="str">
        <f t="shared" si="16"/>
        <v/>
      </c>
    </row>
    <row r="134" spans="1:21" customFormat="1" ht="13" x14ac:dyDescent="0.15">
      <c r="A134" s="379"/>
      <c r="B134" s="483"/>
      <c r="C134" s="345"/>
      <c r="D134" s="344"/>
      <c r="H134" s="1"/>
      <c r="I134" s="1"/>
      <c r="J134" s="1"/>
      <c r="K134" s="1"/>
      <c r="M134" s="389"/>
      <c r="N134" s="378"/>
      <c r="O134" s="378"/>
      <c r="P134" s="378"/>
      <c r="Q134" s="378" t="str">
        <f t="shared" si="12"/>
        <v/>
      </c>
      <c r="R134" s="378" t="str">
        <f t="shared" si="13"/>
        <v/>
      </c>
      <c r="S134" s="378" t="str">
        <f t="shared" si="14"/>
        <v/>
      </c>
      <c r="T134" s="388" t="str">
        <f t="shared" si="15"/>
        <v/>
      </c>
      <c r="U134" s="377" t="str">
        <f t="shared" si="16"/>
        <v/>
      </c>
    </row>
    <row r="135" spans="1:21" customFormat="1" ht="13" x14ac:dyDescent="0.15">
      <c r="A135" s="379"/>
      <c r="B135" s="483"/>
      <c r="C135" s="345"/>
      <c r="D135" s="344"/>
      <c r="H135" s="1"/>
      <c r="I135" s="1"/>
      <c r="J135" s="1"/>
      <c r="K135" s="1"/>
      <c r="M135" s="389"/>
      <c r="N135" s="378"/>
      <c r="O135" s="378"/>
      <c r="P135" s="378"/>
      <c r="Q135" s="378" t="str">
        <f t="shared" si="12"/>
        <v/>
      </c>
      <c r="R135" s="378" t="str">
        <f t="shared" si="13"/>
        <v/>
      </c>
      <c r="S135" s="378" t="str">
        <f t="shared" si="14"/>
        <v/>
      </c>
      <c r="T135" s="388" t="str">
        <f t="shared" si="15"/>
        <v/>
      </c>
      <c r="U135" s="377" t="str">
        <f t="shared" si="16"/>
        <v/>
      </c>
    </row>
    <row r="136" spans="1:21" customFormat="1" ht="13" x14ac:dyDescent="0.15">
      <c r="A136" s="379"/>
      <c r="B136" s="483"/>
      <c r="C136" s="345"/>
      <c r="D136" s="344"/>
      <c r="H136" s="1"/>
      <c r="I136" s="1"/>
      <c r="J136" s="1"/>
      <c r="K136" s="1"/>
      <c r="M136" s="389"/>
      <c r="N136" s="378"/>
      <c r="O136" s="378"/>
      <c r="P136" s="378"/>
      <c r="Q136" s="378" t="str">
        <f t="shared" si="12"/>
        <v/>
      </c>
      <c r="R136" s="378" t="str">
        <f t="shared" si="13"/>
        <v/>
      </c>
      <c r="S136" s="378" t="str">
        <f t="shared" si="14"/>
        <v/>
      </c>
      <c r="T136" s="388" t="str">
        <f t="shared" si="15"/>
        <v/>
      </c>
      <c r="U136" s="377" t="str">
        <f t="shared" si="16"/>
        <v/>
      </c>
    </row>
    <row r="137" spans="1:21" customFormat="1" ht="13" x14ac:dyDescent="0.15">
      <c r="A137" s="379"/>
      <c r="B137" s="483"/>
      <c r="C137" s="345"/>
      <c r="D137" s="344"/>
      <c r="H137" s="1"/>
      <c r="I137" s="1"/>
      <c r="J137" s="1"/>
      <c r="K137" s="1"/>
      <c r="M137" s="389"/>
      <c r="N137" s="378"/>
      <c r="O137" s="378"/>
      <c r="P137" s="378"/>
      <c r="Q137" s="378" t="str">
        <f t="shared" si="12"/>
        <v/>
      </c>
      <c r="R137" s="378" t="str">
        <f t="shared" si="13"/>
        <v/>
      </c>
      <c r="S137" s="378" t="str">
        <f t="shared" si="14"/>
        <v/>
      </c>
      <c r="T137" s="388" t="str">
        <f t="shared" si="15"/>
        <v/>
      </c>
      <c r="U137" s="377" t="str">
        <f t="shared" si="16"/>
        <v/>
      </c>
    </row>
    <row r="138" spans="1:21" customFormat="1" ht="13" x14ac:dyDescent="0.15">
      <c r="A138" s="379"/>
      <c r="B138" s="483"/>
      <c r="C138" s="345"/>
      <c r="D138" s="344"/>
      <c r="H138" s="1"/>
      <c r="I138" s="1"/>
      <c r="J138" s="1"/>
      <c r="K138" s="1"/>
      <c r="M138" s="389"/>
      <c r="N138" s="378"/>
      <c r="O138" s="378"/>
      <c r="P138" s="378"/>
      <c r="Q138" s="378" t="str">
        <f t="shared" si="12"/>
        <v/>
      </c>
      <c r="R138" s="378" t="str">
        <f t="shared" si="13"/>
        <v/>
      </c>
      <c r="S138" s="378" t="str">
        <f t="shared" si="14"/>
        <v/>
      </c>
      <c r="T138" s="388" t="str">
        <f t="shared" si="15"/>
        <v/>
      </c>
      <c r="U138" s="377" t="str">
        <f t="shared" si="16"/>
        <v/>
      </c>
    </row>
    <row r="139" spans="1:21" customFormat="1" ht="13" x14ac:dyDescent="0.15">
      <c r="A139" s="379"/>
      <c r="B139" s="483"/>
      <c r="C139" s="345"/>
      <c r="D139" s="344"/>
      <c r="H139" s="1"/>
      <c r="I139" s="1"/>
      <c r="J139" s="1"/>
      <c r="K139" s="1"/>
      <c r="M139" s="389"/>
      <c r="N139" s="378"/>
      <c r="O139" s="378"/>
      <c r="P139" s="378"/>
      <c r="Q139" s="378" t="str">
        <f t="shared" si="12"/>
        <v/>
      </c>
      <c r="R139" s="378" t="str">
        <f t="shared" si="13"/>
        <v/>
      </c>
      <c r="S139" s="378" t="str">
        <f t="shared" si="14"/>
        <v/>
      </c>
      <c r="T139" s="388" t="str">
        <f t="shared" si="15"/>
        <v/>
      </c>
      <c r="U139" s="377" t="str">
        <f t="shared" si="16"/>
        <v/>
      </c>
    </row>
    <row r="140" spans="1:21" customFormat="1" ht="13" x14ac:dyDescent="0.15">
      <c r="A140" s="379"/>
      <c r="B140" s="483"/>
      <c r="C140" s="345"/>
      <c r="D140" s="344"/>
      <c r="H140" s="1"/>
      <c r="I140" s="1"/>
      <c r="J140" s="1"/>
      <c r="K140" s="1"/>
      <c r="M140" s="389"/>
      <c r="N140" s="378"/>
      <c r="O140" s="378"/>
      <c r="P140" s="378"/>
      <c r="Q140" s="378" t="str">
        <f t="shared" si="12"/>
        <v/>
      </c>
      <c r="R140" s="378" t="str">
        <f t="shared" si="13"/>
        <v/>
      </c>
      <c r="S140" s="378" t="str">
        <f t="shared" si="14"/>
        <v/>
      </c>
      <c r="T140" s="388" t="str">
        <f t="shared" si="15"/>
        <v/>
      </c>
      <c r="U140" s="377" t="str">
        <f t="shared" si="16"/>
        <v/>
      </c>
    </row>
    <row r="141" spans="1:21" customFormat="1" ht="13" x14ac:dyDescent="0.15">
      <c r="A141" s="379"/>
      <c r="B141" s="483"/>
      <c r="C141" s="345"/>
      <c r="D141" s="344"/>
      <c r="H141" s="1"/>
      <c r="I141" s="1"/>
      <c r="J141" s="1"/>
      <c r="K141" s="1"/>
      <c r="M141" s="389"/>
      <c r="N141" s="378"/>
      <c r="O141" s="378"/>
      <c r="P141" s="378"/>
      <c r="Q141" s="378" t="str">
        <f t="shared" si="12"/>
        <v/>
      </c>
      <c r="R141" s="378" t="str">
        <f t="shared" si="13"/>
        <v/>
      </c>
      <c r="S141" s="378" t="str">
        <f t="shared" si="14"/>
        <v/>
      </c>
      <c r="T141" s="388" t="str">
        <f t="shared" si="15"/>
        <v/>
      </c>
      <c r="U141" s="377" t="str">
        <f t="shared" si="16"/>
        <v/>
      </c>
    </row>
    <row r="142" spans="1:21" customFormat="1" ht="13" x14ac:dyDescent="0.15">
      <c r="A142" s="379"/>
      <c r="B142" s="483"/>
      <c r="C142" s="345"/>
      <c r="D142" s="344"/>
      <c r="H142" s="1"/>
      <c r="I142" s="1"/>
      <c r="J142" s="1"/>
      <c r="K142" s="1"/>
      <c r="M142" s="389"/>
      <c r="N142" s="378"/>
      <c r="O142" s="378"/>
      <c r="P142" s="378"/>
      <c r="Q142" s="378" t="str">
        <f t="shared" si="12"/>
        <v/>
      </c>
      <c r="R142" s="378" t="str">
        <f t="shared" si="13"/>
        <v/>
      </c>
      <c r="S142" s="378" t="str">
        <f t="shared" si="14"/>
        <v/>
      </c>
      <c r="T142" s="388" t="str">
        <f t="shared" si="15"/>
        <v/>
      </c>
      <c r="U142" s="377" t="str">
        <f t="shared" si="16"/>
        <v/>
      </c>
    </row>
    <row r="143" spans="1:21" customFormat="1" ht="13" x14ac:dyDescent="0.15">
      <c r="A143" s="484"/>
      <c r="B143" s="485"/>
      <c r="C143" s="345"/>
      <c r="D143" s="486"/>
      <c r="H143" s="1"/>
      <c r="I143" s="1"/>
      <c r="J143" s="1"/>
      <c r="K143" s="1"/>
      <c r="M143" s="389"/>
      <c r="N143" s="378"/>
      <c r="O143" s="378"/>
      <c r="P143" s="378"/>
      <c r="Q143" s="378" t="str">
        <f t="shared" si="12"/>
        <v/>
      </c>
      <c r="R143" s="378" t="str">
        <f t="shared" si="13"/>
        <v/>
      </c>
      <c r="S143" s="378" t="str">
        <f t="shared" si="14"/>
        <v/>
      </c>
      <c r="T143" s="388" t="str">
        <f t="shared" si="15"/>
        <v/>
      </c>
      <c r="U143" s="377" t="str">
        <f t="shared" si="16"/>
        <v/>
      </c>
    </row>
    <row r="144" spans="1:21" customFormat="1" ht="13" x14ac:dyDescent="0.15">
      <c r="A144" s="484"/>
      <c r="B144" s="485"/>
      <c r="C144" s="345"/>
      <c r="D144" s="486"/>
      <c r="H144" s="1"/>
      <c r="I144" s="1"/>
      <c r="J144" s="1"/>
      <c r="K144" s="1"/>
      <c r="M144" s="389"/>
      <c r="N144" s="378"/>
      <c r="O144" s="378"/>
      <c r="P144" s="378"/>
      <c r="Q144" s="378" t="str">
        <f t="shared" si="12"/>
        <v/>
      </c>
      <c r="R144" s="378" t="str">
        <f t="shared" si="13"/>
        <v/>
      </c>
      <c r="S144" s="378" t="str">
        <f t="shared" si="14"/>
        <v/>
      </c>
      <c r="T144" s="388" t="str">
        <f t="shared" si="15"/>
        <v/>
      </c>
      <c r="U144" s="377" t="str">
        <f t="shared" si="16"/>
        <v/>
      </c>
    </row>
    <row r="145" spans="1:38" ht="13" x14ac:dyDescent="0.15">
      <c r="A145" s="484"/>
      <c r="B145" s="485"/>
      <c r="C145" s="345"/>
      <c r="D145" s="486"/>
      <c r="M145" s="389"/>
      <c r="N145" s="378"/>
      <c r="O145" s="378"/>
      <c r="P145" s="378"/>
      <c r="Q145" s="378" t="str">
        <f t="shared" si="12"/>
        <v/>
      </c>
      <c r="R145" s="378" t="str">
        <f t="shared" si="13"/>
        <v/>
      </c>
      <c r="S145" s="378" t="str">
        <f t="shared" si="14"/>
        <v/>
      </c>
      <c r="T145" s="388" t="str">
        <f t="shared" si="15"/>
        <v/>
      </c>
      <c r="U145" s="377" t="str">
        <f t="shared" si="16"/>
        <v/>
      </c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</row>
    <row r="146" spans="1:38" ht="13" x14ac:dyDescent="0.15">
      <c r="A146" s="484"/>
      <c r="B146" s="485"/>
      <c r="C146" s="345"/>
      <c r="D146" s="486"/>
      <c r="M146" s="389"/>
      <c r="N146" s="378"/>
      <c r="O146" s="378"/>
      <c r="P146" s="378"/>
      <c r="Q146" s="378" t="str">
        <f t="shared" si="12"/>
        <v/>
      </c>
      <c r="R146" s="378" t="str">
        <f t="shared" si="13"/>
        <v/>
      </c>
      <c r="S146" s="378" t="str">
        <f t="shared" si="14"/>
        <v/>
      </c>
      <c r="T146" s="388" t="str">
        <f t="shared" si="15"/>
        <v/>
      </c>
      <c r="U146" s="377" t="str">
        <f t="shared" si="16"/>
        <v/>
      </c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</row>
    <row r="147" spans="1:38" ht="13" x14ac:dyDescent="0.15">
      <c r="A147" s="484"/>
      <c r="B147" s="485"/>
      <c r="C147" s="345"/>
      <c r="D147" s="486"/>
      <c r="M147" s="389"/>
      <c r="N147" s="378"/>
      <c r="O147" s="378"/>
      <c r="P147" s="378"/>
      <c r="Q147" s="378" t="str">
        <f t="shared" si="12"/>
        <v/>
      </c>
      <c r="R147" s="378" t="str">
        <f t="shared" si="13"/>
        <v/>
      </c>
      <c r="S147" s="378" t="str">
        <f t="shared" si="14"/>
        <v/>
      </c>
      <c r="T147" s="388" t="str">
        <f t="shared" si="15"/>
        <v/>
      </c>
      <c r="U147" s="377" t="str">
        <f t="shared" si="16"/>
        <v/>
      </c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</row>
    <row r="148" spans="1:38" ht="13" x14ac:dyDescent="0.15">
      <c r="A148" s="484"/>
      <c r="B148" s="485"/>
      <c r="C148" s="345"/>
      <c r="D148" s="486"/>
      <c r="M148" s="389"/>
      <c r="N148" s="378"/>
      <c r="O148" s="378"/>
      <c r="P148" s="378"/>
      <c r="Q148" s="378" t="str">
        <f t="shared" si="12"/>
        <v/>
      </c>
      <c r="R148" s="378" t="str">
        <f t="shared" si="13"/>
        <v/>
      </c>
      <c r="S148" s="378" t="str">
        <f t="shared" si="14"/>
        <v/>
      </c>
      <c r="T148" s="388" t="str">
        <f t="shared" si="15"/>
        <v/>
      </c>
      <c r="U148" s="377" t="str">
        <f t="shared" si="16"/>
        <v/>
      </c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</row>
    <row r="149" spans="1:38" ht="13" x14ac:dyDescent="0.15">
      <c r="A149" s="484"/>
      <c r="B149" s="485"/>
      <c r="C149" s="345"/>
      <c r="D149" s="486"/>
      <c r="M149" s="389"/>
      <c r="N149" s="378"/>
      <c r="O149" s="378"/>
      <c r="P149" s="378"/>
      <c r="Q149" s="378" t="str">
        <f t="shared" si="12"/>
        <v/>
      </c>
      <c r="R149" s="378" t="str">
        <f t="shared" si="13"/>
        <v/>
      </c>
      <c r="S149" s="378" t="str">
        <f t="shared" si="14"/>
        <v/>
      </c>
      <c r="T149" s="388" t="str">
        <f t="shared" si="15"/>
        <v/>
      </c>
      <c r="U149" s="377" t="str">
        <f t="shared" si="16"/>
        <v/>
      </c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</row>
    <row r="150" spans="1:38" ht="13" x14ac:dyDescent="0.15">
      <c r="A150" s="484"/>
      <c r="B150" s="485"/>
      <c r="C150" s="345"/>
      <c r="D150" s="486"/>
      <c r="M150" s="389"/>
      <c r="N150" s="378"/>
      <c r="O150" s="378"/>
      <c r="P150" s="378"/>
      <c r="Q150" s="378" t="str">
        <f t="shared" si="12"/>
        <v/>
      </c>
      <c r="R150" s="378" t="str">
        <f t="shared" si="13"/>
        <v/>
      </c>
      <c r="S150" s="378" t="str">
        <f t="shared" si="14"/>
        <v/>
      </c>
      <c r="T150" s="388" t="str">
        <f t="shared" si="15"/>
        <v/>
      </c>
      <c r="U150" s="377" t="str">
        <f t="shared" si="16"/>
        <v/>
      </c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</row>
    <row r="151" spans="1:38" ht="13" x14ac:dyDescent="0.15">
      <c r="A151" s="484"/>
      <c r="B151" s="485"/>
      <c r="C151" s="345"/>
      <c r="D151" s="486"/>
      <c r="M151" s="389"/>
      <c r="N151" s="378"/>
      <c r="O151" s="378"/>
      <c r="P151" s="378"/>
      <c r="Q151" s="378" t="str">
        <f t="shared" si="12"/>
        <v/>
      </c>
      <c r="R151" s="378" t="str">
        <f t="shared" si="13"/>
        <v/>
      </c>
      <c r="S151" s="378" t="str">
        <f t="shared" si="14"/>
        <v/>
      </c>
      <c r="T151" s="388" t="str">
        <f t="shared" si="15"/>
        <v/>
      </c>
      <c r="U151" s="377" t="str">
        <f t="shared" si="16"/>
        <v/>
      </c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</row>
    <row r="152" spans="1:38" ht="13" x14ac:dyDescent="0.15">
      <c r="A152" s="484"/>
      <c r="B152" s="485"/>
      <c r="C152" s="345"/>
      <c r="D152" s="486"/>
      <c r="M152" s="389"/>
      <c r="N152" s="378"/>
      <c r="O152" s="378"/>
      <c r="P152" s="378"/>
      <c r="Q152" s="378" t="str">
        <f t="shared" si="12"/>
        <v/>
      </c>
      <c r="R152" s="378" t="str">
        <f t="shared" si="13"/>
        <v/>
      </c>
      <c r="S152" s="378" t="str">
        <f t="shared" si="14"/>
        <v/>
      </c>
      <c r="T152" s="388" t="str">
        <f t="shared" si="15"/>
        <v/>
      </c>
      <c r="U152" s="377" t="str">
        <f t="shared" si="16"/>
        <v/>
      </c>
      <c r="AD152" s="363"/>
      <c r="AE152" s="363"/>
    </row>
    <row r="153" spans="1:38" ht="13" x14ac:dyDescent="0.15">
      <c r="A153" s="484"/>
      <c r="B153" s="485"/>
      <c r="C153" s="345"/>
      <c r="D153" s="486"/>
      <c r="M153" s="389"/>
      <c r="N153" s="378"/>
      <c r="O153" s="378"/>
      <c r="P153" s="378"/>
      <c r="Q153" s="378" t="str">
        <f t="shared" si="12"/>
        <v/>
      </c>
      <c r="R153" s="378" t="str">
        <f t="shared" si="13"/>
        <v/>
      </c>
      <c r="S153" s="378" t="str">
        <f t="shared" si="14"/>
        <v/>
      </c>
      <c r="T153" s="388" t="str">
        <f t="shared" si="15"/>
        <v/>
      </c>
      <c r="U153" s="377" t="str">
        <f t="shared" si="16"/>
        <v/>
      </c>
      <c r="AD153" s="363"/>
      <c r="AE153" s="363"/>
    </row>
    <row r="154" spans="1:38" ht="13" x14ac:dyDescent="0.15">
      <c r="A154" s="484"/>
      <c r="B154" s="485"/>
      <c r="C154" s="345"/>
      <c r="D154" s="486"/>
      <c r="M154" s="389"/>
      <c r="N154" s="378"/>
      <c r="O154" s="378"/>
      <c r="P154" s="378"/>
      <c r="Q154" s="378" t="str">
        <f t="shared" si="12"/>
        <v/>
      </c>
      <c r="R154" s="378" t="str">
        <f t="shared" si="13"/>
        <v/>
      </c>
      <c r="S154" s="378" t="str">
        <f t="shared" si="14"/>
        <v/>
      </c>
      <c r="T154" s="388" t="str">
        <f t="shared" si="15"/>
        <v/>
      </c>
      <c r="U154" s="377" t="str">
        <f t="shared" si="16"/>
        <v/>
      </c>
      <c r="AD154" s="363"/>
      <c r="AE154" s="363"/>
    </row>
    <row r="155" spans="1:38" ht="13" x14ac:dyDescent="0.15">
      <c r="A155" s="484"/>
      <c r="B155" s="485"/>
      <c r="C155" s="345"/>
      <c r="D155" s="486"/>
      <c r="M155" s="389"/>
      <c r="N155" s="378"/>
      <c r="O155" s="378"/>
      <c r="P155" s="378"/>
      <c r="Q155" s="378" t="str">
        <f t="shared" si="12"/>
        <v/>
      </c>
      <c r="R155" s="378" t="str">
        <f t="shared" si="13"/>
        <v/>
      </c>
      <c r="S155" s="378" t="str">
        <f t="shared" si="14"/>
        <v/>
      </c>
      <c r="T155" s="388" t="str">
        <f t="shared" si="15"/>
        <v/>
      </c>
      <c r="U155" s="377" t="str">
        <f t="shared" si="16"/>
        <v/>
      </c>
      <c r="AD155" s="363"/>
      <c r="AE155" s="363"/>
    </row>
    <row r="156" spans="1:38" ht="13" x14ac:dyDescent="0.15">
      <c r="A156" s="484"/>
      <c r="B156" s="485"/>
      <c r="C156" s="345"/>
      <c r="D156" s="486"/>
      <c r="M156" s="389"/>
      <c r="N156" s="378"/>
      <c r="O156" s="378"/>
      <c r="P156" s="378"/>
      <c r="Q156" s="378" t="str">
        <f t="shared" si="12"/>
        <v/>
      </c>
      <c r="R156" s="378" t="str">
        <f t="shared" si="13"/>
        <v/>
      </c>
      <c r="S156" s="378" t="str">
        <f t="shared" si="14"/>
        <v/>
      </c>
      <c r="T156" s="388" t="str">
        <f t="shared" si="15"/>
        <v/>
      </c>
      <c r="U156" s="377" t="str">
        <f t="shared" si="16"/>
        <v/>
      </c>
      <c r="AD156" s="363"/>
      <c r="AE156" s="363"/>
    </row>
    <row r="157" spans="1:38" ht="13" x14ac:dyDescent="0.15">
      <c r="A157" s="484"/>
      <c r="B157" s="485"/>
      <c r="C157" s="345"/>
      <c r="D157" s="486"/>
      <c r="M157" s="389"/>
      <c r="N157" s="378"/>
      <c r="O157" s="378"/>
      <c r="P157" s="378"/>
      <c r="Q157" s="378" t="str">
        <f t="shared" si="12"/>
        <v/>
      </c>
      <c r="R157" s="378" t="str">
        <f t="shared" si="13"/>
        <v/>
      </c>
      <c r="S157" s="378" t="str">
        <f t="shared" si="14"/>
        <v/>
      </c>
      <c r="T157" s="388" t="str">
        <f t="shared" si="15"/>
        <v/>
      </c>
      <c r="U157" s="377" t="str">
        <f t="shared" si="16"/>
        <v/>
      </c>
      <c r="AD157" s="363"/>
      <c r="AE157" s="363"/>
    </row>
    <row r="158" spans="1:38" ht="13" x14ac:dyDescent="0.15">
      <c r="A158" s="484"/>
      <c r="B158" s="485"/>
      <c r="C158" s="345"/>
      <c r="D158" s="486"/>
      <c r="M158" s="389"/>
      <c r="N158" s="378"/>
      <c r="O158" s="378"/>
      <c r="P158" s="378"/>
      <c r="Q158" s="378" t="str">
        <f t="shared" si="12"/>
        <v/>
      </c>
      <c r="R158" s="378" t="str">
        <f t="shared" si="13"/>
        <v/>
      </c>
      <c r="S158" s="378" t="str">
        <f t="shared" si="14"/>
        <v/>
      </c>
      <c r="T158" s="388" t="str">
        <f t="shared" si="15"/>
        <v/>
      </c>
      <c r="U158" s="377" t="str">
        <f t="shared" si="16"/>
        <v/>
      </c>
      <c r="W158" s="364"/>
      <c r="X158" s="364"/>
      <c r="Y158" s="364"/>
      <c r="Z158" s="364"/>
      <c r="AA158" s="364"/>
      <c r="AB158" s="364"/>
      <c r="AC158" s="364"/>
      <c r="AD158" s="365" t="str">
        <f t="shared" ref="AD158:AD166" si="17">IF(OR(ISBLANK(W158),W158=""),"",Z158/X158)</f>
        <v/>
      </c>
      <c r="AE158" s="366" t="str">
        <f t="shared" ref="AE158:AE166" si="18">IF(W158="","",IF(ABS(X158-$H$80)&lt;=$H$82*$X$43,"IN","OUT"))</f>
        <v/>
      </c>
    </row>
    <row r="159" spans="1:38" ht="13" x14ac:dyDescent="0.15">
      <c r="A159" s="484"/>
      <c r="B159" s="485"/>
      <c r="C159" s="345"/>
      <c r="D159" s="486"/>
      <c r="M159" s="389"/>
      <c r="N159" s="378"/>
      <c r="O159" s="378"/>
      <c r="P159" s="378"/>
      <c r="Q159" s="378" t="str">
        <f t="shared" si="12"/>
        <v/>
      </c>
      <c r="R159" s="378" t="str">
        <f t="shared" si="13"/>
        <v/>
      </c>
      <c r="S159" s="378" t="str">
        <f t="shared" si="14"/>
        <v/>
      </c>
      <c r="T159" s="388" t="str">
        <f t="shared" si="15"/>
        <v/>
      </c>
      <c r="U159" s="377" t="str">
        <f t="shared" si="16"/>
        <v/>
      </c>
      <c r="W159" s="364"/>
      <c r="X159" s="364"/>
      <c r="Y159" s="364"/>
      <c r="Z159" s="364"/>
      <c r="AA159" s="364"/>
      <c r="AB159" s="364"/>
      <c r="AC159" s="364"/>
      <c r="AD159" s="365" t="str">
        <f t="shared" si="17"/>
        <v/>
      </c>
      <c r="AE159" s="366" t="str">
        <f t="shared" si="18"/>
        <v/>
      </c>
    </row>
    <row r="160" spans="1:38" ht="13" x14ac:dyDescent="0.15">
      <c r="A160" s="484"/>
      <c r="B160" s="485"/>
      <c r="C160" s="345"/>
      <c r="D160" s="486"/>
      <c r="M160" s="389"/>
      <c r="N160" s="378"/>
      <c r="O160" s="378"/>
      <c r="P160" s="378"/>
      <c r="Q160" s="378" t="str">
        <f t="shared" si="12"/>
        <v/>
      </c>
      <c r="R160" s="378" t="str">
        <f t="shared" si="13"/>
        <v/>
      </c>
      <c r="S160" s="378" t="str">
        <f t="shared" si="14"/>
        <v/>
      </c>
      <c r="T160" s="388" t="str">
        <f t="shared" si="15"/>
        <v/>
      </c>
      <c r="U160" s="377" t="str">
        <f t="shared" si="16"/>
        <v/>
      </c>
      <c r="W160" s="364"/>
      <c r="X160" s="364"/>
      <c r="Y160" s="364"/>
      <c r="Z160" s="364"/>
      <c r="AA160" s="364"/>
      <c r="AB160" s="364"/>
      <c r="AC160" s="364"/>
      <c r="AD160" s="365" t="str">
        <f t="shared" si="17"/>
        <v/>
      </c>
      <c r="AE160" s="366" t="str">
        <f t="shared" si="18"/>
        <v/>
      </c>
    </row>
    <row r="161" spans="1:31" ht="13" x14ac:dyDescent="0.15">
      <c r="A161" s="484"/>
      <c r="B161" s="485"/>
      <c r="C161" s="345"/>
      <c r="D161" s="486"/>
      <c r="M161" s="389"/>
      <c r="N161" s="378"/>
      <c r="O161" s="378"/>
      <c r="P161" s="378"/>
      <c r="Q161" s="378" t="str">
        <f t="shared" si="12"/>
        <v/>
      </c>
      <c r="R161" s="378" t="str">
        <f t="shared" si="13"/>
        <v/>
      </c>
      <c r="S161" s="378" t="str">
        <f t="shared" si="14"/>
        <v/>
      </c>
      <c r="T161" s="388" t="str">
        <f t="shared" si="15"/>
        <v/>
      </c>
      <c r="U161" s="377" t="str">
        <f t="shared" si="16"/>
        <v/>
      </c>
      <c r="W161" s="364"/>
      <c r="X161" s="364"/>
      <c r="Y161" s="364"/>
      <c r="Z161" s="364"/>
      <c r="AA161" s="364"/>
      <c r="AB161" s="364"/>
      <c r="AC161" s="364"/>
      <c r="AD161" s="365" t="str">
        <f t="shared" si="17"/>
        <v/>
      </c>
      <c r="AE161" s="366" t="str">
        <f t="shared" si="18"/>
        <v/>
      </c>
    </row>
    <row r="162" spans="1:31" ht="13" x14ac:dyDescent="0.15">
      <c r="A162" s="484"/>
      <c r="B162" s="485"/>
      <c r="C162" s="345"/>
      <c r="D162" s="486"/>
      <c r="M162" s="389"/>
      <c r="N162" s="378"/>
      <c r="O162" s="378"/>
      <c r="P162" s="378"/>
      <c r="Q162" s="378" t="str">
        <f t="shared" si="12"/>
        <v/>
      </c>
      <c r="R162" s="378" t="str">
        <f t="shared" si="13"/>
        <v/>
      </c>
      <c r="S162" s="378" t="str">
        <f t="shared" si="14"/>
        <v/>
      </c>
      <c r="T162" s="388" t="str">
        <f t="shared" si="15"/>
        <v/>
      </c>
      <c r="U162" s="377" t="str">
        <f t="shared" si="16"/>
        <v/>
      </c>
      <c r="W162" s="364"/>
      <c r="X162" s="364"/>
      <c r="Y162" s="364"/>
      <c r="Z162" s="364"/>
      <c r="AA162" s="364"/>
      <c r="AB162" s="364"/>
      <c r="AC162" s="364"/>
      <c r="AD162" s="365" t="str">
        <f t="shared" si="17"/>
        <v/>
      </c>
      <c r="AE162" s="366" t="str">
        <f t="shared" si="18"/>
        <v/>
      </c>
    </row>
    <row r="163" spans="1:31" ht="13" x14ac:dyDescent="0.15">
      <c r="A163" s="484"/>
      <c r="B163" s="485"/>
      <c r="C163" s="345"/>
      <c r="D163" s="486"/>
      <c r="M163" s="389"/>
      <c r="N163" s="378"/>
      <c r="O163" s="378"/>
      <c r="P163" s="378"/>
      <c r="Q163" s="378" t="str">
        <f t="shared" si="12"/>
        <v/>
      </c>
      <c r="R163" s="378" t="str">
        <f t="shared" si="13"/>
        <v/>
      </c>
      <c r="S163" s="378" t="str">
        <f t="shared" si="14"/>
        <v/>
      </c>
      <c r="T163" s="388" t="str">
        <f t="shared" si="15"/>
        <v/>
      </c>
      <c r="U163" s="377" t="str">
        <f t="shared" si="16"/>
        <v/>
      </c>
      <c r="W163" s="364"/>
      <c r="X163" s="364"/>
      <c r="Y163" s="364"/>
      <c r="Z163" s="364"/>
      <c r="AA163" s="364"/>
      <c r="AB163" s="364"/>
      <c r="AC163" s="364"/>
      <c r="AD163" s="365" t="str">
        <f t="shared" si="17"/>
        <v/>
      </c>
      <c r="AE163" s="366" t="str">
        <f t="shared" si="18"/>
        <v/>
      </c>
    </row>
    <row r="164" spans="1:31" ht="13" x14ac:dyDescent="0.15">
      <c r="A164" s="484"/>
      <c r="B164" s="485"/>
      <c r="C164" s="345"/>
      <c r="D164" s="486"/>
      <c r="M164" s="389"/>
      <c r="N164" s="378"/>
      <c r="O164" s="378"/>
      <c r="P164" s="378"/>
      <c r="Q164" s="378" t="str">
        <f t="shared" si="12"/>
        <v/>
      </c>
      <c r="R164" s="378" t="str">
        <f t="shared" si="13"/>
        <v/>
      </c>
      <c r="S164" s="378" t="str">
        <f t="shared" si="14"/>
        <v/>
      </c>
      <c r="T164" s="388" t="str">
        <f t="shared" si="15"/>
        <v/>
      </c>
      <c r="U164" s="377" t="str">
        <f t="shared" si="16"/>
        <v/>
      </c>
      <c r="W164" s="364"/>
      <c r="X164" s="364"/>
      <c r="Y164" s="364"/>
      <c r="Z164" s="364"/>
      <c r="AA164" s="364"/>
      <c r="AB164" s="364"/>
      <c r="AC164" s="364"/>
      <c r="AD164" s="365" t="str">
        <f t="shared" si="17"/>
        <v/>
      </c>
      <c r="AE164" s="366" t="str">
        <f t="shared" si="18"/>
        <v/>
      </c>
    </row>
    <row r="165" spans="1:31" ht="13" x14ac:dyDescent="0.15">
      <c r="A165" s="484"/>
      <c r="B165" s="485"/>
      <c r="C165" s="345"/>
      <c r="D165" s="486"/>
      <c r="M165" s="389"/>
      <c r="N165" s="378"/>
      <c r="O165" s="378"/>
      <c r="P165" s="378"/>
      <c r="Q165" s="378" t="str">
        <f t="shared" si="12"/>
        <v/>
      </c>
      <c r="R165" s="378" t="str">
        <f t="shared" si="13"/>
        <v/>
      </c>
      <c r="S165" s="378" t="str">
        <f t="shared" si="14"/>
        <v/>
      </c>
      <c r="T165" s="388" t="str">
        <f t="shared" si="15"/>
        <v/>
      </c>
      <c r="U165" s="377" t="str">
        <f t="shared" si="16"/>
        <v/>
      </c>
      <c r="W165" s="364"/>
      <c r="X165" s="364"/>
      <c r="Y165" s="364"/>
      <c r="Z165" s="364"/>
      <c r="AA165" s="364"/>
      <c r="AB165" s="364"/>
      <c r="AC165" s="364"/>
      <c r="AD165" s="365" t="str">
        <f t="shared" si="17"/>
        <v/>
      </c>
      <c r="AE165" s="366" t="str">
        <f t="shared" si="18"/>
        <v/>
      </c>
    </row>
    <row r="166" spans="1:31" ht="14" thickBot="1" x14ac:dyDescent="0.2">
      <c r="A166" s="484"/>
      <c r="B166" s="485"/>
      <c r="C166" s="345"/>
      <c r="D166" s="486"/>
      <c r="M166" s="390"/>
      <c r="N166" s="391"/>
      <c r="O166" s="391"/>
      <c r="P166" s="391"/>
      <c r="Q166" s="391" t="str">
        <f t="shared" si="12"/>
        <v/>
      </c>
      <c r="R166" s="391" t="str">
        <f t="shared" si="13"/>
        <v/>
      </c>
      <c r="S166" s="391" t="str">
        <f t="shared" si="14"/>
        <v/>
      </c>
      <c r="T166" s="392" t="str">
        <f t="shared" si="15"/>
        <v/>
      </c>
      <c r="U166" s="393" t="str">
        <f t="shared" si="16"/>
        <v/>
      </c>
      <c r="W166" s="364"/>
      <c r="X166" s="364"/>
      <c r="Y166" s="364"/>
      <c r="Z166" s="364"/>
      <c r="AA166" s="364"/>
      <c r="AB166" s="364"/>
      <c r="AC166" s="364"/>
      <c r="AD166" s="365" t="str">
        <f t="shared" si="17"/>
        <v/>
      </c>
      <c r="AE166" s="366" t="str">
        <f t="shared" si="18"/>
        <v/>
      </c>
    </row>
    <row r="167" spans="1:31" ht="13" x14ac:dyDescent="0.15">
      <c r="A167" s="484"/>
      <c r="B167" s="485"/>
      <c r="C167" s="485"/>
      <c r="D167" s="486"/>
      <c r="M167" s="478"/>
      <c r="N167" s="479"/>
      <c r="O167" s="479"/>
      <c r="P167" s="479"/>
      <c r="Q167" s="479" t="str">
        <f t="shared" si="12"/>
        <v/>
      </c>
      <c r="R167" s="479" t="str">
        <f t="shared" si="13"/>
        <v/>
      </c>
      <c r="S167" s="479" t="str">
        <f t="shared" si="14"/>
        <v/>
      </c>
      <c r="T167" s="388" t="str">
        <f t="shared" si="15"/>
        <v/>
      </c>
      <c r="U167" s="377" t="str">
        <f t="shared" si="16"/>
        <v/>
      </c>
    </row>
    <row r="168" spans="1:31" ht="13" x14ac:dyDescent="0.15">
      <c r="A168" s="484"/>
      <c r="B168" s="485"/>
      <c r="C168" s="485"/>
      <c r="D168" s="486"/>
      <c r="M168" s="478"/>
      <c r="N168" s="479"/>
      <c r="O168" s="479"/>
      <c r="P168" s="479"/>
      <c r="Q168" s="479" t="str">
        <f t="shared" si="12"/>
        <v/>
      </c>
      <c r="R168" s="479" t="str">
        <f t="shared" si="13"/>
        <v/>
      </c>
      <c r="S168" s="479" t="str">
        <f t="shared" si="14"/>
        <v/>
      </c>
      <c r="T168" s="388" t="str">
        <f t="shared" si="15"/>
        <v/>
      </c>
      <c r="U168" s="377" t="str">
        <f t="shared" si="16"/>
        <v/>
      </c>
    </row>
    <row r="169" spans="1:31" ht="13" x14ac:dyDescent="0.15">
      <c r="A169" s="484"/>
      <c r="B169" s="485"/>
      <c r="C169" s="485"/>
      <c r="D169" s="486"/>
      <c r="M169" s="478"/>
      <c r="N169" s="479"/>
      <c r="O169" s="479"/>
      <c r="P169" s="479"/>
      <c r="Q169" s="479" t="str">
        <f t="shared" si="12"/>
        <v/>
      </c>
      <c r="R169" s="479" t="str">
        <f t="shared" si="13"/>
        <v/>
      </c>
      <c r="S169" s="479" t="str">
        <f t="shared" si="14"/>
        <v/>
      </c>
      <c r="T169" s="388" t="str">
        <f t="shared" si="15"/>
        <v/>
      </c>
      <c r="U169" s="377" t="str">
        <f t="shared" si="16"/>
        <v/>
      </c>
    </row>
    <row r="170" spans="1:31" ht="13" x14ac:dyDescent="0.15">
      <c r="A170" s="484"/>
      <c r="B170" s="485"/>
      <c r="C170" s="485"/>
      <c r="D170" s="486"/>
      <c r="M170" s="478"/>
      <c r="N170" s="479"/>
      <c r="O170" s="479"/>
      <c r="P170" s="479"/>
      <c r="Q170" s="479" t="str">
        <f t="shared" si="12"/>
        <v/>
      </c>
      <c r="R170" s="479" t="str">
        <f t="shared" si="13"/>
        <v/>
      </c>
      <c r="S170" s="479" t="str">
        <f t="shared" si="14"/>
        <v/>
      </c>
      <c r="T170" s="388" t="str">
        <f t="shared" si="15"/>
        <v/>
      </c>
      <c r="U170" s="377" t="str">
        <f t="shared" si="16"/>
        <v/>
      </c>
    </row>
    <row r="171" spans="1:31" ht="13" x14ac:dyDescent="0.15">
      <c r="A171" s="484"/>
      <c r="B171" s="485"/>
      <c r="C171" s="485"/>
      <c r="D171" s="486"/>
      <c r="M171" s="478"/>
      <c r="N171" s="479"/>
      <c r="O171" s="479"/>
      <c r="P171" s="479"/>
      <c r="Q171" s="479" t="str">
        <f t="shared" si="12"/>
        <v/>
      </c>
      <c r="R171" s="479" t="str">
        <f t="shared" si="13"/>
        <v/>
      </c>
      <c r="S171" s="479" t="str">
        <f t="shared" si="14"/>
        <v/>
      </c>
      <c r="T171" s="388" t="str">
        <f t="shared" si="15"/>
        <v/>
      </c>
      <c r="U171" s="377" t="str">
        <f t="shared" si="16"/>
        <v/>
      </c>
    </row>
    <row r="172" spans="1:31" ht="13" x14ac:dyDescent="0.15">
      <c r="A172" s="484"/>
      <c r="B172" s="485"/>
      <c r="C172" s="485"/>
      <c r="D172" s="486"/>
      <c r="M172" s="478"/>
      <c r="N172" s="479"/>
      <c r="O172" s="479"/>
      <c r="P172" s="479"/>
      <c r="Q172" s="479" t="str">
        <f t="shared" si="12"/>
        <v/>
      </c>
      <c r="R172" s="479" t="str">
        <f t="shared" si="13"/>
        <v/>
      </c>
      <c r="S172" s="479" t="str">
        <f t="shared" si="14"/>
        <v/>
      </c>
      <c r="T172" s="388" t="str">
        <f t="shared" si="15"/>
        <v/>
      </c>
      <c r="U172" s="377" t="str">
        <f t="shared" si="16"/>
        <v/>
      </c>
    </row>
    <row r="173" spans="1:31" ht="13" x14ac:dyDescent="0.15">
      <c r="A173" s="484"/>
      <c r="B173" s="485"/>
      <c r="C173" s="485"/>
      <c r="D173" s="486"/>
      <c r="M173" s="478"/>
      <c r="N173" s="479"/>
      <c r="O173" s="479"/>
      <c r="P173" s="479"/>
      <c r="Q173" s="479" t="str">
        <f t="shared" si="12"/>
        <v/>
      </c>
      <c r="R173" s="479" t="str">
        <f t="shared" si="13"/>
        <v/>
      </c>
      <c r="S173" s="479" t="str">
        <f t="shared" si="14"/>
        <v/>
      </c>
      <c r="T173" s="388" t="str">
        <f t="shared" si="15"/>
        <v/>
      </c>
      <c r="U173" s="377" t="str">
        <f t="shared" si="16"/>
        <v/>
      </c>
    </row>
    <row r="174" spans="1:31" ht="13" x14ac:dyDescent="0.15">
      <c r="A174" s="484"/>
      <c r="B174" s="485"/>
      <c r="C174" s="485"/>
      <c r="D174" s="486"/>
      <c r="M174" s="478"/>
      <c r="N174" s="479"/>
      <c r="O174" s="479"/>
      <c r="P174" s="479"/>
      <c r="Q174" s="479" t="str">
        <f t="shared" si="12"/>
        <v/>
      </c>
      <c r="R174" s="479" t="str">
        <f t="shared" si="13"/>
        <v/>
      </c>
      <c r="S174" s="479" t="str">
        <f t="shared" si="14"/>
        <v/>
      </c>
      <c r="T174" s="388" t="str">
        <f t="shared" si="15"/>
        <v/>
      </c>
      <c r="U174" s="377" t="str">
        <f t="shared" si="16"/>
        <v/>
      </c>
    </row>
    <row r="175" spans="1:31" ht="13" x14ac:dyDescent="0.15">
      <c r="A175" s="484"/>
      <c r="B175" s="485"/>
      <c r="C175" s="485"/>
      <c r="D175" s="486"/>
      <c r="M175" s="478"/>
      <c r="N175" s="479"/>
      <c r="O175" s="479"/>
      <c r="P175" s="479"/>
      <c r="Q175" s="479" t="str">
        <f t="shared" si="12"/>
        <v/>
      </c>
      <c r="R175" s="479" t="str">
        <f t="shared" si="13"/>
        <v/>
      </c>
      <c r="S175" s="479" t="str">
        <f t="shared" si="14"/>
        <v/>
      </c>
      <c r="T175" s="388" t="str">
        <f t="shared" si="15"/>
        <v/>
      </c>
      <c r="U175" s="377" t="str">
        <f t="shared" si="16"/>
        <v/>
      </c>
    </row>
    <row r="176" spans="1:31" ht="13" x14ac:dyDescent="0.15">
      <c r="A176" s="484"/>
      <c r="B176" s="485"/>
      <c r="C176" s="485"/>
      <c r="D176" s="486"/>
      <c r="M176" s="478"/>
      <c r="N176" s="479"/>
      <c r="O176" s="479"/>
      <c r="P176" s="479"/>
      <c r="Q176" s="479" t="str">
        <f t="shared" si="12"/>
        <v/>
      </c>
      <c r="R176" s="479" t="str">
        <f t="shared" si="13"/>
        <v/>
      </c>
      <c r="S176" s="479" t="str">
        <f t="shared" si="14"/>
        <v/>
      </c>
      <c r="T176" s="388" t="str">
        <f t="shared" si="15"/>
        <v/>
      </c>
      <c r="U176" s="377" t="str">
        <f t="shared" si="16"/>
        <v/>
      </c>
    </row>
    <row r="177" spans="1:21" ht="13" x14ac:dyDescent="0.15">
      <c r="A177" s="484"/>
      <c r="B177" s="485"/>
      <c r="C177" s="485"/>
      <c r="D177" s="486"/>
      <c r="M177" s="478"/>
      <c r="N177" s="479"/>
      <c r="O177" s="479"/>
      <c r="P177" s="479"/>
      <c r="Q177" s="479" t="str">
        <f t="shared" ref="Q177:Q200" si="19">IF(ISNUMBER(P177),P177/O177,"")</f>
        <v/>
      </c>
      <c r="R177" s="479" t="str">
        <f t="shared" ref="R177:R200" si="20">IF(ISNUMBER(N177),N177-P177,"")</f>
        <v/>
      </c>
      <c r="S177" s="479" t="str">
        <f t="shared" ref="S177:S200" si="21">IF(ISNUMBER(N177),N177-P177,"")</f>
        <v/>
      </c>
      <c r="T177" s="388" t="str">
        <f t="shared" ref="T177:T200" si="22">IF(OR(ISBLANK(M177),M177=""),"",P177/N177)</f>
        <v/>
      </c>
      <c r="U177" s="377" t="str">
        <f t="shared" ref="U177:U200" si="23">IF(ISBLANK(M177),"",IF(ABS(N177-$B$48)&lt;=$B$50*$X$43,"IN","OUT"))</f>
        <v/>
      </c>
    </row>
    <row r="178" spans="1:21" ht="13" x14ac:dyDescent="0.15">
      <c r="A178" s="484"/>
      <c r="B178" s="485"/>
      <c r="C178" s="485"/>
      <c r="D178" s="486"/>
      <c r="M178" s="478"/>
      <c r="N178" s="479"/>
      <c r="O178" s="479"/>
      <c r="P178" s="479"/>
      <c r="Q178" s="479" t="str">
        <f t="shared" si="19"/>
        <v/>
      </c>
      <c r="R178" s="479" t="str">
        <f t="shared" si="20"/>
        <v/>
      </c>
      <c r="S178" s="479" t="str">
        <f t="shared" si="21"/>
        <v/>
      </c>
      <c r="T178" s="388" t="str">
        <f t="shared" si="22"/>
        <v/>
      </c>
      <c r="U178" s="377" t="str">
        <f t="shared" si="23"/>
        <v/>
      </c>
    </row>
    <row r="179" spans="1:21" ht="13" x14ac:dyDescent="0.15">
      <c r="A179" s="484"/>
      <c r="B179" s="485"/>
      <c r="C179" s="485"/>
      <c r="D179" s="486"/>
      <c r="M179" s="478"/>
      <c r="N179" s="479"/>
      <c r="O179" s="479"/>
      <c r="P179" s="479"/>
      <c r="Q179" s="479" t="str">
        <f t="shared" si="19"/>
        <v/>
      </c>
      <c r="R179" s="479" t="str">
        <f t="shared" si="20"/>
        <v/>
      </c>
      <c r="S179" s="479" t="str">
        <f t="shared" si="21"/>
        <v/>
      </c>
      <c r="T179" s="388" t="str">
        <f t="shared" si="22"/>
        <v/>
      </c>
      <c r="U179" s="377" t="str">
        <f t="shared" si="23"/>
        <v/>
      </c>
    </row>
    <row r="180" spans="1:21" ht="13" x14ac:dyDescent="0.15">
      <c r="A180" s="484"/>
      <c r="B180" s="485"/>
      <c r="C180" s="485"/>
      <c r="D180" s="486"/>
      <c r="M180" s="478"/>
      <c r="N180" s="479"/>
      <c r="O180" s="479"/>
      <c r="P180" s="479"/>
      <c r="Q180" s="479" t="str">
        <f t="shared" si="19"/>
        <v/>
      </c>
      <c r="R180" s="479" t="str">
        <f t="shared" si="20"/>
        <v/>
      </c>
      <c r="S180" s="479" t="str">
        <f t="shared" si="21"/>
        <v/>
      </c>
      <c r="T180" s="388" t="str">
        <f t="shared" si="22"/>
        <v/>
      </c>
      <c r="U180" s="377" t="str">
        <f t="shared" si="23"/>
        <v/>
      </c>
    </row>
    <row r="181" spans="1:21" ht="13" x14ac:dyDescent="0.15">
      <c r="A181" s="484"/>
      <c r="B181" s="485"/>
      <c r="C181" s="485"/>
      <c r="D181" s="486"/>
      <c r="M181" s="478"/>
      <c r="N181" s="479"/>
      <c r="O181" s="479"/>
      <c r="P181" s="479"/>
      <c r="Q181" s="479" t="str">
        <f t="shared" si="19"/>
        <v/>
      </c>
      <c r="R181" s="479" t="str">
        <f t="shared" si="20"/>
        <v/>
      </c>
      <c r="S181" s="479" t="str">
        <f t="shared" si="21"/>
        <v/>
      </c>
      <c r="T181" s="388" t="str">
        <f t="shared" si="22"/>
        <v/>
      </c>
      <c r="U181" s="377" t="str">
        <f t="shared" si="23"/>
        <v/>
      </c>
    </row>
    <row r="182" spans="1:21" ht="13" x14ac:dyDescent="0.15">
      <c r="A182" s="484"/>
      <c r="B182" s="485"/>
      <c r="C182" s="485"/>
      <c r="D182" s="486"/>
      <c r="M182" s="478"/>
      <c r="N182" s="479"/>
      <c r="O182" s="479"/>
      <c r="P182" s="479"/>
      <c r="Q182" s="479" t="str">
        <f t="shared" si="19"/>
        <v/>
      </c>
      <c r="R182" s="479" t="str">
        <f t="shared" si="20"/>
        <v/>
      </c>
      <c r="S182" s="479" t="str">
        <f t="shared" si="21"/>
        <v/>
      </c>
      <c r="T182" s="388" t="str">
        <f t="shared" si="22"/>
        <v/>
      </c>
      <c r="U182" s="377" t="str">
        <f t="shared" si="23"/>
        <v/>
      </c>
    </row>
    <row r="183" spans="1:21" ht="13" x14ac:dyDescent="0.15">
      <c r="A183" s="484"/>
      <c r="B183" s="485"/>
      <c r="C183" s="485"/>
      <c r="D183" s="486"/>
      <c r="M183" s="478"/>
      <c r="N183" s="479"/>
      <c r="O183" s="479"/>
      <c r="P183" s="479"/>
      <c r="Q183" s="479" t="str">
        <f t="shared" si="19"/>
        <v/>
      </c>
      <c r="R183" s="479" t="str">
        <f t="shared" si="20"/>
        <v/>
      </c>
      <c r="S183" s="479" t="str">
        <f t="shared" si="21"/>
        <v/>
      </c>
      <c r="T183" s="388" t="str">
        <f t="shared" si="22"/>
        <v/>
      </c>
      <c r="U183" s="377" t="str">
        <f t="shared" si="23"/>
        <v/>
      </c>
    </row>
    <row r="184" spans="1:21" ht="13" x14ac:dyDescent="0.15">
      <c r="A184" s="484"/>
      <c r="B184" s="485"/>
      <c r="C184" s="485"/>
      <c r="D184" s="486"/>
      <c r="M184" s="478"/>
      <c r="N184" s="479"/>
      <c r="O184" s="479"/>
      <c r="P184" s="479"/>
      <c r="Q184" s="479" t="str">
        <f t="shared" si="19"/>
        <v/>
      </c>
      <c r="R184" s="479" t="str">
        <f t="shared" si="20"/>
        <v/>
      </c>
      <c r="S184" s="479" t="str">
        <f t="shared" si="21"/>
        <v/>
      </c>
      <c r="T184" s="388" t="str">
        <f t="shared" si="22"/>
        <v/>
      </c>
      <c r="U184" s="377" t="str">
        <f t="shared" si="23"/>
        <v/>
      </c>
    </row>
    <row r="185" spans="1:21" ht="13" x14ac:dyDescent="0.15">
      <c r="A185" s="484"/>
      <c r="B185" s="485"/>
      <c r="C185" s="485"/>
      <c r="D185" s="486"/>
      <c r="M185" s="478"/>
      <c r="N185" s="479"/>
      <c r="O185" s="479"/>
      <c r="P185" s="479"/>
      <c r="Q185" s="479" t="str">
        <f t="shared" si="19"/>
        <v/>
      </c>
      <c r="R185" s="479" t="str">
        <f t="shared" si="20"/>
        <v/>
      </c>
      <c r="S185" s="479" t="str">
        <f t="shared" si="21"/>
        <v/>
      </c>
      <c r="T185" s="388" t="str">
        <f t="shared" si="22"/>
        <v/>
      </c>
      <c r="U185" s="377" t="str">
        <f t="shared" si="23"/>
        <v/>
      </c>
    </row>
    <row r="186" spans="1:21" ht="13" x14ac:dyDescent="0.15">
      <c r="A186" s="484"/>
      <c r="B186" s="485"/>
      <c r="C186" s="485"/>
      <c r="D186" s="486"/>
      <c r="M186" s="478"/>
      <c r="N186" s="479"/>
      <c r="O186" s="479"/>
      <c r="P186" s="479"/>
      <c r="Q186" s="479" t="str">
        <f t="shared" si="19"/>
        <v/>
      </c>
      <c r="R186" s="479" t="str">
        <f t="shared" si="20"/>
        <v/>
      </c>
      <c r="S186" s="479" t="str">
        <f t="shared" si="21"/>
        <v/>
      </c>
      <c r="T186" s="388" t="str">
        <f t="shared" si="22"/>
        <v/>
      </c>
      <c r="U186" s="377" t="str">
        <f t="shared" si="23"/>
        <v/>
      </c>
    </row>
    <row r="187" spans="1:21" ht="13" x14ac:dyDescent="0.15">
      <c r="A187" s="484"/>
      <c r="B187" s="485"/>
      <c r="C187" s="485"/>
      <c r="D187" s="486"/>
      <c r="M187" s="478"/>
      <c r="N187" s="479"/>
      <c r="O187" s="479"/>
      <c r="P187" s="479"/>
      <c r="Q187" s="479" t="str">
        <f t="shared" si="19"/>
        <v/>
      </c>
      <c r="R187" s="479" t="str">
        <f t="shared" si="20"/>
        <v/>
      </c>
      <c r="S187" s="479" t="str">
        <f t="shared" si="21"/>
        <v/>
      </c>
      <c r="T187" s="388" t="str">
        <f t="shared" si="22"/>
        <v/>
      </c>
      <c r="U187" s="377" t="str">
        <f t="shared" si="23"/>
        <v/>
      </c>
    </row>
    <row r="188" spans="1:21" ht="13" x14ac:dyDescent="0.15">
      <c r="A188" s="484"/>
      <c r="B188" s="485"/>
      <c r="C188" s="485"/>
      <c r="D188" s="486"/>
      <c r="M188" s="478"/>
      <c r="N188" s="479"/>
      <c r="O188" s="479"/>
      <c r="P188" s="479"/>
      <c r="Q188" s="479" t="str">
        <f t="shared" si="19"/>
        <v/>
      </c>
      <c r="R188" s="479" t="str">
        <f t="shared" si="20"/>
        <v/>
      </c>
      <c r="S188" s="479" t="str">
        <f t="shared" si="21"/>
        <v/>
      </c>
      <c r="T188" s="388" t="str">
        <f t="shared" si="22"/>
        <v/>
      </c>
      <c r="U188" s="377" t="str">
        <f t="shared" si="23"/>
        <v/>
      </c>
    </row>
    <row r="189" spans="1:21" ht="13" x14ac:dyDescent="0.15">
      <c r="A189" s="484"/>
      <c r="B189" s="485"/>
      <c r="C189" s="485"/>
      <c r="D189" s="486"/>
      <c r="M189" s="478"/>
      <c r="N189" s="479"/>
      <c r="O189" s="479"/>
      <c r="P189" s="479"/>
      <c r="Q189" s="479" t="str">
        <f t="shared" si="19"/>
        <v/>
      </c>
      <c r="R189" s="479" t="str">
        <f t="shared" si="20"/>
        <v/>
      </c>
      <c r="S189" s="479" t="str">
        <f t="shared" si="21"/>
        <v/>
      </c>
      <c r="T189" s="388" t="str">
        <f t="shared" si="22"/>
        <v/>
      </c>
      <c r="U189" s="377" t="str">
        <f t="shared" si="23"/>
        <v/>
      </c>
    </row>
    <row r="190" spans="1:21" ht="13" x14ac:dyDescent="0.15">
      <c r="A190" s="484"/>
      <c r="B190" s="485"/>
      <c r="C190" s="485"/>
      <c r="D190" s="486"/>
      <c r="M190" s="478"/>
      <c r="N190" s="479"/>
      <c r="O190" s="479"/>
      <c r="P190" s="479"/>
      <c r="Q190" s="479" t="str">
        <f t="shared" si="19"/>
        <v/>
      </c>
      <c r="R190" s="479" t="str">
        <f t="shared" si="20"/>
        <v/>
      </c>
      <c r="S190" s="479" t="str">
        <f t="shared" si="21"/>
        <v/>
      </c>
      <c r="T190" s="388" t="str">
        <f t="shared" si="22"/>
        <v/>
      </c>
      <c r="U190" s="377" t="str">
        <f t="shared" si="23"/>
        <v/>
      </c>
    </row>
    <row r="191" spans="1:21" ht="13" x14ac:dyDescent="0.15">
      <c r="A191" s="484"/>
      <c r="B191" s="485"/>
      <c r="C191" s="485"/>
      <c r="D191" s="486"/>
      <c r="M191" s="478"/>
      <c r="N191" s="479"/>
      <c r="O191" s="479"/>
      <c r="P191" s="479"/>
      <c r="Q191" s="479" t="str">
        <f t="shared" si="19"/>
        <v/>
      </c>
      <c r="R191" s="479" t="str">
        <f t="shared" si="20"/>
        <v/>
      </c>
      <c r="S191" s="479" t="str">
        <f t="shared" si="21"/>
        <v/>
      </c>
      <c r="T191" s="388" t="str">
        <f t="shared" si="22"/>
        <v/>
      </c>
      <c r="U191" s="377" t="str">
        <f t="shared" si="23"/>
        <v/>
      </c>
    </row>
    <row r="192" spans="1:21" ht="13" x14ac:dyDescent="0.15">
      <c r="A192" s="484"/>
      <c r="B192" s="485"/>
      <c r="C192" s="485"/>
      <c r="D192" s="486"/>
      <c r="M192" s="478"/>
      <c r="N192" s="479"/>
      <c r="O192" s="479"/>
      <c r="P192" s="479"/>
      <c r="Q192" s="479" t="str">
        <f t="shared" si="19"/>
        <v/>
      </c>
      <c r="R192" s="479" t="str">
        <f t="shared" si="20"/>
        <v/>
      </c>
      <c r="S192" s="479" t="str">
        <f t="shared" si="21"/>
        <v/>
      </c>
      <c r="T192" s="388" t="str">
        <f t="shared" si="22"/>
        <v/>
      </c>
      <c r="U192" s="377" t="str">
        <f t="shared" si="23"/>
        <v/>
      </c>
    </row>
    <row r="193" spans="1:21" ht="13" x14ac:dyDescent="0.15">
      <c r="A193" s="484"/>
      <c r="B193" s="485"/>
      <c r="C193" s="485"/>
      <c r="D193" s="486"/>
      <c r="M193" s="478"/>
      <c r="N193" s="479"/>
      <c r="O193" s="479"/>
      <c r="P193" s="479"/>
      <c r="Q193" s="479" t="str">
        <f t="shared" si="19"/>
        <v/>
      </c>
      <c r="R193" s="479" t="str">
        <f t="shared" si="20"/>
        <v/>
      </c>
      <c r="S193" s="479" t="str">
        <f t="shared" si="21"/>
        <v/>
      </c>
      <c r="T193" s="388" t="str">
        <f t="shared" si="22"/>
        <v/>
      </c>
      <c r="U193" s="377" t="str">
        <f t="shared" si="23"/>
        <v/>
      </c>
    </row>
    <row r="194" spans="1:21" ht="13" x14ac:dyDescent="0.15">
      <c r="A194" s="484"/>
      <c r="B194" s="485"/>
      <c r="C194" s="485"/>
      <c r="D194" s="486"/>
      <c r="M194" s="478"/>
      <c r="N194" s="479"/>
      <c r="O194" s="479"/>
      <c r="P194" s="479"/>
      <c r="Q194" s="479" t="str">
        <f t="shared" si="19"/>
        <v/>
      </c>
      <c r="R194" s="479" t="str">
        <f t="shared" si="20"/>
        <v/>
      </c>
      <c r="S194" s="479" t="str">
        <f t="shared" si="21"/>
        <v/>
      </c>
      <c r="T194" s="388" t="str">
        <f t="shared" si="22"/>
        <v/>
      </c>
      <c r="U194" s="377" t="str">
        <f t="shared" si="23"/>
        <v/>
      </c>
    </row>
    <row r="195" spans="1:21" ht="13" x14ac:dyDescent="0.15">
      <c r="A195" s="484"/>
      <c r="B195" s="485"/>
      <c r="C195" s="485"/>
      <c r="D195" s="486"/>
      <c r="M195" s="478"/>
      <c r="N195" s="479"/>
      <c r="O195" s="479"/>
      <c r="P195" s="479"/>
      <c r="Q195" s="479" t="str">
        <f t="shared" si="19"/>
        <v/>
      </c>
      <c r="R195" s="479" t="str">
        <f t="shared" si="20"/>
        <v/>
      </c>
      <c r="S195" s="479" t="str">
        <f t="shared" si="21"/>
        <v/>
      </c>
      <c r="T195" s="388" t="str">
        <f t="shared" si="22"/>
        <v/>
      </c>
      <c r="U195" s="377" t="str">
        <f t="shared" si="23"/>
        <v/>
      </c>
    </row>
    <row r="196" spans="1:21" ht="13" x14ac:dyDescent="0.15">
      <c r="A196" s="484"/>
      <c r="B196" s="485"/>
      <c r="C196" s="485"/>
      <c r="D196" s="486"/>
      <c r="M196" s="478"/>
      <c r="N196" s="479"/>
      <c r="O196" s="479"/>
      <c r="P196" s="479"/>
      <c r="Q196" s="479" t="str">
        <f t="shared" si="19"/>
        <v/>
      </c>
      <c r="R196" s="479" t="str">
        <f t="shared" si="20"/>
        <v/>
      </c>
      <c r="S196" s="479" t="str">
        <f t="shared" si="21"/>
        <v/>
      </c>
      <c r="T196" s="388" t="str">
        <f t="shared" si="22"/>
        <v/>
      </c>
      <c r="U196" s="377" t="str">
        <f t="shared" si="23"/>
        <v/>
      </c>
    </row>
    <row r="197" spans="1:21" ht="13" x14ac:dyDescent="0.15">
      <c r="A197" s="484"/>
      <c r="B197" s="485"/>
      <c r="C197" s="485"/>
      <c r="D197" s="486"/>
      <c r="M197" s="478"/>
      <c r="N197" s="479"/>
      <c r="O197" s="479"/>
      <c r="P197" s="479"/>
      <c r="Q197" s="479" t="str">
        <f t="shared" si="19"/>
        <v/>
      </c>
      <c r="R197" s="479" t="str">
        <f t="shared" si="20"/>
        <v/>
      </c>
      <c r="S197" s="479" t="str">
        <f t="shared" si="21"/>
        <v/>
      </c>
      <c r="T197" s="388" t="str">
        <f t="shared" si="22"/>
        <v/>
      </c>
      <c r="U197" s="377" t="str">
        <f t="shared" si="23"/>
        <v/>
      </c>
    </row>
    <row r="198" spans="1:21" ht="13" x14ac:dyDescent="0.15">
      <c r="A198" s="484"/>
      <c r="B198" s="485"/>
      <c r="C198" s="485"/>
      <c r="D198" s="486"/>
      <c r="M198" s="478"/>
      <c r="N198" s="479"/>
      <c r="O198" s="479"/>
      <c r="P198" s="479"/>
      <c r="Q198" s="479" t="str">
        <f t="shared" si="19"/>
        <v/>
      </c>
      <c r="R198" s="479" t="str">
        <f t="shared" si="20"/>
        <v/>
      </c>
      <c r="S198" s="479" t="str">
        <f t="shared" si="21"/>
        <v/>
      </c>
      <c r="T198" s="388" t="str">
        <f t="shared" si="22"/>
        <v/>
      </c>
      <c r="U198" s="377" t="str">
        <f t="shared" si="23"/>
        <v/>
      </c>
    </row>
    <row r="199" spans="1:21" ht="13" x14ac:dyDescent="0.15">
      <c r="A199" s="484"/>
      <c r="B199" s="485"/>
      <c r="C199" s="485"/>
      <c r="D199" s="486"/>
      <c r="M199" s="478"/>
      <c r="N199" s="479"/>
      <c r="O199" s="479"/>
      <c r="P199" s="479"/>
      <c r="Q199" s="479" t="str">
        <f t="shared" si="19"/>
        <v/>
      </c>
      <c r="R199" s="479" t="str">
        <f t="shared" si="20"/>
        <v/>
      </c>
      <c r="S199" s="479" t="str">
        <f t="shared" si="21"/>
        <v/>
      </c>
      <c r="T199" s="388" t="str">
        <f t="shared" si="22"/>
        <v/>
      </c>
      <c r="U199" s="377" t="str">
        <f t="shared" si="23"/>
        <v/>
      </c>
    </row>
    <row r="200" spans="1:21" ht="14" thickBot="1" x14ac:dyDescent="0.2">
      <c r="A200" s="487"/>
      <c r="B200" s="488"/>
      <c r="C200" s="488"/>
      <c r="D200" s="489"/>
      <c r="M200" s="478"/>
      <c r="N200" s="479"/>
      <c r="O200" s="479"/>
      <c r="P200" s="479"/>
      <c r="Q200" s="479" t="str">
        <f t="shared" si="19"/>
        <v/>
      </c>
      <c r="R200" s="479" t="str">
        <f t="shared" si="20"/>
        <v/>
      </c>
      <c r="S200" s="479" t="str">
        <f t="shared" si="21"/>
        <v/>
      </c>
      <c r="T200" s="388" t="str">
        <f t="shared" si="22"/>
        <v/>
      </c>
      <c r="U200" s="377" t="str">
        <f t="shared" si="23"/>
        <v/>
      </c>
    </row>
    <row r="201" spans="1:21" ht="13" x14ac:dyDescent="0.15">
      <c r="T201" s="361"/>
      <c r="U201" s="362"/>
    </row>
    <row r="202" spans="1:21" ht="13" x14ac:dyDescent="0.15">
      <c r="T202" s="361"/>
      <c r="U202" s="362"/>
    </row>
    <row r="203" spans="1:21" ht="13" x14ac:dyDescent="0.15">
      <c r="T203" s="361"/>
      <c r="U203" s="362"/>
    </row>
    <row r="204" spans="1:21" ht="13" x14ac:dyDescent="0.15">
      <c r="T204" s="361"/>
      <c r="U204" s="362"/>
    </row>
    <row r="205" spans="1:21" ht="13" x14ac:dyDescent="0.15">
      <c r="T205" s="361"/>
      <c r="U205" s="362"/>
    </row>
    <row r="206" spans="1:21" ht="13" x14ac:dyDescent="0.15">
      <c r="T206" s="361"/>
      <c r="U206" s="362"/>
    </row>
    <row r="207" spans="1:21" ht="13" x14ac:dyDescent="0.15">
      <c r="T207" s="361"/>
      <c r="U207" s="362"/>
    </row>
    <row r="208" spans="1:21" ht="13" x14ac:dyDescent="0.15">
      <c r="T208" s="361"/>
      <c r="U208" s="362"/>
    </row>
    <row r="209" spans="20:21" ht="13" x14ac:dyDescent="0.15">
      <c r="T209" s="361"/>
      <c r="U209" s="362"/>
    </row>
    <row r="210" spans="20:21" ht="13" x14ac:dyDescent="0.15">
      <c r="T210" s="361"/>
      <c r="U210" s="362"/>
    </row>
  </sheetData>
  <mergeCells count="2">
    <mergeCell ref="M45:U45"/>
    <mergeCell ref="G79:H79"/>
  </mergeCells>
  <conditionalFormatting sqref="A81:D200 M49:U200">
    <cfRule type="containsBlanks" dxfId="2" priority="10">
      <formula>LEN(TRIM(A49))=0</formula>
    </cfRule>
  </conditionalFormatting>
  <conditionalFormatting sqref="C81:C200">
    <cfRule type="expression" dxfId="1" priority="1">
      <formula>A81&lt;&gt;""</formula>
    </cfRule>
  </conditionalFormatting>
  <conditionalFormatting sqref="M48:U200">
    <cfRule type="expression" dxfId="0" priority="9">
      <formula>AND($T48&lt;&gt;"",$T48&gt;0.0049)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19</vt:i4>
      </vt:variant>
    </vt:vector>
  </HeadingPairs>
  <TitlesOfParts>
    <vt:vector size="27" baseType="lpstr">
      <vt:lpstr>Ratio Data</vt:lpstr>
      <vt:lpstr>Vendor Data</vt:lpstr>
      <vt:lpstr>Standards Data</vt:lpstr>
      <vt:lpstr>Past LS</vt:lpstr>
      <vt:lpstr>Ratio Analysis</vt:lpstr>
      <vt:lpstr>Std Analysis</vt:lpstr>
      <vt:lpstr>Certified Value</vt:lpstr>
      <vt:lpstr>RCertification</vt:lpstr>
      <vt:lpstr>CertifiedValue</vt:lpstr>
      <vt:lpstr>DegFree</vt:lpstr>
      <vt:lpstr>fef</vt:lpstr>
      <vt:lpstr>Intercept</vt:lpstr>
      <vt:lpstr>MeanRatio</vt:lpstr>
      <vt:lpstr>'Certified Value'!Print_Area</vt:lpstr>
      <vt:lpstr>'Past LS'!Print_Area</vt:lpstr>
      <vt:lpstr>'Ratio Analysis'!Print_Area</vt:lpstr>
      <vt:lpstr>'Ratio Data'!Print_Area</vt:lpstr>
      <vt:lpstr>RatioData</vt:lpstr>
      <vt:lpstr>Regdf</vt:lpstr>
      <vt:lpstr>SConc</vt:lpstr>
      <vt:lpstr>ScottData</vt:lpstr>
      <vt:lpstr>Slope</vt:lpstr>
      <vt:lpstr>SRatio</vt:lpstr>
      <vt:lpstr>StdUnc</vt:lpstr>
      <vt:lpstr>uintercept</vt:lpstr>
      <vt:lpstr>umb</vt:lpstr>
      <vt:lpstr>uslope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Frank Guenther</dc:creator>
  <dc:description/>
  <cp:lastModifiedBy>Krekelberg, William P. (Fed)</cp:lastModifiedBy>
  <cp:revision>0</cp:revision>
  <cp:lastPrinted>2003-09-25T10:28:51Z</cp:lastPrinted>
  <dcterms:created xsi:type="dcterms:W3CDTF">1997-07-09T12:41:46Z</dcterms:created>
  <dcterms:modified xsi:type="dcterms:W3CDTF">2026-09-25T02:22:58Z</dcterms:modified>
  <dc:language>en-US</dc:language>
</cp:coreProperties>
</file>