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wpk/gits/nist-gas-srm-certificate/nist-gas-srm/tmp/"/>
    </mc:Choice>
  </mc:AlternateContent>
  <xr:revisionPtr revIDLastSave="0" documentId="8_{5DCF50FD-A4B8-BE44-98FB-7741F0A974D6}" xr6:coauthVersionLast="47" xr6:coauthVersionMax="47" xr10:uidLastSave="{00000000-0000-0000-0000-000000000000}"/>
  <bookViews>
    <workbookView xWindow="32760" yWindow="600" windowWidth="32760" windowHeight="18200" tabRatio="858" activeTab="7" xr2:uid="{2A1893EB-6F6E-404A-872C-1B9D5A7DE656}"/>
  </bookViews>
  <sheets>
    <sheet name="Ratio Data" sheetId="1" r:id="rId1"/>
    <sheet name="Vendor Data" sheetId="2" r:id="rId2"/>
    <sheet name="Standards Data" sheetId="3" r:id="rId3"/>
    <sheet name="Past LS" sheetId="4" r:id="rId4"/>
    <sheet name="Ratio Analysis" sheetId="5" r:id="rId5"/>
    <sheet name="Std Analysis" sheetId="6" r:id="rId6"/>
    <sheet name="Certified Value" sheetId="7" r:id="rId7"/>
    <sheet name="RCertification" sheetId="9" r:id="rId8"/>
  </sheets>
  <definedNames>
    <definedName name="_xlnm._FilterDatabase" localSheetId="3" hidden="1">'Past LS'!$A$2:$F$2</definedName>
    <definedName name="_xlnm._FilterDatabase" localSheetId="0" hidden="1">'Ratio Data'!$A$1:$I$1412</definedName>
    <definedName name="_xlnm._FilterDatabase" localSheetId="2" hidden="1">'Standards Data'!$A$1:$E$57</definedName>
    <definedName name="_xlnm._FilterDatabase" localSheetId="1" hidden="1">'Vendor Data'!$A$1:$D$1</definedName>
    <definedName name="CertifiedValue">'Certified Value'!$C$4</definedName>
    <definedName name="DegFree">'Ratio Analysis'!$F$189</definedName>
    <definedName name="fef">'Certified Value'!$C$4</definedName>
    <definedName name="Intercept">'Std Analysis'!$I$5</definedName>
    <definedName name="MeanRatio">'Ratio Analysis'!$F$187</definedName>
    <definedName name="_xlnm.Print_Area" localSheetId="6">'Certified Value'!$A$1:$H$43</definedName>
    <definedName name="_xlnm.Print_Area" localSheetId="3">'Past LS'!$A$1:$O$16</definedName>
    <definedName name="_xlnm.Print_Area" localSheetId="4">'Ratio Analysis'!$A$1:$Q$191</definedName>
    <definedName name="_xlnm.Print_Area" localSheetId="0">'Ratio Data'!$A$1:$G$65</definedName>
    <definedName name="_xlnm.Print_Area" localSheetId="1">'Vendor Data'!$1:$1048576</definedName>
    <definedName name="RatioData">'Ratio Data'!$A$1:$G$1412</definedName>
    <definedName name="RCodeOptions">#REF!</definedName>
    <definedName name="Regdf">'Std Analysis'!$I$7</definedName>
    <definedName name="SConc">'Standards Data'!$D$2:$D$200</definedName>
    <definedName name="ScottData">'Vendor Data'!$D$2:$D$9997</definedName>
    <definedName name="Slope">'Std Analysis'!$I$3</definedName>
    <definedName name="SRatio">'Standards Data'!$C$2:$C$200</definedName>
    <definedName name="StdUnc">'Ratio Analysis'!$F$188</definedName>
    <definedName name="uintercept">'Std Analysis'!$I$6</definedName>
    <definedName name="umb">'Std Analysis'!$I$8</definedName>
    <definedName name="uslope">'Std Analysis'!$I$4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9" l="1"/>
  <c r="I48" i="9"/>
  <c r="J48" i="9"/>
  <c r="K48" i="9"/>
  <c r="T48" i="9"/>
  <c r="U48" i="9"/>
  <c r="X48" i="9"/>
  <c r="Y48" i="9"/>
  <c r="Z48" i="9"/>
  <c r="I49" i="9"/>
  <c r="J49" i="9"/>
  <c r="K49" i="9"/>
  <c r="T49" i="9"/>
  <c r="U49" i="9"/>
  <c r="X49" i="9"/>
  <c r="Y49" i="9"/>
  <c r="I50" i="9"/>
  <c r="J50" i="9"/>
  <c r="K50" i="9"/>
  <c r="T50" i="9"/>
  <c r="U50" i="9"/>
  <c r="X50" i="9"/>
  <c r="Y50" i="9"/>
  <c r="I51" i="9"/>
  <c r="J51" i="9"/>
  <c r="K51" i="9"/>
  <c r="T51" i="9"/>
  <c r="U51" i="9"/>
  <c r="X51" i="9"/>
  <c r="Y51" i="9"/>
  <c r="T52" i="9"/>
  <c r="U52" i="9"/>
  <c r="X52" i="9"/>
  <c r="Y52" i="9"/>
  <c r="T53" i="9"/>
  <c r="U53" i="9"/>
  <c r="X53" i="9"/>
  <c r="Y53" i="9"/>
  <c r="T54" i="9"/>
  <c r="U54" i="9"/>
  <c r="X54" i="9"/>
  <c r="Y54" i="9"/>
  <c r="T55" i="9"/>
  <c r="U55" i="9"/>
  <c r="X55" i="9"/>
  <c r="Y55" i="9"/>
  <c r="T56" i="9"/>
  <c r="U56" i="9"/>
  <c r="W56" i="9"/>
  <c r="X56" i="9"/>
  <c r="Y56" i="9"/>
  <c r="T57" i="9"/>
  <c r="U57" i="9"/>
  <c r="W57" i="9"/>
  <c r="X57" i="9"/>
  <c r="Y57" i="9"/>
  <c r="T58" i="9"/>
  <c r="U58" i="9"/>
  <c r="X58" i="9"/>
  <c r="Y58" i="9"/>
  <c r="T59" i="9"/>
  <c r="U59" i="9"/>
  <c r="X59" i="9"/>
  <c r="Y59" i="9"/>
  <c r="F60" i="9"/>
  <c r="G60" i="9"/>
  <c r="T60" i="9"/>
  <c r="U60" i="9"/>
  <c r="X60" i="9"/>
  <c r="Y60" i="9"/>
  <c r="F61" i="9"/>
  <c r="G61" i="9"/>
  <c r="T61" i="9"/>
  <c r="U61" i="9"/>
  <c r="X61" i="9"/>
  <c r="Y61" i="9"/>
  <c r="F62" i="9"/>
  <c r="G62" i="9"/>
  <c r="T62" i="9"/>
  <c r="U62" i="9"/>
  <c r="X62" i="9"/>
  <c r="Y62" i="9"/>
  <c r="F63" i="9"/>
  <c r="G63" i="9"/>
  <c r="T63" i="9"/>
  <c r="U63" i="9"/>
  <c r="X63" i="9"/>
  <c r="Y63" i="9"/>
  <c r="F64" i="9"/>
  <c r="G64" i="9"/>
  <c r="H64" i="9"/>
  <c r="I64" i="9"/>
  <c r="T64" i="9"/>
  <c r="U64" i="9"/>
  <c r="X64" i="9"/>
  <c r="Y64" i="9"/>
  <c r="F65" i="9"/>
  <c r="G65" i="9"/>
  <c r="H65" i="9"/>
  <c r="I65" i="9"/>
  <c r="T65" i="9"/>
  <c r="U65" i="9"/>
  <c r="X65" i="9"/>
  <c r="Y65" i="9"/>
  <c r="F66" i="9"/>
  <c r="G66" i="9"/>
  <c r="H66" i="9"/>
  <c r="I66" i="9"/>
  <c r="T66" i="9"/>
  <c r="U66" i="9"/>
  <c r="X66" i="9"/>
  <c r="Y66" i="9"/>
  <c r="F67" i="9"/>
  <c r="G67" i="9"/>
  <c r="H67" i="9"/>
  <c r="I67" i="9"/>
  <c r="T67" i="9"/>
  <c r="U67" i="9"/>
  <c r="X67" i="9"/>
  <c r="Y67" i="9"/>
  <c r="F68" i="9"/>
  <c r="G68" i="9"/>
  <c r="H68" i="9"/>
  <c r="I68" i="9"/>
  <c r="T68" i="9"/>
  <c r="U68" i="9"/>
  <c r="X68" i="9"/>
  <c r="Y68" i="9"/>
  <c r="F69" i="9"/>
  <c r="G69" i="9"/>
  <c r="H69" i="9"/>
  <c r="I69" i="9"/>
  <c r="T69" i="9"/>
  <c r="U69" i="9"/>
  <c r="X69" i="9"/>
  <c r="Y69" i="9"/>
  <c r="T70" i="9"/>
  <c r="U70" i="9"/>
  <c r="X70" i="9"/>
  <c r="Y70" i="9"/>
  <c r="T71" i="9"/>
  <c r="U71" i="9"/>
  <c r="X71" i="9"/>
  <c r="Y71" i="9"/>
  <c r="T72" i="9"/>
  <c r="U72" i="9"/>
  <c r="X72" i="9"/>
  <c r="Y72" i="9"/>
  <c r="T73" i="9"/>
  <c r="U73" i="9"/>
  <c r="X73" i="9"/>
  <c r="Y73" i="9"/>
  <c r="T74" i="9"/>
  <c r="U74" i="9"/>
  <c r="X74" i="9"/>
  <c r="Y74" i="9"/>
  <c r="T75" i="9"/>
  <c r="U75" i="9"/>
  <c r="X75" i="9"/>
  <c r="Y75" i="9"/>
  <c r="T76" i="9"/>
  <c r="U76" i="9"/>
  <c r="X76" i="9"/>
  <c r="Y76" i="9"/>
  <c r="T77" i="9"/>
  <c r="U77" i="9"/>
  <c r="T78" i="9"/>
  <c r="U78" i="9"/>
  <c r="T79" i="9"/>
  <c r="U79" i="9"/>
  <c r="T80" i="9"/>
  <c r="U80" i="9"/>
  <c r="T81" i="9"/>
  <c r="U81" i="9"/>
  <c r="T82" i="9"/>
  <c r="U82" i="9"/>
  <c r="T83" i="9"/>
  <c r="U83" i="9"/>
  <c r="T84" i="9"/>
  <c r="U84" i="9"/>
  <c r="T85" i="9"/>
  <c r="U85" i="9"/>
  <c r="T86" i="9"/>
  <c r="U86" i="9"/>
  <c r="T87" i="9"/>
  <c r="U87" i="9"/>
  <c r="T88" i="9"/>
  <c r="U88" i="9"/>
  <c r="T89" i="9"/>
  <c r="U89" i="9"/>
  <c r="T90" i="9"/>
  <c r="U90" i="9"/>
  <c r="T91" i="9"/>
  <c r="U91" i="9"/>
  <c r="T92" i="9"/>
  <c r="U92" i="9"/>
  <c r="T93" i="9"/>
  <c r="U93" i="9"/>
  <c r="T94" i="9"/>
  <c r="U94" i="9"/>
  <c r="T95" i="9"/>
  <c r="U95" i="9"/>
  <c r="T96" i="9"/>
  <c r="U96" i="9"/>
  <c r="T97" i="9"/>
  <c r="U97" i="9"/>
  <c r="T98" i="9"/>
  <c r="U98" i="9"/>
  <c r="T99" i="9"/>
  <c r="U99" i="9"/>
  <c r="T100" i="9"/>
  <c r="U100" i="9"/>
  <c r="T101" i="9"/>
  <c r="U101" i="9"/>
  <c r="T102" i="9"/>
  <c r="U102" i="9"/>
  <c r="T103" i="9"/>
  <c r="U103" i="9"/>
  <c r="T104" i="9"/>
  <c r="U104" i="9"/>
  <c r="T105" i="9"/>
  <c r="U105" i="9"/>
  <c r="T106" i="9"/>
  <c r="U106" i="9"/>
  <c r="T107" i="9"/>
  <c r="U107" i="9"/>
  <c r="T108" i="9"/>
  <c r="U108" i="9"/>
  <c r="T109" i="9"/>
  <c r="U109" i="9"/>
  <c r="T110" i="9"/>
  <c r="U110" i="9"/>
  <c r="T111" i="9"/>
  <c r="U111" i="9"/>
  <c r="T112" i="9"/>
  <c r="U112" i="9"/>
  <c r="T113" i="9"/>
  <c r="U113" i="9"/>
  <c r="T114" i="9"/>
  <c r="U114" i="9"/>
  <c r="T115" i="9"/>
  <c r="U115" i="9"/>
  <c r="T116" i="9"/>
  <c r="U116" i="9"/>
  <c r="T117" i="9"/>
  <c r="U117" i="9"/>
  <c r="T118" i="9"/>
  <c r="U118" i="9"/>
  <c r="T119" i="9"/>
  <c r="U119" i="9"/>
  <c r="T120" i="9"/>
  <c r="U120" i="9"/>
  <c r="T121" i="9"/>
  <c r="U121" i="9"/>
  <c r="T122" i="9"/>
  <c r="U122" i="9"/>
  <c r="T123" i="9"/>
  <c r="U123" i="9"/>
  <c r="T124" i="9"/>
  <c r="U124" i="9"/>
  <c r="T125" i="9"/>
  <c r="U125" i="9"/>
  <c r="T126" i="9"/>
  <c r="U126" i="9"/>
  <c r="T127" i="9"/>
  <c r="U127" i="9"/>
  <c r="T128" i="9"/>
  <c r="U128" i="9"/>
  <c r="T129" i="9"/>
  <c r="U129" i="9"/>
  <c r="T130" i="9"/>
  <c r="U130" i="9"/>
  <c r="T131" i="9"/>
  <c r="U131" i="9"/>
  <c r="T132" i="9"/>
  <c r="U132" i="9"/>
  <c r="T133" i="9"/>
  <c r="U133" i="9"/>
  <c r="T134" i="9"/>
  <c r="U134" i="9"/>
  <c r="T135" i="9"/>
  <c r="U135" i="9"/>
  <c r="T136" i="9"/>
  <c r="U136" i="9"/>
  <c r="T137" i="9"/>
  <c r="U137" i="9"/>
  <c r="T138" i="9"/>
  <c r="U138" i="9"/>
  <c r="T139" i="9"/>
  <c r="U139" i="9"/>
  <c r="T140" i="9"/>
  <c r="U140" i="9"/>
  <c r="T141" i="9"/>
  <c r="U141" i="9"/>
  <c r="T142" i="9"/>
  <c r="U142" i="9"/>
  <c r="T143" i="9"/>
  <c r="U143" i="9"/>
  <c r="T144" i="9"/>
  <c r="U144" i="9"/>
  <c r="T145" i="9"/>
  <c r="U145" i="9"/>
  <c r="T146" i="9"/>
  <c r="U146" i="9"/>
  <c r="T147" i="9"/>
  <c r="U147" i="9"/>
  <c r="T148" i="9"/>
  <c r="U148" i="9"/>
  <c r="T149" i="9"/>
  <c r="U149" i="9"/>
  <c r="T150" i="9"/>
  <c r="U150" i="9"/>
  <c r="T151" i="9"/>
  <c r="U151" i="9"/>
  <c r="T152" i="9"/>
  <c r="U152" i="9"/>
  <c r="T153" i="9"/>
  <c r="U153" i="9"/>
  <c r="T154" i="9"/>
  <c r="U154" i="9"/>
  <c r="T155" i="9"/>
  <c r="U155" i="9"/>
  <c r="T156" i="9"/>
  <c r="U156" i="9"/>
  <c r="T157" i="9"/>
  <c r="U157" i="9"/>
  <c r="T158" i="9"/>
  <c r="U158" i="9"/>
  <c r="AD158" i="9"/>
  <c r="AE158" i="9"/>
  <c r="T159" i="9"/>
  <c r="U159" i="9"/>
  <c r="AD159" i="9"/>
  <c r="AE159" i="9"/>
  <c r="T160" i="9"/>
  <c r="U160" i="9"/>
  <c r="AD160" i="9"/>
  <c r="AE160" i="9"/>
  <c r="T161" i="9"/>
  <c r="U161" i="9"/>
  <c r="AD161" i="9"/>
  <c r="AE161" i="9"/>
  <c r="T162" i="9"/>
  <c r="U162" i="9"/>
  <c r="AD162" i="9"/>
  <c r="AE162" i="9"/>
  <c r="T163" i="9"/>
  <c r="U163" i="9"/>
  <c r="AD163" i="9"/>
  <c r="AE163" i="9"/>
  <c r="T164" i="9"/>
  <c r="U164" i="9"/>
  <c r="AD164" i="9"/>
  <c r="AE164" i="9"/>
  <c r="T165" i="9"/>
  <c r="U165" i="9"/>
  <c r="AD165" i="9"/>
  <c r="AE165" i="9"/>
  <c r="T166" i="9"/>
  <c r="U166" i="9"/>
  <c r="AD166" i="9"/>
  <c r="AE166" i="9"/>
  <c r="D4" i="7"/>
  <c r="D11" i="7"/>
  <c r="C12" i="7"/>
  <c r="D12" i="7"/>
  <c r="E12" i="7" s="1"/>
  <c r="D13" i="7"/>
  <c r="C27" i="7"/>
  <c r="F28" i="7"/>
  <c r="C30" i="7"/>
  <c r="F42" i="7"/>
  <c r="C43" i="7"/>
  <c r="E43" i="7"/>
  <c r="F43" i="7"/>
  <c r="G43" i="7"/>
  <c r="J43" i="7"/>
  <c r="C44" i="7"/>
  <c r="E44" i="7"/>
  <c r="F44" i="7"/>
  <c r="G44" i="7"/>
  <c r="D3" i="6"/>
  <c r="I3" i="6"/>
  <c r="D4" i="6"/>
  <c r="I4" i="6"/>
  <c r="I5" i="6"/>
  <c r="L2" i="6" s="1"/>
  <c r="L5" i="6"/>
  <c r="C54" i="9" s="1"/>
  <c r="D54" i="9" s="1"/>
  <c r="M5" i="6"/>
  <c r="C55" i="9" s="1"/>
  <c r="C56" i="9" s="1"/>
  <c r="C57" i="9" s="1"/>
  <c r="I6" i="6"/>
  <c r="I7" i="6"/>
  <c r="I8" i="6"/>
  <c r="T12" i="6"/>
  <c r="U12" i="6"/>
  <c r="J34" i="6"/>
  <c r="S36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C3" i="5"/>
  <c r="C23" i="5" s="1"/>
  <c r="D178" i="5" s="1"/>
  <c r="C4" i="5"/>
  <c r="C5" i="5"/>
  <c r="C33" i="5"/>
  <c r="D33" i="5"/>
  <c r="E33" i="5"/>
  <c r="F33" i="5"/>
  <c r="G33" i="5"/>
  <c r="H33" i="5"/>
  <c r="I33" i="5"/>
  <c r="J33" i="5"/>
  <c r="K33" i="5"/>
  <c r="L33" i="5"/>
  <c r="M33" i="5"/>
  <c r="N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C35" i="5"/>
  <c r="D35" i="5"/>
  <c r="F35" i="5"/>
  <c r="G35" i="5"/>
  <c r="H35" i="5"/>
  <c r="I35" i="5"/>
  <c r="K35" i="5"/>
  <c r="L35" i="5"/>
  <c r="M35" i="5"/>
  <c r="N35" i="5"/>
  <c r="C36" i="5"/>
  <c r="D36" i="5"/>
  <c r="F36" i="5"/>
  <c r="G36" i="5"/>
  <c r="H36" i="5"/>
  <c r="I36" i="5"/>
  <c r="K36" i="5"/>
  <c r="L36" i="5"/>
  <c r="M36" i="5"/>
  <c r="N36" i="5"/>
  <c r="C39" i="5"/>
  <c r="D39" i="5"/>
  <c r="E39" i="5"/>
  <c r="F39" i="5"/>
  <c r="G39" i="5"/>
  <c r="H39" i="5"/>
  <c r="I39" i="5"/>
  <c r="J39" i="5"/>
  <c r="K39" i="5"/>
  <c r="L39" i="5"/>
  <c r="M39" i="5"/>
  <c r="N39" i="5"/>
  <c r="B40" i="5"/>
  <c r="C40" i="5"/>
  <c r="C42" i="5" s="1"/>
  <c r="D40" i="5"/>
  <c r="D42" i="5" s="1"/>
  <c r="E40" i="5"/>
  <c r="F40" i="5"/>
  <c r="F42" i="5" s="1"/>
  <c r="G40" i="5"/>
  <c r="G42" i="5" s="1"/>
  <c r="H40" i="5"/>
  <c r="H42" i="5" s="1"/>
  <c r="I40" i="5"/>
  <c r="I42" i="5" s="1"/>
  <c r="J40" i="5"/>
  <c r="J42" i="5" s="1"/>
  <c r="K40" i="5"/>
  <c r="K42" i="5" s="1"/>
  <c r="L40" i="5"/>
  <c r="L42" i="5" s="1"/>
  <c r="M40" i="5"/>
  <c r="M42" i="5" s="1"/>
  <c r="N40" i="5"/>
  <c r="N42" i="5" s="1"/>
  <c r="B41" i="5"/>
  <c r="C41" i="5"/>
  <c r="D41" i="5"/>
  <c r="F41" i="5"/>
  <c r="G41" i="5"/>
  <c r="H41" i="5"/>
  <c r="I41" i="5"/>
  <c r="J41" i="5"/>
  <c r="K41" i="5"/>
  <c r="L41" i="5"/>
  <c r="M41" i="5"/>
  <c r="N41" i="5"/>
  <c r="B42" i="5"/>
  <c r="C45" i="5"/>
  <c r="D45" i="5"/>
  <c r="E45" i="5"/>
  <c r="F45" i="5"/>
  <c r="G45" i="5"/>
  <c r="H45" i="5"/>
  <c r="I45" i="5"/>
  <c r="J45" i="5"/>
  <c r="K45" i="5"/>
  <c r="L45" i="5"/>
  <c r="M45" i="5"/>
  <c r="N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C51" i="5"/>
  <c r="D51" i="5"/>
  <c r="E51" i="5"/>
  <c r="F51" i="5"/>
  <c r="G51" i="5"/>
  <c r="H51" i="5"/>
  <c r="I51" i="5"/>
  <c r="J51" i="5"/>
  <c r="K51" i="5"/>
  <c r="L51" i="5"/>
  <c r="M51" i="5"/>
  <c r="N51" i="5"/>
  <c r="B52" i="5"/>
  <c r="C52" i="5"/>
  <c r="C53" i="5" s="1"/>
  <c r="D52" i="5"/>
  <c r="E52" i="5"/>
  <c r="F52" i="5"/>
  <c r="G52" i="5"/>
  <c r="H52" i="5"/>
  <c r="I52" i="5"/>
  <c r="J52" i="5"/>
  <c r="K52" i="5"/>
  <c r="K53" i="5" s="1"/>
  <c r="L52" i="5"/>
  <c r="M52" i="5"/>
  <c r="N52" i="5"/>
  <c r="N53" i="5" s="1"/>
  <c r="B53" i="5"/>
  <c r="D53" i="5"/>
  <c r="E53" i="5"/>
  <c r="F53" i="5"/>
  <c r="G53" i="5"/>
  <c r="H53" i="5"/>
  <c r="I53" i="5"/>
  <c r="J53" i="5"/>
  <c r="L53" i="5"/>
  <c r="M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C57" i="5"/>
  <c r="D57" i="5"/>
  <c r="E57" i="5" s="1"/>
  <c r="B58" i="5"/>
  <c r="B59" i="5" s="1"/>
  <c r="C58" i="5"/>
  <c r="D58" i="5"/>
  <c r="C59" i="5"/>
  <c r="B60" i="5"/>
  <c r="C60" i="5"/>
  <c r="C63" i="5"/>
  <c r="D63" i="5"/>
  <c r="E63" i="5"/>
  <c r="F63" i="5"/>
  <c r="G63" i="5"/>
  <c r="H63" i="5"/>
  <c r="I63" i="5" s="1"/>
  <c r="B64" i="5"/>
  <c r="C64" i="5"/>
  <c r="D64" i="5"/>
  <c r="E64" i="5"/>
  <c r="F64" i="5"/>
  <c r="G64" i="5"/>
  <c r="H64" i="5"/>
  <c r="C69" i="5"/>
  <c r="D69" i="5"/>
  <c r="E69" i="5"/>
  <c r="F69" i="5"/>
  <c r="G69" i="5"/>
  <c r="H69" i="5"/>
  <c r="I69" i="5"/>
  <c r="J69" i="5"/>
  <c r="K69" i="5"/>
  <c r="L69" i="5"/>
  <c r="M69" i="5"/>
  <c r="N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C75" i="5"/>
  <c r="D75" i="5" s="1"/>
  <c r="B76" i="5"/>
  <c r="C76" i="5"/>
  <c r="C81" i="5"/>
  <c r="D81" i="5" s="1"/>
  <c r="B82" i="5"/>
  <c r="C82" i="5"/>
  <c r="C87" i="5"/>
  <c r="D87" i="5" s="1"/>
  <c r="B88" i="5"/>
  <c r="C88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C122" i="5"/>
  <c r="D122" i="5"/>
  <c r="E122" i="5" s="1"/>
  <c r="B123" i="5"/>
  <c r="C123" i="5"/>
  <c r="D123" i="5"/>
  <c r="C128" i="5"/>
  <c r="D128" i="5" s="1"/>
  <c r="B129" i="5"/>
  <c r="C129" i="5"/>
  <c r="C134" i="5"/>
  <c r="D134" i="5"/>
  <c r="E134" i="5" s="1"/>
  <c r="B135" i="5"/>
  <c r="C135" i="5"/>
  <c r="D135" i="5"/>
  <c r="C140" i="5"/>
  <c r="D140" i="5" s="1"/>
  <c r="B141" i="5"/>
  <c r="C141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C166" i="5"/>
  <c r="C167" i="5"/>
  <c r="C169" i="5" s="1"/>
  <c r="E182" i="5" s="1"/>
  <c r="C168" i="5"/>
  <c r="C170" i="5" s="1"/>
  <c r="F182" i="5" s="1"/>
  <c r="G182" i="5" s="1"/>
  <c r="H182" i="5" s="1"/>
  <c r="D177" i="5"/>
  <c r="D182" i="5"/>
  <c r="G186" i="5"/>
  <c r="J186" i="5" s="1"/>
  <c r="M2" i="4"/>
  <c r="N2" i="4"/>
  <c r="E3" i="4"/>
  <c r="F3" i="4"/>
  <c r="M3" i="4"/>
  <c r="N3" i="4"/>
  <c r="O2" i="4" s="1"/>
  <c r="E4" i="4"/>
  <c r="F4" i="4"/>
  <c r="M4" i="4"/>
  <c r="N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M11" i="4"/>
  <c r="M16" i="4" s="1"/>
  <c r="M17" i="4" s="1"/>
  <c r="N11" i="4"/>
  <c r="N16" i="4" s="1"/>
  <c r="N17" i="4" s="1"/>
  <c r="O11" i="4"/>
  <c r="O16" i="4" s="1"/>
  <c r="O17" i="4" s="1"/>
  <c r="P11" i="4"/>
  <c r="P16" i="4" s="1"/>
  <c r="P17" i="4" s="1"/>
  <c r="Q11" i="4"/>
  <c r="Q16" i="4" s="1"/>
  <c r="Q17" i="4" s="1"/>
  <c r="R11" i="4"/>
  <c r="R16" i="4" s="1"/>
  <c r="R17" i="4" s="1"/>
  <c r="S11" i="4"/>
  <c r="S16" i="4" s="1"/>
  <c r="S17" i="4" s="1"/>
  <c r="T11" i="4"/>
  <c r="T16" i="4" s="1"/>
  <c r="T17" i="4" s="1"/>
  <c r="E12" i="4"/>
  <c r="F12" i="4"/>
  <c r="M12" i="4"/>
  <c r="N12" i="4"/>
  <c r="O12" i="4"/>
  <c r="P12" i="4"/>
  <c r="Q12" i="4"/>
  <c r="R12" i="4"/>
  <c r="S12" i="4"/>
  <c r="T12" i="4"/>
  <c r="E13" i="4"/>
  <c r="F13" i="4"/>
  <c r="M13" i="4"/>
  <c r="N13" i="4"/>
  <c r="O13" i="4"/>
  <c r="P13" i="4"/>
  <c r="Q13" i="4"/>
  <c r="R13" i="4"/>
  <c r="S13" i="4"/>
  <c r="T13" i="4"/>
  <c r="E14" i="4"/>
  <c r="F14" i="4"/>
  <c r="M14" i="4"/>
  <c r="N14" i="4"/>
  <c r="O14" i="4"/>
  <c r="P14" i="4"/>
  <c r="Q14" i="4"/>
  <c r="R14" i="4"/>
  <c r="S14" i="4"/>
  <c r="T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M25" i="4"/>
  <c r="N25" i="4"/>
  <c r="T14" i="6" s="1"/>
  <c r="O25" i="4"/>
  <c r="T15" i="6" s="1"/>
  <c r="E26" i="4"/>
  <c r="F26" i="4"/>
  <c r="M26" i="4"/>
  <c r="U13" i="6" s="1"/>
  <c r="N26" i="4"/>
  <c r="U14" i="6" s="1"/>
  <c r="O26" i="4"/>
  <c r="U15" i="6" s="1"/>
  <c r="E27" i="4"/>
  <c r="F27" i="4"/>
  <c r="E28" i="4"/>
  <c r="F28" i="4"/>
  <c r="N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F2" i="3"/>
  <c r="H2" i="3"/>
  <c r="AB2" i="3"/>
  <c r="AC2" i="3"/>
  <c r="F3" i="3"/>
  <c r="K3" i="3"/>
  <c r="AB3" i="3"/>
  <c r="AC3" i="3"/>
  <c r="F4" i="3"/>
  <c r="K4" i="3"/>
  <c r="L4" i="3"/>
  <c r="M4" i="3"/>
  <c r="N4" i="3"/>
  <c r="O4" i="3"/>
  <c r="P4" i="3"/>
  <c r="Q4" i="3"/>
  <c r="R4" i="3"/>
  <c r="S4" i="3"/>
  <c r="T4" i="3"/>
  <c r="AB4" i="3"/>
  <c r="AC4" i="3"/>
  <c r="F5" i="3"/>
  <c r="K5" i="3"/>
  <c r="L5" i="3"/>
  <c r="M5" i="3"/>
  <c r="N5" i="3"/>
  <c r="O5" i="3"/>
  <c r="P5" i="3"/>
  <c r="Q5" i="3"/>
  <c r="R5" i="3"/>
  <c r="S5" i="3"/>
  <c r="T5" i="3"/>
  <c r="AB5" i="3"/>
  <c r="AC5" i="3"/>
  <c r="F6" i="3"/>
  <c r="K6" i="3"/>
  <c r="L6" i="3"/>
  <c r="M6" i="3"/>
  <c r="N6" i="3"/>
  <c r="O6" i="3"/>
  <c r="P6" i="3"/>
  <c r="AB6" i="3"/>
  <c r="AC6" i="3"/>
  <c r="F7" i="3"/>
  <c r="K7" i="3"/>
  <c r="L7" i="3"/>
  <c r="M7" i="3"/>
  <c r="N7" i="3"/>
  <c r="O7" i="3"/>
  <c r="P7" i="3"/>
  <c r="P8" i="3" s="1"/>
  <c r="Q7" i="3"/>
  <c r="R7" i="3"/>
  <c r="S7" i="3"/>
  <c r="T7" i="3"/>
  <c r="AB7" i="3"/>
  <c r="AC7" i="3"/>
  <c r="F8" i="3"/>
  <c r="K8" i="3"/>
  <c r="L8" i="3"/>
  <c r="M8" i="3"/>
  <c r="N8" i="3"/>
  <c r="O8" i="3"/>
  <c r="Q8" i="3"/>
  <c r="R8" i="3"/>
  <c r="S8" i="3"/>
  <c r="T8" i="3"/>
  <c r="AB8" i="3"/>
  <c r="AC8" i="3"/>
  <c r="F9" i="3"/>
  <c r="K9" i="3"/>
  <c r="L9" i="3"/>
  <c r="M9" i="3"/>
  <c r="N9" i="3"/>
  <c r="O9" i="3"/>
  <c r="Q9" i="3"/>
  <c r="R9" i="3"/>
  <c r="S9" i="3"/>
  <c r="T9" i="3"/>
  <c r="AB9" i="3"/>
  <c r="AC9" i="3"/>
  <c r="F10" i="3"/>
  <c r="AB10" i="3"/>
  <c r="AC10" i="3"/>
  <c r="F11" i="3"/>
  <c r="AB11" i="3"/>
  <c r="AC11" i="3"/>
  <c r="F12" i="3"/>
  <c r="AB12" i="3"/>
  <c r="AC12" i="3"/>
  <c r="F13" i="3"/>
  <c r="AB13" i="3"/>
  <c r="AC13" i="3"/>
  <c r="F14" i="3"/>
  <c r="AB14" i="3"/>
  <c r="AC14" i="3"/>
  <c r="F15" i="3"/>
  <c r="AB15" i="3"/>
  <c r="AC15" i="3"/>
  <c r="F16" i="3"/>
  <c r="K16" i="3"/>
  <c r="L16" i="3"/>
  <c r="W2" i="6" s="1"/>
  <c r="M16" i="3"/>
  <c r="T2" i="6" s="1"/>
  <c r="N16" i="3"/>
  <c r="U2" i="6" s="1"/>
  <c r="AB16" i="3"/>
  <c r="AC16" i="3"/>
  <c r="F17" i="3"/>
  <c r="K17" i="3"/>
  <c r="V3" i="6" s="1"/>
  <c r="L17" i="3"/>
  <c r="W3" i="6" s="1"/>
  <c r="M17" i="3"/>
  <c r="T3" i="6" s="1"/>
  <c r="N17" i="3"/>
  <c r="U3" i="6" s="1"/>
  <c r="AB17" i="3"/>
  <c r="AC17" i="3"/>
  <c r="F18" i="3"/>
  <c r="K18" i="3"/>
  <c r="V4" i="6" s="1"/>
  <c r="L18" i="3"/>
  <c r="W4" i="6" s="1"/>
  <c r="M18" i="3"/>
  <c r="T4" i="6" s="1"/>
  <c r="N18" i="3"/>
  <c r="U4" i="6" s="1"/>
  <c r="AB18" i="3"/>
  <c r="AC18" i="3"/>
  <c r="F19" i="3"/>
  <c r="K19" i="3"/>
  <c r="V5" i="6" s="1"/>
  <c r="L19" i="3"/>
  <c r="W5" i="6" s="1"/>
  <c r="M19" i="3"/>
  <c r="T5" i="6" s="1"/>
  <c r="N19" i="3"/>
  <c r="U5" i="6" s="1"/>
  <c r="AB19" i="3"/>
  <c r="AC19" i="3"/>
  <c r="F20" i="3"/>
  <c r="K20" i="3"/>
  <c r="V6" i="6" s="1"/>
  <c r="L20" i="3"/>
  <c r="W6" i="6" s="1"/>
  <c r="M20" i="3"/>
  <c r="T6" i="6" s="1"/>
  <c r="N20" i="3"/>
  <c r="U6" i="6" s="1"/>
  <c r="AB20" i="3"/>
  <c r="AC20" i="3"/>
  <c r="F21" i="3"/>
  <c r="K21" i="3"/>
  <c r="V7" i="6" s="1"/>
  <c r="M21" i="3"/>
  <c r="T7" i="6" s="1"/>
  <c r="N21" i="3"/>
  <c r="U7" i="6" s="1"/>
  <c r="AB21" i="3"/>
  <c r="AC21" i="3"/>
  <c r="F22" i="3"/>
  <c r="K22" i="3"/>
  <c r="V8" i="6" s="1"/>
  <c r="L22" i="3"/>
  <c r="W8" i="6" s="1"/>
  <c r="M22" i="3"/>
  <c r="T8" i="6" s="1"/>
  <c r="N22" i="3"/>
  <c r="U8" i="6" s="1"/>
  <c r="AB22" i="3"/>
  <c r="AC22" i="3"/>
  <c r="F23" i="3"/>
  <c r="K23" i="3"/>
  <c r="V9" i="6" s="1"/>
  <c r="L23" i="3"/>
  <c r="W9" i="6" s="1"/>
  <c r="M23" i="3"/>
  <c r="T9" i="6" s="1"/>
  <c r="N23" i="3"/>
  <c r="U9" i="6" s="1"/>
  <c r="AB23" i="3"/>
  <c r="AC23" i="3"/>
  <c r="F24" i="3"/>
  <c r="K24" i="3"/>
  <c r="V10" i="6" s="1"/>
  <c r="L24" i="3"/>
  <c r="W10" i="6" s="1"/>
  <c r="M24" i="3"/>
  <c r="T10" i="6" s="1"/>
  <c r="N24" i="3"/>
  <c r="U10" i="6" s="1"/>
  <c r="AB24" i="3"/>
  <c r="AC24" i="3"/>
  <c r="F25" i="3"/>
  <c r="K25" i="3"/>
  <c r="V11" i="6" s="1"/>
  <c r="L25" i="3"/>
  <c r="W11" i="6" s="1"/>
  <c r="M25" i="3"/>
  <c r="T11" i="6" s="1"/>
  <c r="N25" i="3"/>
  <c r="U11" i="6" s="1"/>
  <c r="AB25" i="3"/>
  <c r="AC25" i="3"/>
  <c r="F26" i="3"/>
  <c r="AB26" i="3"/>
  <c r="AC26" i="3"/>
  <c r="F27" i="3"/>
  <c r="AB27" i="3"/>
  <c r="AC27" i="3"/>
  <c r="F28" i="3"/>
  <c r="AB28" i="3"/>
  <c r="AC28" i="3"/>
  <c r="F29" i="3"/>
  <c r="AB29" i="3"/>
  <c r="AC29" i="3"/>
  <c r="F30" i="3"/>
  <c r="AB30" i="3"/>
  <c r="AC30" i="3"/>
  <c r="F31" i="3"/>
  <c r="AB31" i="3"/>
  <c r="AC31" i="3"/>
  <c r="F32" i="3"/>
  <c r="AB32" i="3"/>
  <c r="AC32" i="3"/>
  <c r="F33" i="3"/>
  <c r="AB33" i="3"/>
  <c r="AC33" i="3"/>
  <c r="F34" i="3"/>
  <c r="AB34" i="3"/>
  <c r="AC34" i="3"/>
  <c r="F35" i="3"/>
  <c r="AB35" i="3"/>
  <c r="AC35" i="3"/>
  <c r="F36" i="3"/>
  <c r="AB36" i="3"/>
  <c r="AC36" i="3"/>
  <c r="F37" i="3"/>
  <c r="AB37" i="3"/>
  <c r="AC37" i="3"/>
  <c r="F38" i="3"/>
  <c r="AB38" i="3"/>
  <c r="AC38" i="3"/>
  <c r="F39" i="3"/>
  <c r="AB39" i="3"/>
  <c r="AC39" i="3"/>
  <c r="F40" i="3"/>
  <c r="AB40" i="3"/>
  <c r="AC40" i="3"/>
  <c r="F41" i="3"/>
  <c r="AB41" i="3"/>
  <c r="AC41" i="3"/>
  <c r="F42" i="3"/>
  <c r="AB42" i="3"/>
  <c r="AC42" i="3"/>
  <c r="F43" i="3"/>
  <c r="AB43" i="3"/>
  <c r="AC43" i="3"/>
  <c r="F44" i="3"/>
  <c r="AB44" i="3"/>
  <c r="AC44" i="3"/>
  <c r="F45" i="3"/>
  <c r="AB45" i="3"/>
  <c r="AC45" i="3"/>
  <c r="F46" i="3"/>
  <c r="AB46" i="3"/>
  <c r="AC46" i="3"/>
  <c r="F47" i="3"/>
  <c r="AB47" i="3"/>
  <c r="AC47" i="3"/>
  <c r="F48" i="3"/>
  <c r="AB48" i="3"/>
  <c r="AC48" i="3"/>
  <c r="F49" i="3"/>
  <c r="AB49" i="3"/>
  <c r="AC49" i="3"/>
  <c r="F50" i="3"/>
  <c r="AB50" i="3"/>
  <c r="AC50" i="3"/>
  <c r="F51" i="3"/>
  <c r="AB51" i="3"/>
  <c r="AC51" i="3"/>
  <c r="F52" i="3"/>
  <c r="AB52" i="3"/>
  <c r="AC52" i="3"/>
  <c r="F53" i="3"/>
  <c r="AB53" i="3"/>
  <c r="AC53" i="3"/>
  <c r="F54" i="3"/>
  <c r="AB54" i="3"/>
  <c r="AC54" i="3"/>
  <c r="F55" i="3"/>
  <c r="AB55" i="3"/>
  <c r="AC55" i="3"/>
  <c r="F56" i="3"/>
  <c r="AB56" i="3"/>
  <c r="AC56" i="3"/>
  <c r="F57" i="3"/>
  <c r="AB57" i="3"/>
  <c r="AC57" i="3"/>
  <c r="F58" i="3"/>
  <c r="AB58" i="3"/>
  <c r="AC58" i="3"/>
  <c r="F59" i="3"/>
  <c r="AB59" i="3"/>
  <c r="AC59" i="3"/>
  <c r="F60" i="3"/>
  <c r="AB60" i="3"/>
  <c r="AC60" i="3"/>
  <c r="F61" i="3"/>
  <c r="AB61" i="3"/>
  <c r="AC61" i="3"/>
  <c r="F62" i="3"/>
  <c r="AB62" i="3"/>
  <c r="AC62" i="3"/>
  <c r="F63" i="3"/>
  <c r="AB63" i="3"/>
  <c r="AC63" i="3"/>
  <c r="F64" i="3"/>
  <c r="AB64" i="3"/>
  <c r="AC64" i="3"/>
  <c r="F65" i="3"/>
  <c r="AB65" i="3"/>
  <c r="AC65" i="3"/>
  <c r="F66" i="3"/>
  <c r="AB66" i="3"/>
  <c r="AC66" i="3"/>
  <c r="F67" i="3"/>
  <c r="AB67" i="3"/>
  <c r="AC67" i="3"/>
  <c r="F68" i="3"/>
  <c r="AB68" i="3"/>
  <c r="AC68" i="3"/>
  <c r="F69" i="3"/>
  <c r="AB69" i="3"/>
  <c r="AC69" i="3"/>
  <c r="F70" i="3"/>
  <c r="AB70" i="3"/>
  <c r="AC70" i="3"/>
  <c r="F71" i="3"/>
  <c r="AB71" i="3"/>
  <c r="AC71" i="3"/>
  <c r="F72" i="3"/>
  <c r="AB72" i="3"/>
  <c r="AC72" i="3"/>
  <c r="F73" i="3"/>
  <c r="AB73" i="3"/>
  <c r="AC73" i="3"/>
  <c r="F74" i="3"/>
  <c r="AB74" i="3"/>
  <c r="AC74" i="3"/>
  <c r="F75" i="3"/>
  <c r="AB75" i="3"/>
  <c r="AC75" i="3"/>
  <c r="F76" i="3"/>
  <c r="AB76" i="3"/>
  <c r="AC76" i="3"/>
  <c r="F77" i="3"/>
  <c r="AB77" i="3"/>
  <c r="AC77" i="3"/>
  <c r="F78" i="3"/>
  <c r="AB78" i="3"/>
  <c r="AC78" i="3"/>
  <c r="F79" i="3"/>
  <c r="AB79" i="3"/>
  <c r="AC79" i="3"/>
  <c r="F80" i="3"/>
  <c r="AB80" i="3"/>
  <c r="AC80" i="3"/>
  <c r="F81" i="3"/>
  <c r="AB81" i="3"/>
  <c r="AC81" i="3"/>
  <c r="F82" i="3"/>
  <c r="AB82" i="3"/>
  <c r="AC82" i="3"/>
  <c r="F83" i="3"/>
  <c r="AB83" i="3"/>
  <c r="AC83" i="3"/>
  <c r="F84" i="3"/>
  <c r="AB84" i="3"/>
  <c r="AC84" i="3"/>
  <c r="F85" i="3"/>
  <c r="AB85" i="3"/>
  <c r="AC85" i="3"/>
  <c r="F86" i="3"/>
  <c r="AB86" i="3"/>
  <c r="AC86" i="3"/>
  <c r="F87" i="3"/>
  <c r="AB87" i="3"/>
  <c r="AC87" i="3"/>
  <c r="F88" i="3"/>
  <c r="AB88" i="3"/>
  <c r="AC88" i="3"/>
  <c r="F89" i="3"/>
  <c r="AB89" i="3"/>
  <c r="AC89" i="3"/>
  <c r="F90" i="3"/>
  <c r="AB90" i="3"/>
  <c r="AC90" i="3"/>
  <c r="F91" i="3"/>
  <c r="AB91" i="3"/>
  <c r="AC91" i="3"/>
  <c r="F92" i="3"/>
  <c r="AB92" i="3"/>
  <c r="AC92" i="3"/>
  <c r="F93" i="3"/>
  <c r="AB93" i="3"/>
  <c r="AC93" i="3"/>
  <c r="F94" i="3"/>
  <c r="AB94" i="3"/>
  <c r="AC94" i="3"/>
  <c r="F95" i="3"/>
  <c r="AB95" i="3"/>
  <c r="AC95" i="3"/>
  <c r="F96" i="3"/>
  <c r="AB96" i="3"/>
  <c r="AC96" i="3"/>
  <c r="F97" i="3"/>
  <c r="AB97" i="3"/>
  <c r="AC97" i="3"/>
  <c r="F98" i="3"/>
  <c r="AB98" i="3"/>
  <c r="AC98" i="3"/>
  <c r="F99" i="3"/>
  <c r="AB99" i="3"/>
  <c r="AC99" i="3"/>
  <c r="F100" i="3"/>
  <c r="AB100" i="3"/>
  <c r="AC100" i="3"/>
  <c r="F101" i="3"/>
  <c r="AB101" i="3"/>
  <c r="AC101" i="3"/>
  <c r="F102" i="3"/>
  <c r="AB102" i="3"/>
  <c r="AC102" i="3"/>
  <c r="F103" i="3"/>
  <c r="AB103" i="3"/>
  <c r="AC103" i="3"/>
  <c r="F104" i="3"/>
  <c r="AB104" i="3"/>
  <c r="AC104" i="3"/>
  <c r="F105" i="3"/>
  <c r="AB105" i="3"/>
  <c r="AC105" i="3"/>
  <c r="F106" i="3"/>
  <c r="AB106" i="3"/>
  <c r="AC106" i="3"/>
  <c r="F107" i="3"/>
  <c r="AB107" i="3"/>
  <c r="AC107" i="3"/>
  <c r="F108" i="3"/>
  <c r="AB108" i="3"/>
  <c r="AC108" i="3"/>
  <c r="F109" i="3"/>
  <c r="AB109" i="3"/>
  <c r="AC109" i="3"/>
  <c r="F110" i="3"/>
  <c r="AB110" i="3"/>
  <c r="AC110" i="3"/>
  <c r="F111" i="3"/>
  <c r="AB111" i="3"/>
  <c r="AC111" i="3"/>
  <c r="F112" i="3"/>
  <c r="AB112" i="3"/>
  <c r="AC112" i="3"/>
  <c r="F113" i="3"/>
  <c r="AB113" i="3"/>
  <c r="AC113" i="3"/>
  <c r="F114" i="3"/>
  <c r="AB114" i="3"/>
  <c r="AC114" i="3"/>
  <c r="F115" i="3"/>
  <c r="AB115" i="3"/>
  <c r="AC115" i="3"/>
  <c r="F116" i="3"/>
  <c r="AB116" i="3"/>
  <c r="AC116" i="3"/>
  <c r="F117" i="3"/>
  <c r="AB117" i="3"/>
  <c r="AC117" i="3"/>
  <c r="F118" i="3"/>
  <c r="AB118" i="3"/>
  <c r="AC118" i="3"/>
  <c r="F119" i="3"/>
  <c r="AB119" i="3"/>
  <c r="AC119" i="3"/>
  <c r="F120" i="3"/>
  <c r="AB120" i="3"/>
  <c r="AC120" i="3"/>
  <c r="F121" i="3"/>
  <c r="AB121" i="3"/>
  <c r="AC121" i="3"/>
  <c r="F122" i="3"/>
  <c r="AB122" i="3"/>
  <c r="AC122" i="3"/>
  <c r="F123" i="3"/>
  <c r="AB123" i="3"/>
  <c r="AC123" i="3"/>
  <c r="F124" i="3"/>
  <c r="AB124" i="3"/>
  <c r="AC124" i="3"/>
  <c r="F125" i="3"/>
  <c r="AB125" i="3"/>
  <c r="AC125" i="3"/>
  <c r="F126" i="3"/>
  <c r="AB126" i="3"/>
  <c r="AC126" i="3"/>
  <c r="F127" i="3"/>
  <c r="AB127" i="3"/>
  <c r="AC127" i="3"/>
  <c r="F128" i="3"/>
  <c r="AB128" i="3"/>
  <c r="AC128" i="3"/>
  <c r="F129" i="3"/>
  <c r="AB129" i="3"/>
  <c r="AC129" i="3"/>
  <c r="F130" i="3"/>
  <c r="AB130" i="3"/>
  <c r="AC130" i="3"/>
  <c r="F131" i="3"/>
  <c r="AB131" i="3"/>
  <c r="AC131" i="3"/>
  <c r="F132" i="3"/>
  <c r="AB132" i="3"/>
  <c r="AC132" i="3"/>
  <c r="F133" i="3"/>
  <c r="AB133" i="3"/>
  <c r="AC133" i="3"/>
  <c r="F134" i="3"/>
  <c r="AB134" i="3"/>
  <c r="AC134" i="3"/>
  <c r="F135" i="3"/>
  <c r="AB135" i="3"/>
  <c r="AC135" i="3"/>
  <c r="F136" i="3"/>
  <c r="AB136" i="3"/>
  <c r="AC136" i="3"/>
  <c r="F137" i="3"/>
  <c r="AB137" i="3"/>
  <c r="AC137" i="3"/>
  <c r="F138" i="3"/>
  <c r="AB138" i="3"/>
  <c r="AC138" i="3"/>
  <c r="F139" i="3"/>
  <c r="AB139" i="3"/>
  <c r="AC139" i="3"/>
  <c r="F140" i="3"/>
  <c r="AB140" i="3"/>
  <c r="AC140" i="3"/>
  <c r="F141" i="3"/>
  <c r="AB141" i="3"/>
  <c r="AC141" i="3"/>
  <c r="F142" i="3"/>
  <c r="AB142" i="3"/>
  <c r="AC142" i="3"/>
  <c r="F143" i="3"/>
  <c r="AB143" i="3"/>
  <c r="AC143" i="3"/>
  <c r="F144" i="3"/>
  <c r="AB144" i="3"/>
  <c r="AC144" i="3"/>
  <c r="F145" i="3"/>
  <c r="AB145" i="3"/>
  <c r="AC145" i="3"/>
  <c r="F146" i="3"/>
  <c r="AB146" i="3"/>
  <c r="AC146" i="3"/>
  <c r="F147" i="3"/>
  <c r="AB147" i="3"/>
  <c r="AC147" i="3"/>
  <c r="F148" i="3"/>
  <c r="AB148" i="3"/>
  <c r="AC148" i="3"/>
  <c r="F149" i="3"/>
  <c r="AB149" i="3"/>
  <c r="AC149" i="3"/>
  <c r="F150" i="3"/>
  <c r="AB150" i="3"/>
  <c r="AC150" i="3"/>
  <c r="F151" i="3"/>
  <c r="AB151" i="3"/>
  <c r="AC151" i="3"/>
  <c r="F152" i="3"/>
  <c r="AB152" i="3"/>
  <c r="AC152" i="3"/>
  <c r="F153" i="3"/>
  <c r="AB153" i="3"/>
  <c r="AC153" i="3"/>
  <c r="F154" i="3"/>
  <c r="AB154" i="3"/>
  <c r="AC154" i="3"/>
  <c r="F155" i="3"/>
  <c r="AB155" i="3"/>
  <c r="AC155" i="3"/>
  <c r="F156" i="3"/>
  <c r="AB156" i="3"/>
  <c r="AC156" i="3"/>
  <c r="F157" i="3"/>
  <c r="AB157" i="3"/>
  <c r="AC157" i="3"/>
  <c r="F158" i="3"/>
  <c r="AB158" i="3"/>
  <c r="AC158" i="3"/>
  <c r="F159" i="3"/>
  <c r="AB159" i="3"/>
  <c r="AC159" i="3"/>
  <c r="F160" i="3"/>
  <c r="AB160" i="3"/>
  <c r="AC160" i="3"/>
  <c r="F161" i="3"/>
  <c r="AB161" i="3"/>
  <c r="AC161" i="3"/>
  <c r="F162" i="3"/>
  <c r="AB162" i="3"/>
  <c r="AC162" i="3"/>
  <c r="F163" i="3"/>
  <c r="AB163" i="3"/>
  <c r="AC163" i="3"/>
  <c r="F164" i="3"/>
  <c r="AB164" i="3"/>
  <c r="AC164" i="3"/>
  <c r="F165" i="3"/>
  <c r="AB165" i="3"/>
  <c r="AC165" i="3"/>
  <c r="F166" i="3"/>
  <c r="AB166" i="3"/>
  <c r="AC166" i="3"/>
  <c r="F167" i="3"/>
  <c r="AB167" i="3"/>
  <c r="AC167" i="3"/>
  <c r="F168" i="3"/>
  <c r="AB168" i="3"/>
  <c r="AC168" i="3"/>
  <c r="F169" i="3"/>
  <c r="AB169" i="3"/>
  <c r="AC169" i="3"/>
  <c r="F170" i="3"/>
  <c r="AB170" i="3"/>
  <c r="AC170" i="3"/>
  <c r="F171" i="3"/>
  <c r="AB171" i="3"/>
  <c r="AC171" i="3"/>
  <c r="F172" i="3"/>
  <c r="AB172" i="3"/>
  <c r="AC172" i="3"/>
  <c r="F173" i="3"/>
  <c r="AB173" i="3"/>
  <c r="AC173" i="3"/>
  <c r="F174" i="3"/>
  <c r="AB174" i="3"/>
  <c r="AC174" i="3"/>
  <c r="F175" i="3"/>
  <c r="AB175" i="3"/>
  <c r="AC175" i="3"/>
  <c r="F176" i="3"/>
  <c r="AB176" i="3"/>
  <c r="AC176" i="3"/>
  <c r="F177" i="3"/>
  <c r="AB177" i="3"/>
  <c r="AC177" i="3"/>
  <c r="F178" i="3"/>
  <c r="AB178" i="3"/>
  <c r="AC178" i="3"/>
  <c r="F179" i="3"/>
  <c r="AB179" i="3"/>
  <c r="AC179" i="3"/>
  <c r="F180" i="3"/>
  <c r="AB180" i="3"/>
  <c r="AC180" i="3"/>
  <c r="F181" i="3"/>
  <c r="AB181" i="3"/>
  <c r="AC181" i="3"/>
  <c r="F182" i="3"/>
  <c r="AB182" i="3"/>
  <c r="AC182" i="3"/>
  <c r="F183" i="3"/>
  <c r="AB183" i="3"/>
  <c r="AC183" i="3"/>
  <c r="F184" i="3"/>
  <c r="AB184" i="3"/>
  <c r="AC184" i="3"/>
  <c r="F185" i="3"/>
  <c r="AB185" i="3"/>
  <c r="AC185" i="3"/>
  <c r="F186" i="3"/>
  <c r="AB186" i="3"/>
  <c r="AC186" i="3"/>
  <c r="F187" i="3"/>
  <c r="AB187" i="3"/>
  <c r="AC187" i="3"/>
  <c r="F188" i="3"/>
  <c r="AB188" i="3"/>
  <c r="AC188" i="3"/>
  <c r="F189" i="3"/>
  <c r="AB189" i="3"/>
  <c r="AC189" i="3"/>
  <c r="F190" i="3"/>
  <c r="AB190" i="3"/>
  <c r="AC190" i="3"/>
  <c r="F191" i="3"/>
  <c r="AB191" i="3"/>
  <c r="AC191" i="3"/>
  <c r="F192" i="3"/>
  <c r="AB192" i="3"/>
  <c r="AC192" i="3"/>
  <c r="F193" i="3"/>
  <c r="AB193" i="3"/>
  <c r="AC193" i="3"/>
  <c r="F194" i="3"/>
  <c r="AB194" i="3"/>
  <c r="AC194" i="3"/>
  <c r="F195" i="3"/>
  <c r="AB195" i="3"/>
  <c r="AC195" i="3"/>
  <c r="F196" i="3"/>
  <c r="AB196" i="3"/>
  <c r="AC196" i="3"/>
  <c r="F197" i="3"/>
  <c r="AB197" i="3"/>
  <c r="AC197" i="3"/>
  <c r="F198" i="3"/>
  <c r="AB198" i="3"/>
  <c r="AC198" i="3"/>
  <c r="F199" i="3"/>
  <c r="AB199" i="3"/>
  <c r="AC199" i="3"/>
  <c r="F200" i="3"/>
  <c r="AB200" i="3"/>
  <c r="AC200" i="3"/>
  <c r="F2" i="2"/>
  <c r="G2" i="2"/>
  <c r="H2" i="2" s="1"/>
  <c r="F3" i="2"/>
  <c r="G3" i="2"/>
  <c r="H3" i="2" s="1"/>
  <c r="F4" i="2"/>
  <c r="L13" i="1"/>
  <c r="J14" i="1"/>
  <c r="L14" i="1"/>
  <c r="H15" i="1"/>
  <c r="I15" i="1" s="1"/>
  <c r="L15" i="1"/>
  <c r="H16" i="1"/>
  <c r="L16" i="1"/>
  <c r="M16" i="1"/>
  <c r="H17" i="1"/>
  <c r="I17" i="1"/>
  <c r="L17" i="1"/>
  <c r="H18" i="1"/>
  <c r="I18" i="1"/>
  <c r="H19" i="1"/>
  <c r="I19" i="1"/>
  <c r="H20" i="1"/>
  <c r="I20" i="1"/>
  <c r="H21" i="1"/>
  <c r="I21" i="1"/>
  <c r="H22" i="1"/>
  <c r="I22" i="1" s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 s="1"/>
  <c r="H42" i="1"/>
  <c r="I42" i="1" s="1"/>
  <c r="H43" i="1"/>
  <c r="I43" i="1" s="1"/>
  <c r="H44" i="1"/>
  <c r="I44" i="1" s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J54" i="1"/>
  <c r="H55" i="1"/>
  <c r="I55" i="1" s="1"/>
  <c r="H56" i="1"/>
  <c r="I56" i="1"/>
  <c r="H57" i="1"/>
  <c r="I57" i="1" s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 s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C6" i="5" l="1"/>
  <c r="E177" i="5" s="1"/>
  <c r="C24" i="5"/>
  <c r="C7" i="5"/>
  <c r="F177" i="5" s="1"/>
  <c r="G177" i="5" s="1"/>
  <c r="H177" i="5" s="1"/>
  <c r="C25" i="5"/>
  <c r="C27" i="5" s="1"/>
  <c r="F178" i="5" s="1"/>
  <c r="G178" i="5" s="1"/>
  <c r="B36" i="5"/>
  <c r="B35" i="5"/>
  <c r="E35" i="5"/>
  <c r="E36" i="5"/>
  <c r="J36" i="5"/>
  <c r="J35" i="5"/>
  <c r="E41" i="5"/>
  <c r="E42" i="5"/>
  <c r="E58" i="5"/>
  <c r="F57" i="5"/>
  <c r="D60" i="5"/>
  <c r="D59" i="5"/>
  <c r="I64" i="5"/>
  <c r="J63" i="5"/>
  <c r="B65" i="5"/>
  <c r="B66" i="5"/>
  <c r="C65" i="5"/>
  <c r="C66" i="5"/>
  <c r="D65" i="5"/>
  <c r="D66" i="5"/>
  <c r="E66" i="5"/>
  <c r="E65" i="5"/>
  <c r="F65" i="5"/>
  <c r="F66" i="5"/>
  <c r="G66" i="5"/>
  <c r="G65" i="5"/>
  <c r="H65" i="5"/>
  <c r="H66" i="5"/>
  <c r="D76" i="5"/>
  <c r="E75" i="5"/>
  <c r="B78" i="5"/>
  <c r="B77" i="5"/>
  <c r="C78" i="5"/>
  <c r="C77" i="5"/>
  <c r="E81" i="5"/>
  <c r="D82" i="5"/>
  <c r="B84" i="5"/>
  <c r="B83" i="5"/>
  <c r="C83" i="5"/>
  <c r="C84" i="5"/>
  <c r="E87" i="5"/>
  <c r="D88" i="5"/>
  <c r="B89" i="5"/>
  <c r="B90" i="5"/>
  <c r="C90" i="5"/>
  <c r="C89" i="5"/>
  <c r="C106" i="5"/>
  <c r="C105" i="5"/>
  <c r="D180" i="5" s="1"/>
  <c r="C107" i="5"/>
  <c r="C109" i="5" s="1"/>
  <c r="F180" i="5" s="1"/>
  <c r="G180" i="5" s="1"/>
  <c r="E123" i="5"/>
  <c r="F122" i="5"/>
  <c r="B124" i="5"/>
  <c r="B125" i="5"/>
  <c r="C124" i="5"/>
  <c r="C125" i="5"/>
  <c r="D124" i="5"/>
  <c r="D125" i="5"/>
  <c r="E128" i="5"/>
  <c r="D129" i="5"/>
  <c r="B131" i="5"/>
  <c r="B130" i="5"/>
  <c r="C131" i="5"/>
  <c r="C130" i="5"/>
  <c r="E135" i="5"/>
  <c r="F134" i="5"/>
  <c r="B136" i="5"/>
  <c r="B137" i="5"/>
  <c r="C136" i="5"/>
  <c r="C137" i="5"/>
  <c r="D137" i="5"/>
  <c r="D136" i="5"/>
  <c r="E140" i="5"/>
  <c r="D141" i="5"/>
  <c r="B143" i="5"/>
  <c r="B142" i="5"/>
  <c r="C142" i="5"/>
  <c r="C143" i="5"/>
  <c r="Q2" i="4"/>
  <c r="P2" i="4"/>
  <c r="T13" i="6"/>
  <c r="T18" i="6" s="1"/>
  <c r="S37" i="6"/>
  <c r="S39" i="6"/>
  <c r="S38" i="6"/>
  <c r="N3" i="3"/>
  <c r="O3" i="3"/>
  <c r="P3" i="3"/>
  <c r="Q3" i="3"/>
  <c r="R3" i="3"/>
  <c r="S3" i="3"/>
  <c r="T3" i="3"/>
  <c r="M3" i="3"/>
  <c r="L3" i="3"/>
  <c r="L21" i="3"/>
  <c r="W7" i="6" s="1"/>
  <c r="P9" i="3"/>
  <c r="H61" i="9"/>
  <c r="H63" i="9"/>
  <c r="H60" i="9"/>
  <c r="I63" i="9"/>
  <c r="V2" i="6"/>
  <c r="I62" i="9"/>
  <c r="I61" i="9"/>
  <c r="I60" i="9"/>
  <c r="H62" i="9"/>
  <c r="H264" i="1"/>
  <c r="I264" i="1" s="1"/>
  <c r="H14" i="1"/>
  <c r="I14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71" i="1"/>
  <c r="I71" i="1" s="1"/>
  <c r="H70" i="1"/>
  <c r="I70" i="1" s="1"/>
  <c r="H69" i="1"/>
  <c r="I69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4" i="1"/>
  <c r="I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68" i="1"/>
  <c r="I68" i="1" s="1"/>
  <c r="H67" i="1"/>
  <c r="I67" i="1" s="1"/>
  <c r="H66" i="1"/>
  <c r="I66" i="1" s="1"/>
  <c r="H65" i="1"/>
  <c r="I65" i="1" s="1"/>
  <c r="H196" i="1"/>
  <c r="I196" i="1" s="1"/>
  <c r="H195" i="1"/>
  <c r="I195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79" i="1"/>
  <c r="I79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456" i="1"/>
  <c r="I456" i="1" s="1"/>
  <c r="H457" i="1"/>
  <c r="I457" i="1" s="1"/>
  <c r="H458" i="1"/>
  <c r="I458" i="1" s="1"/>
  <c r="H459" i="1"/>
  <c r="I459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73" i="1"/>
  <c r="I473" i="1" s="1"/>
  <c r="H197" i="1"/>
  <c r="I197" i="1" s="1"/>
  <c r="H6" i="1"/>
  <c r="I6" i="1" s="1"/>
  <c r="H7" i="1"/>
  <c r="I7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60" i="1"/>
  <c r="I460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8" i="1"/>
  <c r="I8" i="1" s="1"/>
  <c r="H5" i="1"/>
  <c r="I5" i="1" s="1"/>
  <c r="H2" i="1"/>
  <c r="I2" i="1" s="1"/>
  <c r="H3" i="1"/>
  <c r="I3" i="1" s="1"/>
  <c r="H9" i="1"/>
  <c r="I9" i="1" s="1"/>
  <c r="H10" i="1"/>
  <c r="I10" i="1" s="1"/>
  <c r="H11" i="1"/>
  <c r="I11" i="1" s="1"/>
  <c r="H12" i="1"/>
  <c r="I12" i="1" s="1"/>
  <c r="H13" i="1"/>
  <c r="I13" i="1" s="1"/>
  <c r="H282" i="1"/>
  <c r="I282" i="1" s="1"/>
  <c r="N14" i="1"/>
  <c r="I16" i="1"/>
  <c r="M14" i="1"/>
  <c r="N18" i="4"/>
  <c r="D30" i="7" s="1"/>
  <c r="E30" i="7" s="1"/>
  <c r="G30" i="7" s="1"/>
  <c r="T17" i="6"/>
  <c r="E60" i="5" l="1"/>
  <c r="E59" i="5"/>
  <c r="F58" i="5"/>
  <c r="G57" i="5"/>
  <c r="I65" i="5"/>
  <c r="I66" i="5"/>
  <c r="J64" i="5"/>
  <c r="K63" i="5"/>
  <c r="D77" i="5"/>
  <c r="D78" i="5"/>
  <c r="E76" i="5"/>
  <c r="F75" i="5"/>
  <c r="E82" i="5"/>
  <c r="F81" i="5"/>
  <c r="D84" i="5"/>
  <c r="D83" i="5"/>
  <c r="E88" i="5"/>
  <c r="F87" i="5"/>
  <c r="D89" i="5"/>
  <c r="D90" i="5"/>
  <c r="E124" i="5"/>
  <c r="E125" i="5"/>
  <c r="F123" i="5"/>
  <c r="G122" i="5"/>
  <c r="E129" i="5"/>
  <c r="F128" i="5"/>
  <c r="D131" i="5"/>
  <c r="D130" i="5"/>
  <c r="E136" i="5"/>
  <c r="E137" i="5"/>
  <c r="F135" i="5"/>
  <c r="G134" i="5"/>
  <c r="F140" i="5"/>
  <c r="E141" i="5"/>
  <c r="D143" i="5"/>
  <c r="D142" i="5"/>
  <c r="C108" i="5"/>
  <c r="E180" i="5" s="1"/>
  <c r="H180" i="5" s="1"/>
  <c r="C26" i="5"/>
  <c r="E178" i="5" s="1"/>
  <c r="H178" i="5" s="1"/>
  <c r="M15" i="4"/>
  <c r="N15" i="4"/>
  <c r="O15" i="4"/>
  <c r="P15" i="4"/>
  <c r="Q15" i="4"/>
  <c r="R15" i="4"/>
  <c r="S15" i="4"/>
  <c r="T15" i="4"/>
  <c r="F60" i="5" l="1"/>
  <c r="F59" i="5"/>
  <c r="G58" i="5"/>
  <c r="H57" i="5"/>
  <c r="J65" i="5"/>
  <c r="J66" i="5"/>
  <c r="K64" i="5"/>
  <c r="L63" i="5"/>
  <c r="E78" i="5"/>
  <c r="E77" i="5"/>
  <c r="F76" i="5"/>
  <c r="G75" i="5"/>
  <c r="E83" i="5"/>
  <c r="E84" i="5"/>
  <c r="G81" i="5"/>
  <c r="F82" i="5"/>
  <c r="E90" i="5"/>
  <c r="E89" i="5"/>
  <c r="F88" i="5"/>
  <c r="G87" i="5"/>
  <c r="F124" i="5"/>
  <c r="F125" i="5"/>
  <c r="G123" i="5"/>
  <c r="H122" i="5"/>
  <c r="E131" i="5"/>
  <c r="E130" i="5"/>
  <c r="F129" i="5"/>
  <c r="G128" i="5"/>
  <c r="F137" i="5"/>
  <c r="F136" i="5"/>
  <c r="G135" i="5"/>
  <c r="H134" i="5"/>
  <c r="F141" i="5"/>
  <c r="G140" i="5"/>
  <c r="E143" i="5"/>
  <c r="E142" i="5"/>
  <c r="G60" i="5" l="1"/>
  <c r="G59" i="5"/>
  <c r="I57" i="5"/>
  <c r="H58" i="5"/>
  <c r="K66" i="5"/>
  <c r="K65" i="5"/>
  <c r="L64" i="5"/>
  <c r="M63" i="5"/>
  <c r="F78" i="5"/>
  <c r="F77" i="5"/>
  <c r="G76" i="5"/>
  <c r="H75" i="5"/>
  <c r="H81" i="5"/>
  <c r="G82" i="5"/>
  <c r="F83" i="5"/>
  <c r="F84" i="5"/>
  <c r="F90" i="5"/>
  <c r="F89" i="5"/>
  <c r="G88" i="5"/>
  <c r="H87" i="5"/>
  <c r="G125" i="5"/>
  <c r="G124" i="5"/>
  <c r="H123" i="5"/>
  <c r="I122" i="5"/>
  <c r="F131" i="5"/>
  <c r="F130" i="5"/>
  <c r="G129" i="5"/>
  <c r="H128" i="5"/>
  <c r="G137" i="5"/>
  <c r="G136" i="5"/>
  <c r="H135" i="5"/>
  <c r="I134" i="5"/>
  <c r="F143" i="5"/>
  <c r="F142" i="5"/>
  <c r="G141" i="5"/>
  <c r="H140" i="5"/>
  <c r="I58" i="5" l="1"/>
  <c r="J57" i="5"/>
  <c r="H60" i="5"/>
  <c r="H59" i="5"/>
  <c r="L65" i="5"/>
  <c r="L66" i="5"/>
  <c r="M64" i="5"/>
  <c r="N63" i="5"/>
  <c r="N64" i="5" s="1"/>
  <c r="G78" i="5"/>
  <c r="G77" i="5"/>
  <c r="I75" i="5"/>
  <c r="H76" i="5"/>
  <c r="H82" i="5"/>
  <c r="I81" i="5"/>
  <c r="G84" i="5"/>
  <c r="G83" i="5"/>
  <c r="G90" i="5"/>
  <c r="G89" i="5"/>
  <c r="H88" i="5"/>
  <c r="I87" i="5"/>
  <c r="H125" i="5"/>
  <c r="H124" i="5"/>
  <c r="I123" i="5"/>
  <c r="J122" i="5"/>
  <c r="G131" i="5"/>
  <c r="G130" i="5"/>
  <c r="H129" i="5"/>
  <c r="I128" i="5"/>
  <c r="H137" i="5"/>
  <c r="H136" i="5"/>
  <c r="I135" i="5"/>
  <c r="J134" i="5"/>
  <c r="G142" i="5"/>
  <c r="G143" i="5"/>
  <c r="H141" i="5"/>
  <c r="I140" i="5"/>
  <c r="I60" i="5" l="1"/>
  <c r="I59" i="5"/>
  <c r="K57" i="5"/>
  <c r="J58" i="5"/>
  <c r="M65" i="5"/>
  <c r="M66" i="5"/>
  <c r="N66" i="5"/>
  <c r="N65" i="5"/>
  <c r="I76" i="5"/>
  <c r="J75" i="5"/>
  <c r="H78" i="5"/>
  <c r="H77" i="5"/>
  <c r="H84" i="5"/>
  <c r="H83" i="5"/>
  <c r="I82" i="5"/>
  <c r="J81" i="5"/>
  <c r="H89" i="5"/>
  <c r="H90" i="5"/>
  <c r="J87" i="5"/>
  <c r="I88" i="5"/>
  <c r="I125" i="5"/>
  <c r="I124" i="5"/>
  <c r="J123" i="5"/>
  <c r="K122" i="5"/>
  <c r="H130" i="5"/>
  <c r="H131" i="5"/>
  <c r="I129" i="5"/>
  <c r="J128" i="5"/>
  <c r="I137" i="5"/>
  <c r="I136" i="5"/>
  <c r="J135" i="5"/>
  <c r="K134" i="5"/>
  <c r="H143" i="5"/>
  <c r="H142" i="5"/>
  <c r="J140" i="5"/>
  <c r="I141" i="5"/>
  <c r="K58" i="5" l="1"/>
  <c r="L57" i="5"/>
  <c r="J60" i="5"/>
  <c r="J59" i="5"/>
  <c r="I78" i="5"/>
  <c r="I77" i="5"/>
  <c r="J76" i="5"/>
  <c r="K75" i="5"/>
  <c r="I83" i="5"/>
  <c r="I84" i="5"/>
  <c r="K81" i="5"/>
  <c r="J82" i="5"/>
  <c r="K87" i="5"/>
  <c r="J88" i="5"/>
  <c r="I90" i="5"/>
  <c r="I89" i="5"/>
  <c r="J124" i="5"/>
  <c r="J125" i="5"/>
  <c r="K123" i="5"/>
  <c r="L122" i="5"/>
  <c r="I130" i="5"/>
  <c r="I131" i="5"/>
  <c r="J129" i="5"/>
  <c r="K128" i="5"/>
  <c r="J136" i="5"/>
  <c r="J137" i="5"/>
  <c r="L134" i="5"/>
  <c r="K135" i="5"/>
  <c r="K140" i="5"/>
  <c r="J141" i="5"/>
  <c r="I143" i="5"/>
  <c r="I142" i="5"/>
  <c r="K60" i="5" l="1"/>
  <c r="K59" i="5"/>
  <c r="L58" i="5"/>
  <c r="M57" i="5"/>
  <c r="J77" i="5"/>
  <c r="J78" i="5"/>
  <c r="L75" i="5"/>
  <c r="K76" i="5"/>
  <c r="L81" i="5"/>
  <c r="K82" i="5"/>
  <c r="J83" i="5"/>
  <c r="J84" i="5"/>
  <c r="K88" i="5"/>
  <c r="L87" i="5"/>
  <c r="J90" i="5"/>
  <c r="J89" i="5"/>
  <c r="K125" i="5"/>
  <c r="K124" i="5"/>
  <c r="M122" i="5"/>
  <c r="L123" i="5"/>
  <c r="J131" i="5"/>
  <c r="J130" i="5"/>
  <c r="K129" i="5"/>
  <c r="L128" i="5"/>
  <c r="L135" i="5"/>
  <c r="M134" i="5"/>
  <c r="K136" i="5"/>
  <c r="K137" i="5"/>
  <c r="K141" i="5"/>
  <c r="L140" i="5"/>
  <c r="J142" i="5"/>
  <c r="J143" i="5"/>
  <c r="L60" i="5" l="1"/>
  <c r="L59" i="5"/>
  <c r="M58" i="5"/>
  <c r="N57" i="5"/>
  <c r="N58" i="5" s="1"/>
  <c r="M75" i="5"/>
  <c r="L76" i="5"/>
  <c r="K78" i="5"/>
  <c r="K77" i="5"/>
  <c r="M81" i="5"/>
  <c r="L82" i="5"/>
  <c r="K84" i="5"/>
  <c r="K83" i="5"/>
  <c r="K90" i="5"/>
  <c r="K89" i="5"/>
  <c r="L88" i="5"/>
  <c r="M87" i="5"/>
  <c r="M123" i="5"/>
  <c r="N122" i="5"/>
  <c r="N123" i="5" s="1"/>
  <c r="L125" i="5"/>
  <c r="L124" i="5"/>
  <c r="K130" i="5"/>
  <c r="K131" i="5"/>
  <c r="L129" i="5"/>
  <c r="M128" i="5"/>
  <c r="L137" i="5"/>
  <c r="L136" i="5"/>
  <c r="M135" i="5"/>
  <c r="N134" i="5"/>
  <c r="N135" i="5" s="1"/>
  <c r="K143" i="5"/>
  <c r="K142" i="5"/>
  <c r="M140" i="5"/>
  <c r="L141" i="5"/>
  <c r="M60" i="5" l="1"/>
  <c r="M59" i="5"/>
  <c r="N60" i="5"/>
  <c r="N59" i="5"/>
  <c r="M76" i="5"/>
  <c r="N75" i="5"/>
  <c r="N76" i="5" s="1"/>
  <c r="L77" i="5"/>
  <c r="L78" i="5"/>
  <c r="N81" i="5"/>
  <c r="N82" i="5" s="1"/>
  <c r="M82" i="5"/>
  <c r="L83" i="5"/>
  <c r="L84" i="5"/>
  <c r="L90" i="5"/>
  <c r="L89" i="5"/>
  <c r="N87" i="5"/>
  <c r="N88" i="5" s="1"/>
  <c r="M88" i="5"/>
  <c r="M125" i="5"/>
  <c r="M124" i="5"/>
  <c r="N125" i="5"/>
  <c r="N124" i="5"/>
  <c r="L130" i="5"/>
  <c r="L131" i="5"/>
  <c r="N128" i="5"/>
  <c r="N129" i="5" s="1"/>
  <c r="M129" i="5"/>
  <c r="M136" i="5"/>
  <c r="M137" i="5"/>
  <c r="N136" i="5"/>
  <c r="N137" i="5"/>
  <c r="M141" i="5"/>
  <c r="N140" i="5"/>
  <c r="N141" i="5" s="1"/>
  <c r="L143" i="5"/>
  <c r="L142" i="5"/>
  <c r="C94" i="5" l="1"/>
  <c r="C96" i="5" s="1"/>
  <c r="F179" i="5" s="1"/>
  <c r="G179" i="5" s="1"/>
  <c r="M78" i="5"/>
  <c r="M77" i="5"/>
  <c r="N78" i="5"/>
  <c r="N77" i="5"/>
  <c r="N84" i="5"/>
  <c r="N83" i="5"/>
  <c r="M84" i="5"/>
  <c r="M83" i="5"/>
  <c r="N90" i="5"/>
  <c r="N89" i="5"/>
  <c r="M90" i="5"/>
  <c r="M89" i="5"/>
  <c r="N131" i="5"/>
  <c r="N130" i="5"/>
  <c r="M131" i="5"/>
  <c r="C145" i="5" s="1"/>
  <c r="D181" i="5" s="1"/>
  <c r="M130" i="5"/>
  <c r="M143" i="5"/>
  <c r="M142" i="5"/>
  <c r="N143" i="5"/>
  <c r="N142" i="5"/>
  <c r="C93" i="5" l="1"/>
  <c r="C95" i="5" s="1"/>
  <c r="E179" i="5" s="1"/>
  <c r="H179" i="5" s="1"/>
  <c r="C92" i="5"/>
  <c r="D179" i="5" s="1"/>
  <c r="C147" i="5"/>
  <c r="C149" i="5" s="1"/>
  <c r="F181" i="5" s="1"/>
  <c r="G181" i="5" s="1"/>
  <c r="H181" i="5" s="1"/>
  <c r="C146" i="5"/>
  <c r="C148" i="5" s="1"/>
  <c r="E181" i="5" s="1"/>
  <c r="F184" i="5" l="1"/>
  <c r="F187" i="5" l="1"/>
  <c r="F186" i="5"/>
  <c r="F189" i="5"/>
  <c r="F27" i="7" s="1"/>
  <c r="F188" i="5"/>
  <c r="D27" i="7" s="1"/>
  <c r="E27" i="7" s="1"/>
  <c r="L6" i="6" l="1"/>
  <c r="M6" i="6" s="1"/>
  <c r="C4" i="7"/>
  <c r="G27" i="7"/>
  <c r="C11" i="7" l="1"/>
  <c r="C42" i="7"/>
  <c r="C48" i="9" s="1"/>
  <c r="D48" i="9" s="1"/>
  <c r="F20" i="7"/>
  <c r="D29" i="7" s="1"/>
  <c r="E29" i="7" s="1"/>
  <c r="G29" i="7" s="1"/>
  <c r="E11" i="7" l="1"/>
  <c r="C13" i="7"/>
  <c r="F13" i="7" s="1"/>
  <c r="E14" i="7" s="1"/>
  <c r="D28" i="7" s="1"/>
  <c r="E28" i="7" s="1"/>
  <c r="E31" i="7" l="1"/>
  <c r="G28" i="7"/>
  <c r="F31" i="7" l="1"/>
  <c r="E38" i="7" s="1"/>
  <c r="G31" i="7"/>
  <c r="E37" i="7"/>
  <c r="C49" i="9" s="1"/>
  <c r="C52" i="9" l="1"/>
  <c r="E39" i="7"/>
  <c r="J42" i="7"/>
  <c r="C50" i="9" l="1"/>
  <c r="C51" i="9" s="1"/>
  <c r="E42" i="7"/>
  <c r="G4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B3" authorId="0" shapeId="0" xr:uid="{7FB0BE4F-EE24-3646-9944-9DBA9DF5291D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= variance / sum(variance)</t>
        </r>
      </text>
    </comment>
  </commentList>
</comments>
</file>

<file path=xl/sharedStrings.xml><?xml version="1.0" encoding="utf-8"?>
<sst xmlns="http://schemas.openxmlformats.org/spreadsheetml/2006/main" count="2844" uniqueCount="470">
  <si>
    <t>%</t>
  </si>
  <si>
    <t>=</t>
  </si>
  <si>
    <t>ID</t>
  </si>
  <si>
    <t>No</t>
  </si>
  <si>
    <t>b0</t>
  </si>
  <si>
    <t>b1</t>
  </si>
  <si>
    <t>b2</t>
  </si>
  <si>
    <t>b3</t>
  </si>
  <si>
    <t>k=</t>
  </si>
  <si>
    <t>+/-</t>
  </si>
  <si>
    <t>Day</t>
  </si>
  <si>
    <t>LS#</t>
  </si>
  <si>
    <t>Low</t>
  </si>
  <si>
    <t>%rel</t>
  </si>
  <si>
    <t>95CL</t>
  </si>
  <si>
    <t>=B22</t>
  </si>
  <si>
    <t>=B26</t>
  </si>
  <si>
    <t>=B27</t>
  </si>
  <si>
    <t>=C26</t>
  </si>
  <si>
    <t>=C27</t>
  </si>
  <si>
    <t>Conc</t>
  </si>
  <si>
    <t>Diff</t>
  </si>
  <si>
    <t>High</t>
  </si>
  <si>
    <t>Mean</t>
  </si>
  <si>
    <t>NIST</t>
  </si>
  <si>
    <t>Name</t>
  </si>
  <si>
    <t>Port</t>
  </si>
  <si>
    <t xml:space="preserve">SRM </t>
  </si>
  <si>
    <t>SRM#</t>
  </si>
  <si>
    <t>Std#</t>
  </si>
  <si>
    <t>Sunc</t>
  </si>
  <si>
    <t>Test</t>
  </si>
  <si>
    <t>Tinv</t>
  </si>
  <si>
    <t>Type</t>
  </si>
  <si>
    <t>d.f.</t>
  </si>
  <si>
    <t>u(b)</t>
  </si>
  <si>
    <t>u(m)</t>
  </si>
  <si>
    <t>%diff</t>
  </si>
  <si>
    <t>LS ID</t>
  </si>
  <si>
    <t>LSSet</t>
  </si>
  <si>
    <t>Ratio</t>
  </si>
  <si>
    <t>SConc</t>
  </si>
  <si>
    <t>Stdev</t>
  </si>
  <si>
    <t>Units</t>
  </si>
  <si>
    <t>Value</t>
  </si>
  <si>
    <t>X*  =</t>
  </si>
  <si>
    <t>names</t>
  </si>
  <si>
    <t>% Diff</t>
  </si>
  <si>
    <t>95% CI</t>
  </si>
  <si>
    <t>By Day</t>
  </si>
  <si>
    <t>Groups</t>
  </si>
  <si>
    <t>IN/OUT</t>
  </si>
  <si>
    <t>SRatio</t>
  </si>
  <si>
    <t>Sample</t>
  </si>
  <si>
    <t>Source</t>
  </si>
  <si>
    <t>StdErr</t>
  </si>
  <si>
    <t>Test =</t>
  </si>
  <si>
    <t>Uncert</t>
  </si>
  <si>
    <t>ValueG</t>
  </si>
  <si>
    <t>Vendor</t>
  </si>
  <si>
    <t>u(m,b)</t>
  </si>
  <si>
    <t>uncert</t>
  </si>
  <si>
    <t>vendor</t>
  </si>
  <si>
    <t>Average</t>
  </si>
  <si>
    <t>By Port</t>
  </si>
  <si>
    <t>Exp Unc</t>
  </si>
  <si>
    <t>Formula</t>
  </si>
  <si>
    <t>LS Bias</t>
  </si>
  <si>
    <t>Nominal</t>
  </si>
  <si>
    <t>Std Dev</t>
  </si>
  <si>
    <t>Std Unc</t>
  </si>
  <si>
    <t>Step 1.</t>
  </si>
  <si>
    <t>Step 2.</t>
  </si>
  <si>
    <t>Step 3.</t>
  </si>
  <si>
    <t>Step 4.</t>
  </si>
  <si>
    <t>Step 5.</t>
  </si>
  <si>
    <t>Step 6.</t>
  </si>
  <si>
    <t>Step 7.</t>
  </si>
  <si>
    <t>Step 8.</t>
  </si>
  <si>
    <t>Step 9.</t>
  </si>
  <si>
    <t>Suncert</t>
  </si>
  <si>
    <t>t value</t>
  </si>
  <si>
    <t xml:space="preserve">vendor </t>
  </si>
  <si>
    <r>
      <t>c</t>
    </r>
    <r>
      <rPr>
        <vertAlign val="subscript"/>
        <sz val="9"/>
        <rFont val="Univers"/>
        <charset val="1"/>
      </rPr>
      <t>i</t>
    </r>
  </si>
  <si>
    <r>
      <t>u</t>
    </r>
    <r>
      <rPr>
        <vertAlign val="subscript"/>
        <sz val="9"/>
        <rFont val="Univers"/>
        <charset val="1"/>
      </rPr>
      <t>i</t>
    </r>
  </si>
  <si>
    <t>BreakSet</t>
  </si>
  <si>
    <t>By Break</t>
  </si>
  <si>
    <t>By LSSet</t>
  </si>
  <si>
    <t xml:space="preserve">Cores = </t>
  </si>
  <si>
    <t xml:space="preserve">Count = </t>
  </si>
  <si>
    <t>Estimate</t>
  </si>
  <si>
    <t>LS Value</t>
  </si>
  <si>
    <t xml:space="preserve">Max N = </t>
  </si>
  <si>
    <t>R Values</t>
  </si>
  <si>
    <t>Relative</t>
  </si>
  <si>
    <t>SampleID</t>
  </si>
  <si>
    <t>SampleNo</t>
  </si>
  <si>
    <t>Standard</t>
  </si>
  <si>
    <t>Step 1.1</t>
  </si>
  <si>
    <t>Step 1.2</t>
  </si>
  <si>
    <t>Step 1.3</t>
  </si>
  <si>
    <t>Step 10.</t>
  </si>
  <si>
    <t>Step 2.1</t>
  </si>
  <si>
    <t>Step 3.1</t>
  </si>
  <si>
    <t>Step 3.2</t>
  </si>
  <si>
    <t>Step 3.3</t>
  </si>
  <si>
    <t>Variance</t>
  </si>
  <si>
    <t>Y=Ratios</t>
  </si>
  <si>
    <t>cylinder</t>
  </si>
  <si>
    <t>infinity</t>
  </si>
  <si>
    <t>Past Conc</t>
  </si>
  <si>
    <t>Pred Conc</t>
  </si>
  <si>
    <t>Predicted</t>
  </si>
  <si>
    <t>SRM Value</t>
  </si>
  <si>
    <t>Std Error</t>
  </si>
  <si>
    <t xml:space="preserve">Step 5.1 </t>
  </si>
  <si>
    <t>Ungrouped</t>
  </si>
  <si>
    <t xml:space="preserve">standard </t>
  </si>
  <si>
    <t>CylinderNo</t>
  </si>
  <si>
    <t>Keith Memo</t>
  </si>
  <si>
    <t>LS Rel Unc</t>
  </si>
  <si>
    <t>Output=A10</t>
  </si>
  <si>
    <t>Primary LS</t>
  </si>
  <si>
    <t>StandardID</t>
  </si>
  <si>
    <t>StandardNo</t>
  </si>
  <si>
    <t>difference</t>
  </si>
  <si>
    <t>(all k = 1)</t>
  </si>
  <si>
    <t>Calibration</t>
  </si>
  <si>
    <t>SRM Rel Unc</t>
  </si>
  <si>
    <t>Uncertainty</t>
  </si>
  <si>
    <t>VendorRatio</t>
  </si>
  <si>
    <t>= - D4*C27^2</t>
  </si>
  <si>
    <t>LS 95 % C.L.</t>
  </si>
  <si>
    <t>Lot Standard</t>
  </si>
  <si>
    <t>Number of LS</t>
  </si>
  <si>
    <t>Polynomial =</t>
  </si>
  <si>
    <t>Uncert (k=2)</t>
  </si>
  <si>
    <t>&lt;--EIV Degree</t>
  </si>
  <si>
    <t>Additional LS</t>
  </si>
  <si>
    <t>Interations =</t>
  </si>
  <si>
    <t>KE Memo VALUE</t>
  </si>
  <si>
    <t>Lot Standard:</t>
  </si>
  <si>
    <t>SRM 95 % C.L.</t>
  </si>
  <si>
    <r>
      <t xml:space="preserve">Slope, </t>
    </r>
    <r>
      <rPr>
        <i/>
        <sz val="9"/>
        <rFont val="Univers"/>
        <charset val="1"/>
      </rPr>
      <t>m</t>
    </r>
  </si>
  <si>
    <r>
      <t>slope,</t>
    </r>
    <r>
      <rPr>
        <i/>
        <sz val="9"/>
        <rFont val="Univers"/>
        <charset val="1"/>
      </rPr>
      <t xml:space="preserve"> m</t>
    </r>
  </si>
  <si>
    <t>By Cylinder ID</t>
  </si>
  <si>
    <t>Genline Values</t>
  </si>
  <si>
    <t>KE Memo Value:</t>
  </si>
  <si>
    <t>LS uncertainty</t>
  </si>
  <si>
    <t>Mean Ratio, Y*</t>
  </si>
  <si>
    <t>Mean ratio, Y*</t>
  </si>
  <si>
    <t>Random Effects</t>
  </si>
  <si>
    <t>SRM uncertainty</t>
  </si>
  <si>
    <t>Allowed coverage</t>
  </si>
  <si>
    <t>Primary Standards</t>
  </si>
  <si>
    <t>Regression Output</t>
  </si>
  <si>
    <r>
      <t>c</t>
    </r>
    <r>
      <rPr>
        <vertAlign val="subscript"/>
        <sz val="9"/>
        <rFont val="Univers"/>
        <charset val="1"/>
      </rPr>
      <t>i</t>
    </r>
    <r>
      <rPr>
        <sz val="9"/>
        <rFont val="Univers"/>
        <charset val="1"/>
      </rPr>
      <t>u</t>
    </r>
    <r>
      <rPr>
        <vertAlign val="subscript"/>
        <sz val="9"/>
        <rFont val="Univers"/>
        <charset val="1"/>
      </rPr>
      <t>i</t>
    </r>
  </si>
  <si>
    <r>
      <t>Cov(</t>
    </r>
    <r>
      <rPr>
        <i/>
        <sz val="9"/>
        <rFont val="Univers"/>
        <charset val="1"/>
      </rPr>
      <t>m,b</t>
    </r>
    <r>
      <rPr>
        <sz val="9"/>
        <rFont val="Univers"/>
        <charset val="1"/>
      </rPr>
      <t>)</t>
    </r>
  </si>
  <si>
    <r>
      <t xml:space="preserve">Intercept, </t>
    </r>
    <r>
      <rPr>
        <i/>
        <sz val="9"/>
        <rFont val="Univers"/>
        <charset val="1"/>
      </rPr>
      <t>b</t>
    </r>
  </si>
  <si>
    <r>
      <t>intercept,</t>
    </r>
    <r>
      <rPr>
        <i/>
        <sz val="9"/>
        <rFont val="Univers"/>
        <charset val="1"/>
      </rPr>
      <t xml:space="preserve"> b</t>
    </r>
  </si>
  <si>
    <t>Effective k factor</t>
  </si>
  <si>
    <t>Mean of all ratios</t>
  </si>
  <si>
    <t xml:space="preserve">PSM Uncertainty = </t>
  </si>
  <si>
    <t>Past Lot Standards</t>
  </si>
  <si>
    <t>degrees of freedom</t>
  </si>
  <si>
    <t>Criteria for lookup</t>
  </si>
  <si>
    <t>Do Regression Below</t>
  </si>
  <si>
    <t xml:space="preserve">Number of points = </t>
  </si>
  <si>
    <t>n, Number of ratios</t>
  </si>
  <si>
    <t>&lt;--Monte Carlo Slope</t>
  </si>
  <si>
    <t xml:space="preserve">Degrees of Freedom, </t>
  </si>
  <si>
    <t>EXPANDED UNCERTAINTY</t>
  </si>
  <si>
    <t>SINGLE FACTOR MODELS</t>
  </si>
  <si>
    <t>Grouping Factor = Day</t>
  </si>
  <si>
    <t>Number of measurents:</t>
  </si>
  <si>
    <t>Average Concentration:</t>
  </si>
  <si>
    <t>Grouping Factor = Port</t>
  </si>
  <si>
    <t>Named Range: RatioData</t>
  </si>
  <si>
    <t>&lt;--Monte Carlo estimate</t>
  </si>
  <si>
    <t>Fixed Effects Intercept</t>
  </si>
  <si>
    <t>&lt;--Monte Carlo Intercept</t>
  </si>
  <si>
    <t>Additional Lot Standards</t>
  </si>
  <si>
    <t>Average Conc for Past LS</t>
  </si>
  <si>
    <t>Correlation Coefficients</t>
  </si>
  <si>
    <t>Grouping factor = LS-Set</t>
  </si>
  <si>
    <t>NESTED TWO-FACTOR MODELS</t>
  </si>
  <si>
    <t>Port = COGAS Port number</t>
  </si>
  <si>
    <t>Regression output, below</t>
  </si>
  <si>
    <r>
      <t xml:space="preserve">Expansion factor, </t>
    </r>
    <r>
      <rPr>
        <i/>
        <sz val="9"/>
        <rFont val="Univers"/>
        <charset val="1"/>
      </rPr>
      <t>k</t>
    </r>
  </si>
  <si>
    <t>Certified Value (R Code):</t>
  </si>
  <si>
    <t>Grouping Factor = BreakSet</t>
  </si>
  <si>
    <t>Standard Uncertainty, s(Y*)</t>
  </si>
  <si>
    <t>ANALYSIS OF CALIBRATION DATA</t>
  </si>
  <si>
    <t>Maximum standard uncertainty</t>
  </si>
  <si>
    <t>SUMMARY FOR HOMOGENEITY DATA</t>
  </si>
  <si>
    <t>X=Concentration of Standards</t>
  </si>
  <si>
    <r>
      <t xml:space="preserve">Expanded uncertainty, </t>
    </r>
    <r>
      <rPr>
        <i/>
        <sz val="9"/>
        <rFont val="Univers"/>
        <charset val="1"/>
      </rPr>
      <t>U</t>
    </r>
  </si>
  <si>
    <t>&lt;--Concentration From ISO6143</t>
  </si>
  <si>
    <t>COMBINED STANDARD UNCERTAINTY</t>
  </si>
  <si>
    <t>Grouping factor = Cylinder ID</t>
  </si>
  <si>
    <r>
      <t>2c</t>
    </r>
    <r>
      <rPr>
        <vertAlign val="subscript"/>
        <sz val="9"/>
        <rFont val="Univers"/>
        <charset val="1"/>
      </rPr>
      <t>1</t>
    </r>
    <r>
      <rPr>
        <sz val="9"/>
        <rFont val="Univers"/>
        <charset val="1"/>
      </rPr>
      <t>c</t>
    </r>
    <r>
      <rPr>
        <vertAlign val="subscript"/>
        <sz val="9"/>
        <rFont val="Univers"/>
        <charset val="1"/>
      </rPr>
      <t>2</t>
    </r>
    <r>
      <rPr>
        <sz val="9"/>
        <rFont val="Univers"/>
        <charset val="1"/>
      </rPr>
      <t>u</t>
    </r>
    <r>
      <rPr>
        <vertAlign val="subscript"/>
        <sz val="9"/>
        <rFont val="Univers"/>
        <charset val="1"/>
      </rPr>
      <t>12</t>
    </r>
  </si>
  <si>
    <t>&lt;--Assumed LS Ratio and uncert</t>
  </si>
  <si>
    <t>Analysis Function Coefficients</t>
  </si>
  <si>
    <t>Analysis producing the maximum</t>
  </si>
  <si>
    <t>UNGROUPED MODEL (ZERO FACTORS)</t>
  </si>
  <si>
    <t>&lt;--Concentration of LS from OLS</t>
  </si>
  <si>
    <t>Ratio = ratio of response to LS</t>
  </si>
  <si>
    <t>s/sqrt(n), Standard uncertainty</t>
  </si>
  <si>
    <t>UNCERTAINTY OF PRIMARY STANDARDS</t>
  </si>
  <si>
    <t>Named Ranges: "SConc" and "SRatio"</t>
  </si>
  <si>
    <t>&lt;--ISO6143 Lot Conc and uncertainty</t>
  </si>
  <si>
    <t>s, Standard deviation of all ratios</t>
  </si>
  <si>
    <t>UNCERTAINTY COMPONENT DUE TO CALIBRATION</t>
  </si>
  <si>
    <t>(from ratio, LS conc, and LS bias uncerts)</t>
  </si>
  <si>
    <r>
      <t xml:space="preserve">Combined standard uncertainty, </t>
    </r>
    <r>
      <rPr>
        <i/>
        <sz val="9"/>
        <rFont val="Univers"/>
        <charset val="1"/>
      </rPr>
      <t>u</t>
    </r>
    <r>
      <rPr>
        <vertAlign val="subscript"/>
        <sz val="9"/>
        <rFont val="Univers"/>
        <charset val="1"/>
      </rPr>
      <t>c</t>
    </r>
  </si>
  <si>
    <r>
      <t xml:space="preserve">Combined standard uncertainty, </t>
    </r>
    <r>
      <rPr>
        <i/>
        <sz val="9"/>
        <rFont val="Univers"/>
        <charset val="1"/>
      </rPr>
      <t>u(cal)</t>
    </r>
  </si>
  <si>
    <t>Day = All measurements taken on the same day</t>
  </si>
  <si>
    <t>SAME AS UNGROUPED MODEL (LS BRACKETS EACH RUN)</t>
  </si>
  <si>
    <t xml:space="preserve">Table 3.  Calculation of Expanded Uncertainty </t>
  </si>
  <si>
    <t>&lt;--DO NOT USE ON A SPREEDSHEET YOU HAVE NOT SAVED</t>
  </si>
  <si>
    <t>&lt;---THIS WILL PREPARE THE SPREADSHEETS FOR NEW DATA</t>
  </si>
  <si>
    <t>Table 2.  Computation of Combined Standard Uncertainty</t>
  </si>
  <si>
    <t>&lt;--overrides standards uncertainty column in table to left</t>
  </si>
  <si>
    <t>As long as we have more than 2 days worth of data for ratios</t>
  </si>
  <si>
    <t>ANOVA not required anymore - Keith Eberhardt ruling (8-22-97)</t>
  </si>
  <si>
    <r>
      <t xml:space="preserve">Relative std. deviation of Primary Standards, </t>
    </r>
    <r>
      <rPr>
        <i/>
        <sz val="9"/>
        <rFont val="Univers"/>
        <charset val="1"/>
      </rPr>
      <t>r</t>
    </r>
    <r>
      <rPr>
        <sz val="9"/>
        <rFont val="Univers"/>
        <charset val="1"/>
      </rPr>
      <t xml:space="preserve">(PS) = </t>
    </r>
  </si>
  <si>
    <r>
      <t xml:space="preserve">Standard uncertainty (in concentration units), </t>
    </r>
    <r>
      <rPr>
        <i/>
        <sz val="9"/>
        <rFont val="Univers"/>
        <charset val="1"/>
      </rPr>
      <t>u</t>
    </r>
    <r>
      <rPr>
        <sz val="9"/>
        <rFont val="Univers"/>
        <charset val="1"/>
      </rPr>
      <t>(PS) =</t>
    </r>
  </si>
  <si>
    <t>(Already done in Step 2.1 above -- we'll use those calculations.)</t>
  </si>
  <si>
    <t>Table 1.  Computation of standard uncertainty component due to calibration.</t>
  </si>
  <si>
    <t>BreakSet = all ratios measured without significant interruption (COGAS setup)</t>
  </si>
  <si>
    <t>LSSet = all ratios measured between LS measurements are a "set" and are assigned the same number (1,2,3…)</t>
  </si>
  <si>
    <t>k</t>
  </si>
  <si>
    <t>CI95-Lower</t>
  </si>
  <si>
    <t>CI95-Upper</t>
  </si>
  <si>
    <t>CI 95</t>
  </si>
  <si>
    <t>Lower</t>
  </si>
  <si>
    <t>Upper</t>
  </si>
  <si>
    <t>Number of points =</t>
  </si>
  <si>
    <t>Number of stds</t>
  </si>
  <si>
    <t xml:space="preserve">Past Conc </t>
  </si>
  <si>
    <t xml:space="preserve">Pred Conc </t>
  </si>
  <si>
    <t xml:space="preserve">% Diff </t>
  </si>
  <si>
    <t xml:space="preserve">Abs Value </t>
  </si>
  <si>
    <t xml:space="preserve">Avg % Diff </t>
  </si>
  <si>
    <t xml:space="preserve">Mean of means  </t>
  </si>
  <si>
    <t xml:space="preserve">s, standard deviation  </t>
  </si>
  <si>
    <t xml:space="preserve">n, number of means  </t>
  </si>
  <si>
    <t xml:space="preserve">s/sqrt(n), Std. Unc.  </t>
  </si>
  <si>
    <t xml:space="preserve">degrees of freedom  </t>
  </si>
  <si>
    <t>LS #</t>
  </si>
  <si>
    <t>SampleID = SRM designation (eg., 41-M-05)</t>
  </si>
  <si>
    <t>SampleNo = number associated with sampleID (e.g., 5)</t>
  </si>
  <si>
    <t>Put SRM information here</t>
  </si>
  <si>
    <t>Make sure Sunc is given as standard uncertainty (k = 1)!</t>
  </si>
  <si>
    <t>Additional Lot standards: LS# = 2, 3, 4. LS# 1 is always control LS used.</t>
  </si>
  <si>
    <t>Past Lot Standards: LS# = 1, 2, 3,...,N. This numbering is independent from the additional LSs.</t>
  </si>
  <si>
    <t>Number PSMs in order from lowest to highest concentration</t>
  </si>
  <si>
    <t xml:space="preserve">  *Assigned values for Additional LSs are listed in the RCertification tab (Column A Row 72)*</t>
  </si>
  <si>
    <t>Before sending your data to Christina, please format the filename as follows:</t>
  </si>
  <si>
    <t>Examples:</t>
  </si>
  <si>
    <t>SRM1687b_SeriesM_CEL_NO.xls</t>
  </si>
  <si>
    <t>SRM1693a_SeriesN_MEK.xls</t>
  </si>
  <si>
    <t>No spaces!</t>
  </si>
  <si>
    <r>
      <t>[SRM number]</t>
    </r>
    <r>
      <rPr>
        <sz val="9"/>
        <rFont val="Univers"/>
        <charset val="1"/>
      </rPr>
      <t>_[Series]_[your initials]_[</t>
    </r>
    <r>
      <rPr>
        <i/>
        <sz val="9"/>
        <rFont val="Univers"/>
        <charset val="1"/>
      </rPr>
      <t>component - only for NO/NOx</t>
    </r>
    <r>
      <rPr>
        <sz val="9"/>
        <rFont val="Univers"/>
        <charset val="1"/>
      </rPr>
      <t>].xls</t>
    </r>
  </si>
  <si>
    <t xml:space="preserve">R analysis date: </t>
  </si>
  <si>
    <t>Cylinder-specific uncertainties</t>
  </si>
  <si>
    <t>uHistorical</t>
  </si>
  <si>
    <t>Additional LSs</t>
  </si>
  <si>
    <t>uHistorical Lot</t>
  </si>
  <si>
    <t>u(Value)</t>
  </si>
  <si>
    <t>U95(Value)</t>
  </si>
  <si>
    <t>k95</t>
  </si>
  <si>
    <t>CI 95 Lower</t>
  </si>
  <si>
    <t>CI 95 Upper</t>
  </si>
  <si>
    <t>ratio</t>
  </si>
  <si>
    <t>uratio</t>
  </si>
  <si>
    <t>Pred unc</t>
  </si>
  <si>
    <t>cov(b0,b1)</t>
  </si>
  <si>
    <t>cov(b0,b2)</t>
  </si>
  <si>
    <t>cov(b1,b2)</t>
  </si>
  <si>
    <t>Linear</t>
  </si>
  <si>
    <t>Quadratic</t>
  </si>
  <si>
    <t>SQRT(($M$3 + 2 * $M$4 * M12) ^ 2 * M13 ^ 2 + $N$2 ^ 2 + ($N$3 ^ 2 * M12 ^ 2) + ($N$4 ^ 2 * M12 ^ 4) + (2 * M12 * $O$2) + (2 * $P$2 * M12 ^ 2) + (2 * $Q$2* M12 ^ 3))</t>
  </si>
  <si>
    <t>SQRT(($M$3 * M13) ^ 2 + $N$2 ^ 2 + (M12 * $N$3) ^ 2 + (2 * M12 * $O$2))</t>
  </si>
  <si>
    <t>From the R model - analysis producing the maximum</t>
  </si>
  <si>
    <t>From "RCertification"</t>
  </si>
  <si>
    <t>cov(x,y) = corr.coeff(x,y)*ux*uy</t>
  </si>
  <si>
    <t>https://towardsdatascience.com/covariance-and-correlation-321fdacab168</t>
  </si>
  <si>
    <t>https://web.stanford.edu/class/archive/cs/cs109/cs109.1178/lectureHandouts/150-covariance.pdf</t>
  </si>
  <si>
    <t>5 ppm NO in N2</t>
  </si>
  <si>
    <t>ppm</t>
  </si>
  <si>
    <t>48-I-05</t>
  </si>
  <si>
    <t>48-I-06</t>
  </si>
  <si>
    <t>48-I-07</t>
  </si>
  <si>
    <t>48-I-08</t>
  </si>
  <si>
    <t>48-I-09</t>
  </si>
  <si>
    <t>48-I-10</t>
  </si>
  <si>
    <t>48-I-11</t>
  </si>
  <si>
    <t>48-I-12</t>
  </si>
  <si>
    <t>48-I-13</t>
  </si>
  <si>
    <t>48-I-14</t>
  </si>
  <si>
    <t>48-I-15</t>
  </si>
  <si>
    <t>48-I-16</t>
  </si>
  <si>
    <t>48-I-17</t>
  </si>
  <si>
    <t>48-I-18</t>
  </si>
  <si>
    <t>48-I-19</t>
  </si>
  <si>
    <t>48-I-20</t>
  </si>
  <si>
    <t>48-I-21</t>
  </si>
  <si>
    <t>48-I-22</t>
  </si>
  <si>
    <t>48-I-23</t>
  </si>
  <si>
    <t>48-I-24</t>
  </si>
  <si>
    <t>48-I-25</t>
  </si>
  <si>
    <t>48-I-26</t>
  </si>
  <si>
    <t>48-I-27</t>
  </si>
  <si>
    <t>48-I-28</t>
  </si>
  <si>
    <t>48-I-29</t>
  </si>
  <si>
    <t>48-I-30</t>
  </si>
  <si>
    <t>48-I-31</t>
  </si>
  <si>
    <t>48-I-32</t>
  </si>
  <si>
    <t>48-I-33</t>
  </si>
  <si>
    <t>48-I-34</t>
  </si>
  <si>
    <t>48-I-35</t>
  </si>
  <si>
    <t>48-I-36</t>
  </si>
  <si>
    <t>48-I-37</t>
  </si>
  <si>
    <t>48-I-38</t>
  </si>
  <si>
    <t>48-I-39</t>
  </si>
  <si>
    <t>48-I-40</t>
  </si>
  <si>
    <t>48-I-41</t>
  </si>
  <si>
    <t>48-I-42</t>
  </si>
  <si>
    <t>48-I-43</t>
  </si>
  <si>
    <t>48-I-44</t>
  </si>
  <si>
    <t>48-I-45</t>
  </si>
  <si>
    <t>48-I-46</t>
  </si>
  <si>
    <t>48-I-47</t>
  </si>
  <si>
    <t>48-I-48</t>
  </si>
  <si>
    <t>48-I-49</t>
  </si>
  <si>
    <t>48-I-50</t>
  </si>
  <si>
    <t>48-I-51</t>
  </si>
  <si>
    <t>48-I-52</t>
  </si>
  <si>
    <t>48-I-53</t>
  </si>
  <si>
    <t>48-I-54</t>
  </si>
  <si>
    <t>48-I-55</t>
  </si>
  <si>
    <t>48-I-56</t>
  </si>
  <si>
    <t>48-I-57</t>
  </si>
  <si>
    <t>48-I-58</t>
  </si>
  <si>
    <t>48-I-59</t>
  </si>
  <si>
    <t>48-I-60</t>
  </si>
  <si>
    <t>48-I-61</t>
  </si>
  <si>
    <t>48-I-62</t>
  </si>
  <si>
    <t>48-I-63</t>
  </si>
  <si>
    <t>48-I-64</t>
  </si>
  <si>
    <t>11/25/2024 - CEC checked/amended original file after reviewing raw data, now addresses everythign in "…-marked.xls"</t>
  </si>
  <si>
    <t>FF57833</t>
  </si>
  <si>
    <t>FF58537</t>
  </si>
  <si>
    <t>FF58526</t>
  </si>
  <si>
    <t>FF58516</t>
  </si>
  <si>
    <t>FF57814</t>
  </si>
  <si>
    <t>FF57848</t>
  </si>
  <si>
    <t>FF58545</t>
  </si>
  <si>
    <t>FF58509</t>
  </si>
  <si>
    <t>FF57836</t>
  </si>
  <si>
    <t>FF57812</t>
  </si>
  <si>
    <t>FF57845</t>
  </si>
  <si>
    <t>FF57843</t>
  </si>
  <si>
    <t>FF57849</t>
  </si>
  <si>
    <t>FF57846</t>
  </si>
  <si>
    <t>FF57809</t>
  </si>
  <si>
    <t>FF57813</t>
  </si>
  <si>
    <t>FF57838</t>
  </si>
  <si>
    <t>FF58554</t>
  </si>
  <si>
    <t>FF57868</t>
  </si>
  <si>
    <t>FF57821</t>
  </si>
  <si>
    <t>FF58565</t>
  </si>
  <si>
    <t>FF57855</t>
  </si>
  <si>
    <t>FF57839</t>
  </si>
  <si>
    <t>FF57852</t>
  </si>
  <si>
    <t>FF57834</t>
  </si>
  <si>
    <t>FF58551</t>
  </si>
  <si>
    <t>FF57844</t>
  </si>
  <si>
    <t>FF57840</t>
  </si>
  <si>
    <t>FF57847</t>
  </si>
  <si>
    <t>FF57859</t>
  </si>
  <si>
    <t>FF57820</t>
  </si>
  <si>
    <t>FF58559</t>
  </si>
  <si>
    <t>FF57863</t>
  </si>
  <si>
    <t>FF57830</t>
  </si>
  <si>
    <t>FF57842</t>
  </si>
  <si>
    <t>FF57854</t>
  </si>
  <si>
    <t>FF58532</t>
  </si>
  <si>
    <t>FF57822</t>
  </si>
  <si>
    <t>FF57850</t>
  </si>
  <si>
    <t>FF57775</t>
  </si>
  <si>
    <t>FF57841</t>
  </si>
  <si>
    <t>FF58546</t>
  </si>
  <si>
    <t>FF57815</t>
  </si>
  <si>
    <t>FF58506</t>
  </si>
  <si>
    <t>FF57825</t>
  </si>
  <si>
    <t>FF57824</t>
  </si>
  <si>
    <t>FF57853</t>
  </si>
  <si>
    <t>FF57832</t>
  </si>
  <si>
    <t>FF57810</t>
  </si>
  <si>
    <t>FF57828</t>
  </si>
  <si>
    <t>FF58560</t>
  </si>
  <si>
    <t>FF57818</t>
  </si>
  <si>
    <t>FF57851</t>
  </si>
  <si>
    <t>FF58558</t>
  </si>
  <si>
    <t>FF58553</t>
  </si>
  <si>
    <t>FF58520</t>
  </si>
  <si>
    <t>FF57823</t>
  </si>
  <si>
    <t>FF58543</t>
  </si>
  <si>
    <t>FF57826</t>
  </si>
  <si>
    <t>FF38000</t>
  </si>
  <si>
    <t>FF38022</t>
  </si>
  <si>
    <t>FF18162</t>
  </si>
  <si>
    <t>CAL016209</t>
  </si>
  <si>
    <t>8-IL-02</t>
  </si>
  <si>
    <t>8-IL-03</t>
  </si>
  <si>
    <t>8-IL-04</t>
  </si>
  <si>
    <t>SRM 2627a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</si>
  <si>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</si>
  <si>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</si>
  <si>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</si>
  <si>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</si>
  <si>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</si>
  <si>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</si>
  <si>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</si>
  <si>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</si>
  <si>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</si>
  <si>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</si>
  <si>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</si>
  <si>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</si>
  <si>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</si>
  <si>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</si>
  <si>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</si>
  <si>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</si>
  <si>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</si>
  <si>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</si>
  <si>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</si>
  <si>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</si>
  <si>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</si>
  <si>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</si>
  <si>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</si>
  <si>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</si>
  <si>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</si>
  <si>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</si>
  <si>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</si>
  <si>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</si>
  <si>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</si>
  <si>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GENLINE - Linear (y=b0+b1*x)</t>
  </si>
  <si>
    <t>rms residual error</t>
  </si>
  <si>
    <t>X</t>
  </si>
  <si>
    <t>Y</t>
  </si>
  <si>
    <t>X-Solution</t>
  </si>
  <si>
    <t>Y-Solution</t>
  </si>
  <si>
    <t>uTest</t>
  </si>
  <si>
    <t>PASS</t>
  </si>
  <si>
    <t>Xin</t>
  </si>
  <si>
    <t>uXin</t>
  </si>
  <si>
    <t>Yeval</t>
  </si>
  <si>
    <t>uYeval</t>
  </si>
  <si>
    <t>Note: Cassie originally pulled these from dataset. Putting here for future reference.</t>
  </si>
  <si>
    <t/>
  </si>
  <si>
    <t>LSSet:BreakSet</t>
  </si>
  <si>
    <t>(Intercept)</t>
  </si>
  <si>
    <t>OUT</t>
  </si>
  <si>
    <t>November 26 2024</t>
  </si>
  <si>
    <t>low end</t>
  </si>
  <si>
    <t>outlier</t>
  </si>
  <si>
    <t>low pressure</t>
  </si>
  <si>
    <t>high uncert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</si>
</sst>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0.0000"/>
    <numFmt numFmtId="165" formatCode="0.0"/>
    <numFmt numFmtId="166" formatCode="0.000"/>
    <numFmt numFmtId="167" formatCode="0.0%"/>
    <numFmt numFmtId="168" formatCode="0.00000"/>
    <numFmt numFmtId="169" formatCode="0.000%"/>
    <numFmt numFmtId="170" formatCode="0.0000000"/>
    <numFmt numFmtId="171" formatCode="0.000000"/>
    <numFmt numFmtId="172" formatCode="0.00000000"/>
    <numFmt numFmtId="173" formatCode="0.000E+00"/>
    <numFmt numFmtId="174" formatCode="0.000E+00;\"/>
    <numFmt numFmtId="175" formatCode="_(* #,##0.00000_);_(* \(#,##0.00000\);_(* &quot;-&quot;??_);_(@_)"/>
    <numFmt numFmtId="176" formatCode="0.0000%"/>
    <numFmt numFmtId="177" formatCode="0%\ &quot;of the variance is attributed to:&quot;"/>
    <numFmt numFmtId="178" formatCode="mm/dd/yyyy\ hh:mm:ss"/>
  </numFmts>
  <fonts count="40" x14ac:knownFonts="1">
    <font>
      <sz val="9"/>
      <name val="Univers"/>
      <charset val="1"/>
    </font>
    <font>
      <b/>
      <sz val="9"/>
      <name val="Univers"/>
      <charset val="1"/>
    </font>
    <font>
      <i/>
      <sz val="9"/>
      <name val="Univers"/>
      <charset val="1"/>
    </font>
    <font>
      <sz val="9"/>
      <name val="Univers"/>
      <charset val="1"/>
    </font>
    <font>
      <sz val="9"/>
      <name val="Univers"/>
      <family val="2"/>
      <charset val="1"/>
    </font>
    <font>
      <sz val="9"/>
      <color indexed="10"/>
      <name val="Univers"/>
      <charset val="1"/>
    </font>
    <font>
      <b/>
      <sz val="9"/>
      <name val="Arial"/>
      <family val="2"/>
    </font>
    <font>
      <sz val="9"/>
      <name val="Arial"/>
      <family val="2"/>
    </font>
    <font>
      <sz val="9"/>
      <color indexed="17"/>
      <name val="Univers"/>
      <charset val="1"/>
    </font>
    <font>
      <b/>
      <sz val="9"/>
      <name val="Arial"/>
      <family val="2"/>
    </font>
    <font>
      <vertAlign val="subscript"/>
      <sz val="9"/>
      <name val="Univers"/>
      <charset val="1"/>
    </font>
    <font>
      <sz val="10"/>
      <name val="Univers"/>
      <charset val="1"/>
    </font>
    <font>
      <b/>
      <sz val="10"/>
      <name val="Arial"/>
      <family val="2"/>
    </font>
    <font>
      <b/>
      <sz val="10"/>
      <name val="Univers"/>
      <charset val="1"/>
    </font>
    <font>
      <sz val="6"/>
      <name val="Univers"/>
      <charset val="1"/>
    </font>
    <font>
      <sz val="9"/>
      <name val="Univers"/>
      <charset val="1"/>
    </font>
    <font>
      <sz val="8"/>
      <name val="Univers"/>
      <charset val="1"/>
    </font>
    <font>
      <sz val="9"/>
      <color indexed="10"/>
      <name val="Univers"/>
      <family val="2"/>
      <charset val="1"/>
    </font>
    <font>
      <b/>
      <sz val="9"/>
      <color indexed="10"/>
      <name val="Univers"/>
      <charset val="1"/>
    </font>
    <font>
      <b/>
      <sz val="9"/>
      <color indexed="12"/>
      <name val="Univers"/>
      <charset val="1"/>
    </font>
    <font>
      <b/>
      <sz val="9"/>
      <color indexed="57"/>
      <name val="Univers"/>
      <charset val="1"/>
    </font>
    <font>
      <sz val="9"/>
      <name val="Univers"/>
      <family val="2"/>
      <charset val="1"/>
    </font>
    <font>
      <sz val="10"/>
      <color indexed="17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sz val="9"/>
      <color indexed="10"/>
      <name val="Univers"/>
      <charset val="1"/>
    </font>
    <font>
      <sz val="9"/>
      <color indexed="17"/>
      <name val="Univers"/>
      <charset val="1"/>
    </font>
    <font>
      <sz val="9"/>
      <color indexed="10"/>
      <name val="Univers"/>
      <family val="2"/>
      <charset val="1"/>
    </font>
    <font>
      <b/>
      <sz val="9"/>
      <color indexed="10"/>
      <name val="Univers"/>
      <charset val="1"/>
    </font>
    <font>
      <b/>
      <sz val="10"/>
      <color indexed="60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b/>
      <sz val="10"/>
      <color rgb="FF0061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6EFCE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0" fontId="34" fillId="8" borderId="0" applyNumberFormat="0" applyBorder="0" applyAlignment="0" applyProtection="0"/>
    <xf numFmtId="0" fontId="35" fillId="9" borderId="0" applyNumberFormat="0" applyBorder="0" applyAlignment="0" applyProtection="0"/>
    <xf numFmtId="0" fontId="36" fillId="10" borderId="0" applyNumberFormat="0" applyBorder="0" applyAlignment="0" applyProtection="0"/>
    <xf numFmtId="43" fontId="3" fillId="0" borderId="0" applyFont="0" applyFill="0" applyBorder="0" applyAlignment="0" applyProtection="0"/>
    <xf numFmtId="0" fontId="37" fillId="11" borderId="0" applyNumberFormat="0" applyBorder="0" applyAlignment="0" applyProtection="0"/>
    <xf numFmtId="0" fontId="38" fillId="12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wrapText="1"/>
    </xf>
    <xf numFmtId="178" fontId="3" fillId="0" borderId="0" applyFont="0" applyFill="0" applyBorder="0" applyProtection="0">
      <alignment wrapText="1"/>
    </xf>
    <xf numFmtId="0" fontId="3" fillId="2" borderId="0" applyNumberFormat="0" applyFont="0" applyBorder="0" applyProtection="0">
      <alignment wrapText="1"/>
    </xf>
    <xf numFmtId="0" fontId="3" fillId="0" borderId="0" applyNumberFormat="0" applyFont="0" applyFill="0" applyBorder="0" applyProtection="0">
      <alignment wrapText="1"/>
    </xf>
    <xf numFmtId="0" fontId="3" fillId="0" borderId="0" applyNumberFormat="0" applyFont="0" applyFill="0" applyBorder="0" applyProtection="0">
      <alignment wrapText="1"/>
    </xf>
  </cellStyleXfs>
  <cellXfs count="50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7" applyNumberFormat="1" applyFont="1" applyBorder="1"/>
    <xf numFmtId="168" fontId="0" fillId="0" borderId="0" xfId="0" applyNumberFormat="1" applyAlignment="1">
      <alignment horizontal="center"/>
    </xf>
    <xf numFmtId="2" fontId="0" fillId="0" borderId="0" xfId="0" applyNumberFormat="1"/>
    <xf numFmtId="0" fontId="5" fillId="0" borderId="0" xfId="0" applyFont="1"/>
    <xf numFmtId="0" fontId="1" fillId="0" borderId="0" xfId="0" applyFont="1"/>
    <xf numFmtId="0" fontId="0" fillId="3" borderId="0" xfId="0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0" fontId="7" fillId="0" borderId="1" xfId="0" applyFont="1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 applyAlignment="1">
      <alignment horizontal="right"/>
    </xf>
    <xf numFmtId="0" fontId="0" fillId="3" borderId="0" xfId="0" quotePrefix="1" applyFill="1" applyAlignment="1">
      <alignment horizontal="right"/>
    </xf>
    <xf numFmtId="0" fontId="8" fillId="0" borderId="0" xfId="0" applyFont="1"/>
    <xf numFmtId="0" fontId="0" fillId="0" borderId="0" xfId="0" quotePrefix="1"/>
    <xf numFmtId="0" fontId="0" fillId="0" borderId="7" xfId="0" applyBorder="1" applyAlignment="1">
      <alignment horizontal="center"/>
    </xf>
    <xf numFmtId="168" fontId="0" fillId="0" borderId="0" xfId="0" applyNumberFormat="1"/>
    <xf numFmtId="171" fontId="0" fillId="0" borderId="0" xfId="0" applyNumberFormat="1"/>
    <xf numFmtId="0" fontId="0" fillId="0" borderId="4" xfId="0" applyBorder="1" applyAlignment="1">
      <alignment horizontal="left"/>
    </xf>
    <xf numFmtId="0" fontId="7" fillId="0" borderId="4" xfId="0" applyFont="1" applyBorder="1"/>
    <xf numFmtId="0" fontId="7" fillId="0" borderId="6" xfId="0" applyFont="1" applyBorder="1"/>
    <xf numFmtId="1" fontId="0" fillId="0" borderId="0" xfId="0" applyNumberFormat="1"/>
    <xf numFmtId="0" fontId="0" fillId="0" borderId="2" xfId="0" applyBorder="1" applyAlignment="1">
      <alignment horizontal="center"/>
    </xf>
    <xf numFmtId="1" fontId="0" fillId="0" borderId="7" xfId="0" applyNumberFormat="1" applyBorder="1"/>
    <xf numFmtId="0" fontId="0" fillId="0" borderId="1" xfId="0" applyBorder="1"/>
    <xf numFmtId="171" fontId="0" fillId="0" borderId="2" xfId="0" applyNumberFormat="1" applyBorder="1"/>
    <xf numFmtId="171" fontId="7" fillId="0" borderId="0" xfId="0" applyNumberFormat="1" applyFont="1"/>
    <xf numFmtId="171" fontId="0" fillId="0" borderId="0" xfId="0" applyNumberFormat="1" applyAlignment="1">
      <alignment horizontal="right"/>
    </xf>
    <xf numFmtId="0" fontId="7" fillId="0" borderId="0" xfId="0" applyFont="1" applyAlignment="1">
      <alignment horizontal="left"/>
    </xf>
    <xf numFmtId="171" fontId="0" fillId="0" borderId="0" xfId="4" applyNumberFormat="1" applyFont="1" applyFill="1" applyBorder="1" applyAlignment="1">
      <alignment horizontal="right"/>
    </xf>
    <xf numFmtId="1" fontId="7" fillId="0" borderId="5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7" fillId="0" borderId="10" xfId="0" applyFont="1" applyBorder="1" applyAlignment="1">
      <alignment horizontal="left"/>
    </xf>
    <xf numFmtId="0" fontId="9" fillId="0" borderId="1" xfId="0" applyFont="1" applyBorder="1"/>
    <xf numFmtId="0" fontId="9" fillId="0" borderId="2" xfId="0" applyFont="1" applyBorder="1"/>
    <xf numFmtId="0" fontId="0" fillId="0" borderId="11" xfId="0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2" fontId="0" fillId="0" borderId="5" xfId="0" applyNumberFormat="1" applyBorder="1"/>
    <xf numFmtId="2" fontId="0" fillId="0" borderId="16" xfId="0" applyNumberFormat="1" applyBorder="1"/>
    <xf numFmtId="164" fontId="0" fillId="0" borderId="16" xfId="0" applyNumberFormat="1" applyBorder="1"/>
    <xf numFmtId="0" fontId="0" fillId="0" borderId="13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" fontId="0" fillId="0" borderId="17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1" fontId="0" fillId="0" borderId="20" xfId="0" applyNumberFormat="1" applyBorder="1" applyAlignment="1">
      <alignment horizontal="center"/>
    </xf>
    <xf numFmtId="171" fontId="7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164" fontId="0" fillId="0" borderId="0" xfId="0" applyNumberFormat="1"/>
    <xf numFmtId="171" fontId="7" fillId="0" borderId="7" xfId="0" applyNumberFormat="1" applyFont="1" applyBorder="1"/>
    <xf numFmtId="10" fontId="0" fillId="0" borderId="0" xfId="0" applyNumberFormat="1"/>
    <xf numFmtId="171" fontId="7" fillId="0" borderId="5" xfId="0" applyNumberFormat="1" applyFont="1" applyBorder="1"/>
    <xf numFmtId="171" fontId="7" fillId="0" borderId="8" xfId="0" applyNumberFormat="1" applyFont="1" applyBorder="1"/>
    <xf numFmtId="171" fontId="0" fillId="0" borderId="21" xfId="0" applyNumberFormat="1" applyBorder="1"/>
    <xf numFmtId="172" fontId="0" fillId="0" borderId="11" xfId="0" applyNumberFormat="1" applyBorder="1"/>
    <xf numFmtId="0" fontId="14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168" fontId="17" fillId="0" borderId="0" xfId="7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" fillId="0" borderId="16" xfId="0" applyNumberFormat="1" applyFont="1" applyBorder="1"/>
    <xf numFmtId="164" fontId="18" fillId="0" borderId="0" xfId="0" applyNumberFormat="1" applyFont="1"/>
    <xf numFmtId="164" fontId="19" fillId="0" borderId="0" xfId="0" applyNumberFormat="1" applyFont="1"/>
    <xf numFmtId="164" fontId="20" fillId="0" borderId="0" xfId="0" applyNumberFormat="1" applyFont="1"/>
    <xf numFmtId="164" fontId="1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9" fontId="7" fillId="0" borderId="0" xfId="7" applyNumberFormat="1" applyFont="1" applyBorder="1" applyAlignment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 applyAlignment="1">
      <alignment horizontal="right"/>
    </xf>
    <xf numFmtId="0" fontId="0" fillId="4" borderId="4" xfId="0" applyFill="1" applyBorder="1" applyAlignment="1">
      <alignment horizontal="center"/>
    </xf>
    <xf numFmtId="10" fontId="3" fillId="4" borderId="0" xfId="7" applyNumberFormat="1" applyFont="1" applyFill="1" applyBorder="1" applyAlignment="1">
      <alignment horizontal="right"/>
    </xf>
    <xf numFmtId="10" fontId="3" fillId="4" borderId="5" xfId="7" applyNumberFormat="1" applyFont="1" applyFill="1" applyBorder="1" applyAlignment="1">
      <alignment horizontal="right"/>
    </xf>
    <xf numFmtId="165" fontId="3" fillId="4" borderId="7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171" fontId="0" fillId="4" borderId="5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171" fontId="0" fillId="4" borderId="8" xfId="0" applyNumberFormat="1" applyFill="1" applyBorder="1" applyAlignment="1">
      <alignment horizontal="center"/>
    </xf>
    <xf numFmtId="168" fontId="0" fillId="4" borderId="7" xfId="0" applyNumberFormat="1" applyFill="1" applyBorder="1" applyAlignment="1">
      <alignment horizontal="center"/>
    </xf>
    <xf numFmtId="168" fontId="0" fillId="0" borderId="5" xfId="0" applyNumberFormat="1" applyBorder="1"/>
    <xf numFmtId="0" fontId="7" fillId="4" borderId="22" xfId="0" applyFont="1" applyFill="1" applyBorder="1" applyAlignment="1">
      <alignment horizontal="right"/>
    </xf>
    <xf numFmtId="0" fontId="7" fillId="4" borderId="23" xfId="0" applyFont="1" applyFill="1" applyBorder="1" applyAlignment="1">
      <alignment horizontal="right"/>
    </xf>
    <xf numFmtId="0" fontId="0" fillId="4" borderId="8" xfId="0" applyFill="1" applyBorder="1"/>
    <xf numFmtId="170" fontId="0" fillId="4" borderId="3" xfId="0" applyNumberFormat="1" applyFill="1" applyBorder="1"/>
    <xf numFmtId="170" fontId="0" fillId="4" borderId="3" xfId="0" quotePrefix="1" applyNumberFormat="1" applyFill="1" applyBorder="1" applyAlignment="1">
      <alignment horizontal="right"/>
    </xf>
    <xf numFmtId="0" fontId="2" fillId="4" borderId="4" xfId="0" applyFont="1" applyFill="1" applyBorder="1"/>
    <xf numFmtId="174" fontId="0" fillId="4" borderId="5" xfId="0" applyNumberFormat="1" applyFill="1" applyBorder="1"/>
    <xf numFmtId="174" fontId="0" fillId="4" borderId="5" xfId="0" quotePrefix="1" applyNumberFormat="1" applyFill="1" applyBorder="1" applyAlignment="1">
      <alignment horizontal="right"/>
    </xf>
    <xf numFmtId="0" fontId="0" fillId="4" borderId="5" xfId="0" quotePrefix="1" applyFill="1" applyBorder="1" applyAlignment="1">
      <alignment horizontal="right"/>
    </xf>
    <xf numFmtId="0" fontId="2" fillId="4" borderId="6" xfId="0" applyFont="1" applyFill="1" applyBorder="1"/>
    <xf numFmtId="10" fontId="0" fillId="0" borderId="0" xfId="7" applyNumberFormat="1" applyFont="1" applyFill="1" applyBorder="1"/>
    <xf numFmtId="173" fontId="0" fillId="4" borderId="8" xfId="0" applyNumberFormat="1" applyFill="1" applyBorder="1"/>
    <xf numFmtId="173" fontId="0" fillId="4" borderId="8" xfId="0" quotePrefix="1" applyNumberFormat="1" applyFill="1" applyBorder="1" applyAlignment="1">
      <alignment horizontal="right"/>
    </xf>
    <xf numFmtId="0" fontId="0" fillId="4" borderId="24" xfId="0" applyFill="1" applyBorder="1" applyAlignment="1">
      <alignment horizontal="center"/>
    </xf>
    <xf numFmtId="164" fontId="0" fillId="4" borderId="25" xfId="0" applyNumberFormat="1" applyFill="1" applyBorder="1"/>
    <xf numFmtId="166" fontId="0" fillId="4" borderId="26" xfId="0" applyNumberFormat="1" applyFill="1" applyBorder="1"/>
    <xf numFmtId="10" fontId="0" fillId="5" borderId="26" xfId="7" applyNumberFormat="1" applyFont="1" applyFill="1" applyBorder="1"/>
    <xf numFmtId="169" fontId="1" fillId="0" borderId="5" xfId="0" applyNumberFormat="1" applyFont="1" applyBorder="1"/>
    <xf numFmtId="169" fontId="18" fillId="0" borderId="5" xfId="0" applyNumberFormat="1" applyFont="1" applyBorder="1"/>
    <xf numFmtId="169" fontId="19" fillId="0" borderId="5" xfId="0" applyNumberFormat="1" applyFont="1" applyBorder="1"/>
    <xf numFmtId="176" fontId="0" fillId="0" borderId="8" xfId="7" applyNumberFormat="1" applyFont="1" applyBorder="1"/>
    <xf numFmtId="169" fontId="20" fillId="0" borderId="27" xfId="0" applyNumberFormat="1" applyFont="1" applyBorder="1"/>
    <xf numFmtId="0" fontId="0" fillId="0" borderId="28" xfId="0" applyBorder="1" applyAlignment="1">
      <alignment horizontal="center"/>
    </xf>
    <xf numFmtId="1" fontId="0" fillId="4" borderId="0" xfId="0" applyNumberFormat="1" applyFill="1"/>
    <xf numFmtId="0" fontId="2" fillId="0" borderId="0" xfId="0" applyFont="1" applyAlignment="1">
      <alignment horizontal="center"/>
    </xf>
    <xf numFmtId="10" fontId="0" fillId="0" borderId="0" xfId="7" applyNumberFormat="1" applyFont="1" applyFill="1" applyBorder="1" applyAlignment="1">
      <alignment horizontal="center"/>
    </xf>
    <xf numFmtId="10" fontId="0" fillId="0" borderId="5" xfId="7" applyNumberFormat="1" applyFont="1" applyFill="1" applyBorder="1" applyAlignment="1">
      <alignment horizontal="center"/>
    </xf>
    <xf numFmtId="10" fontId="0" fillId="0" borderId="5" xfId="7" applyNumberFormat="1" applyFont="1" applyFill="1" applyBorder="1"/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0" fillId="4" borderId="1" xfId="0" applyFill="1" applyBorder="1" applyAlignment="1">
      <alignment horizontal="left"/>
    </xf>
    <xf numFmtId="1" fontId="0" fillId="4" borderId="0" xfId="0" applyNumberFormat="1" applyFill="1" applyAlignment="1">
      <alignment horizontal="center"/>
    </xf>
    <xf numFmtId="168" fontId="0" fillId="4" borderId="0" xfId="0" applyNumberFormat="1" applyFill="1" applyAlignment="1">
      <alignment horizontal="center"/>
    </xf>
    <xf numFmtId="1" fontId="0" fillId="4" borderId="5" xfId="0" applyNumberFormat="1" applyFill="1" applyBorder="1" applyAlignment="1">
      <alignment horizontal="center"/>
    </xf>
    <xf numFmtId="168" fontId="0" fillId="4" borderId="5" xfId="0" applyNumberFormat="1" applyFill="1" applyBorder="1" applyAlignment="1">
      <alignment horizontal="center"/>
    </xf>
    <xf numFmtId="168" fontId="0" fillId="4" borderId="3" xfId="0" applyNumberForma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8" fillId="0" borderId="0" xfId="0" applyFont="1"/>
    <xf numFmtId="0" fontId="5" fillId="0" borderId="23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" fontId="0" fillId="4" borderId="30" xfId="0" applyNumberFormat="1" applyFill="1" applyBorder="1" applyAlignment="1">
      <alignment horizontal="center"/>
    </xf>
    <xf numFmtId="171" fontId="0" fillId="4" borderId="3" xfId="0" applyNumberFormat="1" applyFill="1" applyBorder="1"/>
    <xf numFmtId="171" fontId="0" fillId="4" borderId="5" xfId="0" applyNumberFormat="1" applyFill="1" applyBorder="1"/>
    <xf numFmtId="171" fontId="0" fillId="4" borderId="8" xfId="0" applyNumberFormat="1" applyFill="1" applyBorder="1"/>
    <xf numFmtId="10" fontId="0" fillId="6" borderId="26" xfId="0" applyNumberFormat="1" applyFill="1" applyBorder="1"/>
    <xf numFmtId="170" fontId="0" fillId="5" borderId="31" xfId="0" applyNumberFormat="1" applyFill="1" applyBorder="1"/>
    <xf numFmtId="170" fontId="0" fillId="5" borderId="32" xfId="0" applyNumberFormat="1" applyFill="1" applyBorder="1"/>
    <xf numFmtId="170" fontId="0" fillId="0" borderId="0" xfId="0" applyNumberFormat="1"/>
    <xf numFmtId="170" fontId="18" fillId="0" borderId="0" xfId="0" applyNumberFormat="1" applyFont="1" applyAlignment="1">
      <alignment horizontal="center"/>
    </xf>
    <xf numFmtId="1" fontId="0" fillId="5" borderId="26" xfId="0" applyNumberFormat="1" applyFill="1" applyBorder="1" applyAlignment="1">
      <alignment horizontal="center"/>
    </xf>
    <xf numFmtId="168" fontId="0" fillId="4" borderId="31" xfId="0" applyNumberFormat="1" applyFill="1" applyBorder="1"/>
    <xf numFmtId="168" fontId="0" fillId="4" borderId="32" xfId="0" applyNumberFormat="1" applyFill="1" applyBorder="1"/>
    <xf numFmtId="168" fontId="0" fillId="0" borderId="0" xfId="4" applyNumberFormat="1" applyFont="1"/>
    <xf numFmtId="168" fontId="0" fillId="4" borderId="33" xfId="4" applyNumberFormat="1" applyFont="1" applyFill="1" applyBorder="1"/>
    <xf numFmtId="168" fontId="0" fillId="4" borderId="34" xfId="4" applyNumberFormat="1" applyFont="1" applyFill="1" applyBorder="1"/>
    <xf numFmtId="168" fontId="0" fillId="4" borderId="35" xfId="4" applyNumberFormat="1" applyFont="1" applyFill="1" applyBorder="1"/>
    <xf numFmtId="168" fontId="0" fillId="4" borderId="36" xfId="4" applyNumberFormat="1" applyFont="1" applyFill="1" applyBorder="1"/>
    <xf numFmtId="168" fontId="0" fillId="4" borderId="37" xfId="4" applyNumberFormat="1" applyFont="1" applyFill="1" applyBorder="1"/>
    <xf numFmtId="168" fontId="0" fillId="4" borderId="38" xfId="4" applyNumberFormat="1" applyFont="1" applyFill="1" applyBorder="1"/>
    <xf numFmtId="168" fontId="0" fillId="4" borderId="23" xfId="0" applyNumberFormat="1" applyFill="1" applyBorder="1"/>
    <xf numFmtId="10" fontId="0" fillId="0" borderId="0" xfId="7" applyNumberFormat="1" applyFont="1" applyBorder="1" applyAlignment="1">
      <alignment horizontal="center"/>
    </xf>
    <xf numFmtId="171" fontId="0" fillId="0" borderId="0" xfId="0" applyNumberFormat="1" applyAlignment="1">
      <alignment horizontal="center"/>
    </xf>
    <xf numFmtId="0" fontId="35" fillId="9" borderId="39" xfId="2" applyBorder="1"/>
    <xf numFmtId="0" fontId="35" fillId="9" borderId="40" xfId="2" applyBorder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37" fillId="11" borderId="1" xfId="5" applyBorder="1"/>
    <xf numFmtId="0" fontId="37" fillId="11" borderId="2" xfId="5" applyBorder="1"/>
    <xf numFmtId="0" fontId="37" fillId="11" borderId="3" xfId="5" applyBorder="1"/>
    <xf numFmtId="0" fontId="37" fillId="11" borderId="4" xfId="5" applyBorder="1"/>
    <xf numFmtId="0" fontId="37" fillId="11" borderId="0" xfId="5" applyBorder="1"/>
    <xf numFmtId="0" fontId="37" fillId="11" borderId="5" xfId="5" applyBorder="1"/>
    <xf numFmtId="0" fontId="37" fillId="11" borderId="6" xfId="5" applyBorder="1"/>
    <xf numFmtId="0" fontId="37" fillId="11" borderId="8" xfId="5" applyBorder="1"/>
    <xf numFmtId="2" fontId="37" fillId="11" borderId="5" xfId="5" applyNumberFormat="1" applyBorder="1"/>
    <xf numFmtId="2" fontId="37" fillId="11" borderId="0" xfId="5" applyNumberFormat="1" applyBorder="1"/>
    <xf numFmtId="167" fontId="37" fillId="11" borderId="0" xfId="5" applyNumberFormat="1" applyBorder="1"/>
    <xf numFmtId="0" fontId="37" fillId="11" borderId="7" xfId="5" applyBorder="1"/>
    <xf numFmtId="166" fontId="37" fillId="11" borderId="0" xfId="5" applyNumberFormat="1" applyBorder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7" fillId="11" borderId="41" xfId="5" applyBorder="1" applyAlignment="1">
      <alignment horizontal="center"/>
    </xf>
    <xf numFmtId="166" fontId="0" fillId="0" borderId="0" xfId="0" applyNumberFormat="1"/>
    <xf numFmtId="0" fontId="26" fillId="11" borderId="4" xfId="5" applyFont="1" applyBorder="1"/>
    <xf numFmtId="168" fontId="23" fillId="0" borderId="0" xfId="5" applyNumberFormat="1" applyFont="1" applyFill="1" applyBorder="1" applyAlignment="1">
      <alignment horizontal="center"/>
    </xf>
    <xf numFmtId="168" fontId="22" fillId="0" borderId="0" xfId="5" applyNumberFormat="1" applyFont="1" applyFill="1" applyBorder="1" applyAlignment="1">
      <alignment horizontal="center"/>
    </xf>
    <xf numFmtId="0" fontId="37" fillId="11" borderId="0" xfId="5" applyNumberFormat="1" applyBorder="1" applyAlignment="1">
      <alignment horizontal="center"/>
    </xf>
    <xf numFmtId="0" fontId="37" fillId="11" borderId="7" xfId="5" applyNumberFormat="1" applyBorder="1" applyAlignment="1">
      <alignment horizontal="center"/>
    </xf>
    <xf numFmtId="0" fontId="26" fillId="11" borderId="0" xfId="5" applyNumberFormat="1" applyFont="1" applyBorder="1" applyAlignment="1">
      <alignment horizontal="center"/>
    </xf>
    <xf numFmtId="0" fontId="26" fillId="11" borderId="42" xfId="5" applyNumberFormat="1" applyFont="1" applyBorder="1" applyAlignment="1">
      <alignment horizontal="center"/>
    </xf>
    <xf numFmtId="175" fontId="0" fillId="0" borderId="0" xfId="4" applyNumberFormat="1" applyFont="1"/>
    <xf numFmtId="0" fontId="38" fillId="12" borderId="39" xfId="6" applyBorder="1" applyAlignment="1">
      <alignment horizontal="center"/>
    </xf>
    <xf numFmtId="9" fontId="38" fillId="12" borderId="43" xfId="6" applyNumberFormat="1" applyBorder="1"/>
    <xf numFmtId="0" fontId="27" fillId="0" borderId="26" xfId="0" applyFont="1" applyBorder="1"/>
    <xf numFmtId="0" fontId="27" fillId="0" borderId="23" xfId="0" applyFont="1" applyBorder="1"/>
    <xf numFmtId="0" fontId="38" fillId="6" borderId="43" xfId="6" applyFill="1" applyBorder="1"/>
    <xf numFmtId="0" fontId="38" fillId="6" borderId="43" xfId="6" applyFill="1" applyBorder="1" applyAlignment="1">
      <alignment horizontal="right"/>
    </xf>
    <xf numFmtId="0" fontId="38" fillId="6" borderId="8" xfId="6" applyFill="1" applyBorder="1"/>
    <xf numFmtId="0" fontId="0" fillId="4" borderId="22" xfId="0" applyFill="1" applyBorder="1"/>
    <xf numFmtId="0" fontId="0" fillId="4" borderId="44" xfId="0" applyFill="1" applyBorder="1"/>
    <xf numFmtId="0" fontId="0" fillId="4" borderId="23" xfId="0" applyFill="1" applyBorder="1"/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71" fontId="0" fillId="4" borderId="4" xfId="0" applyNumberFormat="1" applyFill="1" applyBorder="1" applyAlignment="1">
      <alignment horizontal="center"/>
    </xf>
    <xf numFmtId="171" fontId="0" fillId="4" borderId="6" xfId="0" applyNumberFormat="1" applyFill="1" applyBorder="1" applyAlignment="1">
      <alignment horizontal="center"/>
    </xf>
    <xf numFmtId="0" fontId="37" fillId="11" borderId="0" xfId="5"/>
    <xf numFmtId="0" fontId="37" fillId="6" borderId="0" xfId="5" applyFill="1"/>
    <xf numFmtId="0" fontId="37" fillId="11" borderId="14" xfId="5" applyBorder="1"/>
    <xf numFmtId="0" fontId="37" fillId="11" borderId="45" xfId="5" applyBorder="1"/>
    <xf numFmtId="0" fontId="37" fillId="11" borderId="46" xfId="5" applyBorder="1"/>
    <xf numFmtId="0" fontId="37" fillId="11" borderId="47" xfId="5" applyBorder="1"/>
    <xf numFmtId="0" fontId="37" fillId="11" borderId="33" xfId="5" applyBorder="1"/>
    <xf numFmtId="0" fontId="37" fillId="11" borderId="48" xfId="5" applyBorder="1"/>
    <xf numFmtId="0" fontId="37" fillId="11" borderId="49" xfId="5" applyBorder="1"/>
    <xf numFmtId="0" fontId="37" fillId="11" borderId="50" xfId="5" applyBorder="1"/>
    <xf numFmtId="0" fontId="37" fillId="11" borderId="42" xfId="5" applyBorder="1"/>
    <xf numFmtId="0" fontId="37" fillId="11" borderId="51" xfId="5" applyBorder="1"/>
    <xf numFmtId="171" fontId="0" fillId="4" borderId="52" xfId="0" applyNumberFormat="1" applyFill="1" applyBorder="1"/>
    <xf numFmtId="171" fontId="0" fillId="4" borderId="48" xfId="0" applyNumberFormat="1" applyFill="1" applyBorder="1"/>
    <xf numFmtId="171" fontId="0" fillId="4" borderId="49" xfId="0" applyNumberFormat="1" applyFill="1" applyBorder="1"/>
    <xf numFmtId="0" fontId="0" fillId="6" borderId="0" xfId="0" applyFill="1" applyAlignment="1">
      <alignment horizontal="center"/>
    </xf>
    <xf numFmtId="0" fontId="11" fillId="0" borderId="7" xfId="0" applyFont="1" applyBorder="1" applyAlignment="1">
      <alignment horizontal="left"/>
    </xf>
    <xf numFmtId="0" fontId="26" fillId="11" borderId="10" xfId="5" applyNumberFormat="1" applyFont="1" applyBorder="1" applyAlignment="1">
      <alignment horizontal="center"/>
    </xf>
    <xf numFmtId="0" fontId="37" fillId="11" borderId="10" xfId="5" applyNumberFormat="1" applyBorder="1" applyAlignment="1">
      <alignment horizontal="center"/>
    </xf>
    <xf numFmtId="0" fontId="37" fillId="11" borderId="53" xfId="5" applyNumberFormat="1" applyBorder="1" applyAlignment="1">
      <alignment horizontal="center"/>
    </xf>
    <xf numFmtId="0" fontId="37" fillId="11" borderId="42" xfId="5" applyNumberFormat="1" applyBorder="1" applyAlignment="1">
      <alignment horizontal="center"/>
    </xf>
    <xf numFmtId="0" fontId="37" fillId="11" borderId="51" xfId="5" applyNumberFormat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right"/>
    </xf>
    <xf numFmtId="0" fontId="0" fillId="4" borderId="7" xfId="0" applyFill="1" applyBorder="1" applyAlignment="1">
      <alignment horizontal="left"/>
    </xf>
    <xf numFmtId="0" fontId="0" fillId="4" borderId="52" xfId="0" applyFill="1" applyBorder="1"/>
    <xf numFmtId="0" fontId="0" fillId="4" borderId="48" xfId="0" applyFill="1" applyBorder="1"/>
    <xf numFmtId="168" fontId="0" fillId="4" borderId="48" xfId="0" applyNumberFormat="1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1" fontId="1" fillId="4" borderId="48" xfId="0" applyNumberFormat="1" applyFont="1" applyFill="1" applyBorder="1" applyAlignment="1">
      <alignment horizontal="center"/>
    </xf>
    <xf numFmtId="0" fontId="26" fillId="4" borderId="48" xfId="5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6" fillId="4" borderId="10" xfId="5" applyFont="1" applyFill="1" applyBorder="1" applyAlignment="1">
      <alignment horizontal="center"/>
    </xf>
    <xf numFmtId="0" fontId="0" fillId="0" borderId="44" xfId="0" applyBorder="1"/>
    <xf numFmtId="0" fontId="26" fillId="4" borderId="44" xfId="5" applyFont="1" applyFill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left"/>
    </xf>
    <xf numFmtId="164" fontId="37" fillId="11" borderId="46" xfId="5" applyNumberFormat="1" applyBorder="1" applyAlignment="1">
      <alignment horizontal="center"/>
    </xf>
    <xf numFmtId="0" fontId="0" fillId="0" borderId="11" xfId="0" applyBorder="1" applyAlignment="1">
      <alignment horizontal="left"/>
    </xf>
    <xf numFmtId="171" fontId="3" fillId="0" borderId="11" xfId="0" applyNumberFormat="1" applyFont="1" applyBorder="1" applyAlignment="1">
      <alignment horizontal="left"/>
    </xf>
    <xf numFmtId="0" fontId="0" fillId="0" borderId="54" xfId="0" applyBorder="1" applyAlignment="1">
      <alignment horizontal="left"/>
    </xf>
    <xf numFmtId="0" fontId="1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7" fillId="11" borderId="0" xfId="5" applyNumberFormat="1" applyAlignment="1">
      <alignment horizontal="center"/>
    </xf>
    <xf numFmtId="10" fontId="37" fillId="11" borderId="0" xfId="5" applyNumberFormat="1" applyAlignment="1">
      <alignment horizontal="center"/>
    </xf>
    <xf numFmtId="0" fontId="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55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29" xfId="0" applyBorder="1" applyAlignment="1">
      <alignment horizontal="left"/>
    </xf>
    <xf numFmtId="0" fontId="3" fillId="0" borderId="29" xfId="0" applyFont="1" applyBorder="1" applyAlignment="1">
      <alignment horizontal="left"/>
    </xf>
    <xf numFmtId="2" fontId="0" fillId="0" borderId="29" xfId="0" applyNumberFormat="1" applyBorder="1" applyAlignment="1">
      <alignment horizontal="left"/>
    </xf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6" xfId="0" applyFill="1" applyBorder="1" applyAlignment="1">
      <alignment horizontal="right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0" fontId="1" fillId="4" borderId="0" xfId="7" applyNumberFormat="1" applyFont="1" applyFill="1" applyBorder="1" applyAlignment="1">
      <alignment horizontal="center"/>
    </xf>
    <xf numFmtId="10" fontId="1" fillId="4" borderId="5" xfId="7" applyNumberFormat="1" applyFont="1" applyFill="1" applyBorder="1" applyAlignment="1">
      <alignment horizontal="center"/>
    </xf>
    <xf numFmtId="169" fontId="1" fillId="4" borderId="7" xfId="0" applyNumberFormat="1" applyFont="1" applyFill="1" applyBorder="1" applyAlignment="1">
      <alignment horizontal="center"/>
    </xf>
    <xf numFmtId="0" fontId="35" fillId="9" borderId="4" xfId="2" applyBorder="1" applyAlignment="1">
      <alignment horizontal="center"/>
    </xf>
    <xf numFmtId="0" fontId="35" fillId="9" borderId="6" xfId="2" applyBorder="1" applyAlignment="1">
      <alignment horizontal="center"/>
    </xf>
    <xf numFmtId="0" fontId="0" fillId="0" borderId="7" xfId="0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0" fontId="26" fillId="4" borderId="0" xfId="0" applyFont="1" applyFill="1" applyAlignment="1">
      <alignment horizontal="center"/>
    </xf>
    <xf numFmtId="0" fontId="24" fillId="0" borderId="0" xfId="0" applyFont="1"/>
    <xf numFmtId="0" fontId="27" fillId="0" borderId="0" xfId="0" applyFont="1"/>
    <xf numFmtId="0" fontId="29" fillId="0" borderId="0" xfId="0" applyFont="1" applyAlignment="1">
      <alignment horizontal="left"/>
    </xf>
    <xf numFmtId="10" fontId="1" fillId="0" borderId="0" xfId="7" applyNumberFormat="1" applyFont="1" applyFill="1" applyBorder="1" applyAlignment="1">
      <alignment horizontal="center"/>
    </xf>
    <xf numFmtId="0" fontId="30" fillId="0" borderId="0" xfId="0" applyFont="1"/>
    <xf numFmtId="0" fontId="27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" fontId="5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/>
    <xf numFmtId="0" fontId="18" fillId="2" borderId="2" xfId="0" applyFont="1" applyFill="1" applyBorder="1"/>
    <xf numFmtId="0" fontId="18" fillId="2" borderId="3" xfId="0" applyFont="1" applyFill="1" applyBorder="1"/>
    <xf numFmtId="0" fontId="0" fillId="2" borderId="4" xfId="0" applyFill="1" applyBorder="1" applyAlignment="1">
      <alignment horizontal="left"/>
    </xf>
    <xf numFmtId="0" fontId="5" fillId="2" borderId="5" xfId="0" applyFont="1" applyFill="1" applyBorder="1"/>
    <xf numFmtId="0" fontId="5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2" borderId="7" xfId="0" applyFont="1" applyFill="1" applyBorder="1"/>
    <xf numFmtId="0" fontId="5" fillId="2" borderId="8" xfId="0" applyFont="1" applyFill="1" applyBorder="1"/>
    <xf numFmtId="0" fontId="34" fillId="8" borderId="5" xfId="1" applyBorder="1" applyAlignment="1">
      <alignment horizontal="center"/>
    </xf>
    <xf numFmtId="0" fontId="34" fillId="8" borderId="4" xfId="1" applyBorder="1"/>
    <xf numFmtId="0" fontId="34" fillId="8" borderId="56" xfId="1" applyBorder="1"/>
    <xf numFmtId="0" fontId="34" fillId="8" borderId="36" xfId="1" applyBorder="1" applyAlignment="1">
      <alignment horizontal="center"/>
    </xf>
    <xf numFmtId="0" fontId="38" fillId="12" borderId="39" xfId="6" applyBorder="1" applyAlignment="1">
      <alignment horizontal="right" vertical="center"/>
    </xf>
    <xf numFmtId="0" fontId="38" fillId="12" borderId="43" xfId="6" applyBorder="1" applyAlignment="1">
      <alignment horizontal="left" vertical="center"/>
    </xf>
    <xf numFmtId="0" fontId="34" fillId="8" borderId="6" xfId="1" applyBorder="1"/>
    <xf numFmtId="10" fontId="37" fillId="11" borderId="0" xfId="5" applyNumberFormat="1" applyBorder="1" applyAlignment="1">
      <alignment horizontal="center"/>
    </xf>
    <xf numFmtId="0" fontId="34" fillId="8" borderId="42" xfId="1" applyBorder="1"/>
    <xf numFmtId="0" fontId="34" fillId="8" borderId="51" xfId="1" applyBorder="1"/>
    <xf numFmtId="0" fontId="26" fillId="4" borderId="49" xfId="5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4" borderId="23" xfId="5" applyFont="1" applyFill="1" applyBorder="1" applyAlignment="1">
      <alignment horizontal="center"/>
    </xf>
    <xf numFmtId="0" fontId="26" fillId="4" borderId="41" xfId="5" applyFont="1" applyFill="1" applyBorder="1" applyAlignment="1">
      <alignment horizontal="center"/>
    </xf>
    <xf numFmtId="0" fontId="0" fillId="0" borderId="23" xfId="0" applyBorder="1"/>
    <xf numFmtId="10" fontId="34" fillId="8" borderId="42" xfId="1" applyNumberFormat="1" applyBorder="1" applyAlignment="1">
      <alignment horizontal="center"/>
    </xf>
    <xf numFmtId="0" fontId="34" fillId="8" borderId="48" xfId="1" applyBorder="1" applyAlignment="1">
      <alignment horizontal="left"/>
    </xf>
    <xf numFmtId="0" fontId="34" fillId="8" borderId="41" xfId="1" applyBorder="1" applyAlignment="1">
      <alignment horizontal="left"/>
    </xf>
    <xf numFmtId="0" fontId="34" fillId="8" borderId="49" xfId="1" applyBorder="1" applyAlignment="1">
      <alignment horizontal="left"/>
    </xf>
    <xf numFmtId="0" fontId="34" fillId="8" borderId="57" xfId="1" applyBorder="1" applyAlignment="1">
      <alignment horizontal="left"/>
    </xf>
    <xf numFmtId="166" fontId="3" fillId="4" borderId="5" xfId="0" applyNumberFormat="1" applyFont="1" applyFill="1" applyBorder="1" applyAlignment="1">
      <alignment horizontal="center"/>
    </xf>
    <xf numFmtId="0" fontId="12" fillId="4" borderId="1" xfId="5" applyFont="1" applyFill="1" applyBorder="1"/>
    <xf numFmtId="0" fontId="24" fillId="4" borderId="2" xfId="5" applyFont="1" applyFill="1" applyBorder="1"/>
    <xf numFmtId="0" fontId="31" fillId="4" borderId="7" xfId="5" applyFont="1" applyFill="1" applyBorder="1" applyAlignment="1">
      <alignment horizontal="left"/>
    </xf>
    <xf numFmtId="164" fontId="4" fillId="0" borderId="11" xfId="0" applyNumberFormat="1" applyFont="1" applyBorder="1" applyAlignment="1">
      <alignment horizontal="left"/>
    </xf>
    <xf numFmtId="0" fontId="35" fillId="9" borderId="43" xfId="2" applyBorder="1"/>
    <xf numFmtId="0" fontId="35" fillId="9" borderId="39" xfId="2" applyBorder="1" applyAlignment="1">
      <alignment horizontal="center"/>
    </xf>
    <xf numFmtId="0" fontId="35" fillId="9" borderId="40" xfId="2" applyBorder="1" applyAlignment="1">
      <alignment horizontal="center"/>
    </xf>
    <xf numFmtId="0" fontId="35" fillId="9" borderId="43" xfId="2" applyBorder="1" applyAlignment="1">
      <alignment horizontal="center"/>
    </xf>
    <xf numFmtId="168" fontId="35" fillId="9" borderId="0" xfId="2" applyNumberFormat="1" applyBorder="1" applyAlignment="1">
      <alignment horizontal="center"/>
    </xf>
    <xf numFmtId="168" fontId="35" fillId="9" borderId="5" xfId="2" applyNumberFormat="1" applyBorder="1" applyAlignment="1">
      <alignment horizontal="center"/>
    </xf>
    <xf numFmtId="164" fontId="35" fillId="9" borderId="4" xfId="2" applyNumberFormat="1" applyBorder="1" applyAlignment="1">
      <alignment horizontal="center"/>
    </xf>
    <xf numFmtId="164" fontId="35" fillId="9" borderId="0" xfId="2" applyNumberFormat="1" applyBorder="1" applyAlignment="1">
      <alignment horizontal="center"/>
    </xf>
    <xf numFmtId="164" fontId="35" fillId="9" borderId="5" xfId="2" applyNumberFormat="1" applyBorder="1" applyAlignment="1">
      <alignment horizontal="center"/>
    </xf>
    <xf numFmtId="0" fontId="35" fillId="9" borderId="4" xfId="2" applyBorder="1"/>
    <xf numFmtId="0" fontId="35" fillId="9" borderId="0" xfId="2" applyBorder="1"/>
    <xf numFmtId="0" fontId="35" fillId="9" borderId="5" xfId="2" applyBorder="1"/>
    <xf numFmtId="168" fontId="35" fillId="9" borderId="7" xfId="2" applyNumberFormat="1" applyBorder="1" applyAlignment="1">
      <alignment horizontal="center"/>
    </xf>
    <xf numFmtId="168" fontId="35" fillId="9" borderId="8" xfId="2" applyNumberFormat="1" applyBorder="1" applyAlignment="1">
      <alignment horizontal="center"/>
    </xf>
    <xf numFmtId="0" fontId="35" fillId="9" borderId="6" xfId="2" applyBorder="1"/>
    <xf numFmtId="0" fontId="35" fillId="9" borderId="7" xfId="2" applyBorder="1"/>
    <xf numFmtId="0" fontId="35" fillId="9" borderId="8" xfId="2" applyBorder="1"/>
    <xf numFmtId="171" fontId="0" fillId="6" borderId="0" xfId="0" applyNumberFormat="1" applyFill="1" applyAlignment="1">
      <alignment horizontal="center"/>
    </xf>
    <xf numFmtId="0" fontId="5" fillId="7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170" fontId="0" fillId="6" borderId="0" xfId="0" applyNumberFormat="1" applyFill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Continuous"/>
    </xf>
    <xf numFmtId="164" fontId="0" fillId="6" borderId="0" xfId="0" applyNumberFormat="1" applyFill="1" applyAlignment="1">
      <alignment horizontal="center"/>
    </xf>
    <xf numFmtId="0" fontId="37" fillId="11" borderId="9" xfId="5" applyBorder="1" applyAlignment="1">
      <alignment horizontal="center"/>
    </xf>
    <xf numFmtId="0" fontId="37" fillId="11" borderId="12" xfId="5" applyBorder="1" applyAlignment="1">
      <alignment horizontal="center"/>
    </xf>
    <xf numFmtId="0" fontId="37" fillId="11" borderId="13" xfId="5" applyBorder="1" applyAlignment="1">
      <alignment horizontal="center"/>
    </xf>
    <xf numFmtId="0" fontId="37" fillId="11" borderId="14" xfId="5" applyBorder="1" applyAlignment="1">
      <alignment horizontal="center"/>
    </xf>
    <xf numFmtId="0" fontId="37" fillId="11" borderId="4" xfId="5" applyBorder="1" applyAlignment="1">
      <alignment horizontal="center"/>
    </xf>
    <xf numFmtId="0" fontId="37" fillId="11" borderId="42" xfId="5" applyBorder="1" applyAlignment="1">
      <alignment horizontal="center"/>
    </xf>
    <xf numFmtId="0" fontId="37" fillId="11" borderId="0" xfId="5" applyBorder="1" applyAlignment="1">
      <alignment horizontal="center"/>
    </xf>
    <xf numFmtId="0" fontId="37" fillId="11" borderId="5" xfId="5" applyBorder="1" applyAlignment="1">
      <alignment horizontal="center"/>
    </xf>
    <xf numFmtId="0" fontId="37" fillId="11" borderId="58" xfId="5" applyBorder="1" applyAlignment="1">
      <alignment horizontal="center"/>
    </xf>
    <xf numFmtId="0" fontId="37" fillId="11" borderId="11" xfId="5" applyBorder="1" applyAlignment="1">
      <alignment horizontal="center"/>
    </xf>
    <xf numFmtId="0" fontId="37" fillId="11" borderId="21" xfId="5" applyBorder="1" applyAlignment="1">
      <alignment horizontal="center"/>
    </xf>
    <xf numFmtId="0" fontId="37" fillId="11" borderId="59" xfId="5" applyBorder="1" applyAlignment="1">
      <alignment horizontal="center"/>
    </xf>
    <xf numFmtId="166" fontId="37" fillId="11" borderId="60" xfId="5" applyNumberFormat="1" applyBorder="1" applyAlignment="1">
      <alignment horizontal="center"/>
    </xf>
    <xf numFmtId="166" fontId="37" fillId="11" borderId="42" xfId="5" applyNumberFormat="1" applyBorder="1" applyAlignment="1">
      <alignment horizontal="center"/>
    </xf>
    <xf numFmtId="166" fontId="37" fillId="11" borderId="61" xfId="5" applyNumberFormat="1" applyBorder="1" applyAlignment="1">
      <alignment horizontal="center"/>
    </xf>
    <xf numFmtId="166" fontId="37" fillId="11" borderId="10" xfId="5" applyNumberFormat="1" applyBorder="1" applyAlignment="1">
      <alignment horizontal="center"/>
    </xf>
    <xf numFmtId="2" fontId="37" fillId="11" borderId="0" xfId="5" applyNumberFormat="1" applyBorder="1" applyAlignment="1">
      <alignment horizontal="center"/>
    </xf>
    <xf numFmtId="0" fontId="36" fillId="10" borderId="4" xfId="3" applyBorder="1" applyAlignment="1">
      <alignment horizontal="center"/>
    </xf>
    <xf numFmtId="166" fontId="36" fillId="10" borderId="42" xfId="3" applyNumberFormat="1" applyBorder="1" applyAlignment="1">
      <alignment horizontal="center"/>
    </xf>
    <xf numFmtId="166" fontId="36" fillId="10" borderId="10" xfId="3" applyNumberFormat="1" applyBorder="1" applyAlignment="1">
      <alignment horizontal="center"/>
    </xf>
    <xf numFmtId="2" fontId="36" fillId="10" borderId="0" xfId="3" applyNumberFormat="1" applyBorder="1" applyAlignment="1">
      <alignment horizontal="center"/>
    </xf>
    <xf numFmtId="10" fontId="36" fillId="10" borderId="0" xfId="3" applyNumberFormat="1" applyBorder="1" applyAlignment="1">
      <alignment horizontal="center"/>
    </xf>
    <xf numFmtId="0" fontId="36" fillId="10" borderId="41" xfId="3" applyBorder="1" applyAlignment="1">
      <alignment horizontal="center"/>
    </xf>
    <xf numFmtId="0" fontId="38" fillId="12" borderId="4" xfId="6" applyBorder="1" applyAlignment="1">
      <alignment horizontal="center"/>
    </xf>
    <xf numFmtId="166" fontId="38" fillId="12" borderId="42" xfId="6" applyNumberFormat="1" applyBorder="1" applyAlignment="1">
      <alignment horizontal="center"/>
    </xf>
    <xf numFmtId="166" fontId="38" fillId="12" borderId="10" xfId="6" applyNumberFormat="1" applyBorder="1" applyAlignment="1">
      <alignment horizontal="center"/>
    </xf>
    <xf numFmtId="2" fontId="38" fillId="12" borderId="0" xfId="6" applyNumberFormat="1" applyBorder="1" applyAlignment="1">
      <alignment horizontal="center"/>
    </xf>
    <xf numFmtId="10" fontId="38" fillId="12" borderId="0" xfId="6" applyNumberFormat="1" applyBorder="1" applyAlignment="1">
      <alignment horizontal="center"/>
    </xf>
    <xf numFmtId="0" fontId="38" fillId="12" borderId="41" xfId="6" applyBorder="1" applyAlignment="1">
      <alignment horizontal="center"/>
    </xf>
    <xf numFmtId="9" fontId="0" fillId="0" borderId="0" xfId="7" applyFont="1"/>
    <xf numFmtId="0" fontId="37" fillId="11" borderId="39" xfId="5" applyBorder="1"/>
    <xf numFmtId="164" fontId="37" fillId="11" borderId="40" xfId="5" applyNumberFormat="1" applyBorder="1"/>
    <xf numFmtId="165" fontId="37" fillId="11" borderId="40" xfId="5" quotePrefix="1" applyNumberFormat="1" applyBorder="1" applyAlignment="1">
      <alignment horizontal="center"/>
    </xf>
    <xf numFmtId="164" fontId="37" fillId="11" borderId="40" xfId="5" applyNumberFormat="1" applyBorder="1" applyAlignment="1">
      <alignment horizontal="center"/>
    </xf>
    <xf numFmtId="1" fontId="37" fillId="11" borderId="43" xfId="5" applyNumberFormat="1" applyBorder="1" applyAlignment="1">
      <alignment horizontal="center"/>
    </xf>
    <xf numFmtId="10" fontId="37" fillId="11" borderId="39" xfId="5" applyNumberFormat="1" applyBorder="1"/>
    <xf numFmtId="0" fontId="37" fillId="11" borderId="43" xfId="5" applyBorder="1"/>
    <xf numFmtId="2" fontId="37" fillId="11" borderId="43" xfId="5" applyNumberFormat="1" applyBorder="1"/>
    <xf numFmtId="0" fontId="37" fillId="11" borderId="6" xfId="5" applyBorder="1" applyAlignment="1">
      <alignment horizontal="center"/>
    </xf>
    <xf numFmtId="168" fontId="37" fillId="11" borderId="0" xfId="5" applyNumberFormat="1" applyBorder="1" applyAlignment="1">
      <alignment horizontal="center"/>
    </xf>
    <xf numFmtId="168" fontId="37" fillId="11" borderId="5" xfId="5" applyNumberFormat="1" applyBorder="1" applyAlignment="1">
      <alignment horizontal="center"/>
    </xf>
    <xf numFmtId="164" fontId="37" fillId="11" borderId="0" xfId="5" applyNumberFormat="1" applyBorder="1" applyAlignment="1">
      <alignment horizontal="center"/>
    </xf>
    <xf numFmtId="164" fontId="37" fillId="11" borderId="5" xfId="5" applyNumberFormat="1" applyBorder="1" applyAlignment="1">
      <alignment horizontal="center"/>
    </xf>
    <xf numFmtId="0" fontId="38" fillId="12" borderId="43" xfId="6" applyBorder="1"/>
    <xf numFmtId="0" fontId="37" fillId="11" borderId="2" xfId="5" applyBorder="1" applyAlignment="1">
      <alignment horizontal="center"/>
    </xf>
    <xf numFmtId="0" fontId="37" fillId="11" borderId="3" xfId="5" applyBorder="1" applyAlignment="1">
      <alignment horizontal="center"/>
    </xf>
    <xf numFmtId="0" fontId="37" fillId="11" borderId="15" xfId="5" applyBorder="1"/>
    <xf numFmtId="10" fontId="39" fillId="11" borderId="59" xfId="5" applyNumberFormat="1" applyFont="1" applyBorder="1" applyAlignment="1">
      <alignment horizontal="center"/>
    </xf>
    <xf numFmtId="168" fontId="37" fillId="11" borderId="42" xfId="5" applyNumberFormat="1" applyBorder="1" applyAlignment="1">
      <alignment horizontal="center"/>
    </xf>
    <xf numFmtId="10" fontId="39" fillId="11" borderId="41" xfId="5" applyNumberFormat="1" applyFont="1" applyBorder="1" applyAlignment="1">
      <alignment horizontal="center"/>
    </xf>
    <xf numFmtId="0" fontId="37" fillId="11" borderId="57" xfId="5" applyBorder="1" applyAlignment="1">
      <alignment horizontal="center"/>
    </xf>
    <xf numFmtId="0" fontId="37" fillId="11" borderId="1" xfId="5" applyBorder="1" applyAlignment="1">
      <alignment horizontal="left"/>
    </xf>
    <xf numFmtId="0" fontId="37" fillId="11" borderId="2" xfId="5" applyBorder="1" applyAlignment="1">
      <alignment horizontal="left"/>
    </xf>
    <xf numFmtId="0" fontId="37" fillId="11" borderId="62" xfId="5" applyBorder="1" applyAlignment="1">
      <alignment horizontal="center"/>
    </xf>
    <xf numFmtId="0" fontId="37" fillId="11" borderId="60" xfId="5" applyNumberFormat="1" applyBorder="1" applyAlignment="1">
      <alignment horizontal="center"/>
    </xf>
    <xf numFmtId="164" fontId="37" fillId="11" borderId="62" xfId="5" applyNumberFormat="1" applyBorder="1" applyAlignment="1">
      <alignment horizontal="center"/>
    </xf>
    <xf numFmtId="0" fontId="37" fillId="11" borderId="48" xfId="5" applyBorder="1" applyAlignment="1">
      <alignment horizontal="center"/>
    </xf>
    <xf numFmtId="164" fontId="37" fillId="11" borderId="48" xfId="5" applyNumberFormat="1" applyBorder="1" applyAlignment="1">
      <alignment horizontal="center"/>
    </xf>
    <xf numFmtId="0" fontId="37" fillId="11" borderId="42" xfId="5" applyNumberFormat="1" applyBorder="1"/>
    <xf numFmtId="164" fontId="37" fillId="11" borderId="49" xfId="5" applyNumberFormat="1" applyBorder="1" applyAlignment="1">
      <alignment horizontal="center"/>
    </xf>
    <xf numFmtId="0" fontId="37" fillId="11" borderId="12" xfId="5" applyBorder="1"/>
    <xf numFmtId="168" fontId="37" fillId="11" borderId="13" xfId="5" applyNumberFormat="1" applyBorder="1" applyAlignment="1">
      <alignment horizontal="center"/>
    </xf>
    <xf numFmtId="168" fontId="37" fillId="11" borderId="45" xfId="5" applyNumberFormat="1" applyBorder="1" applyAlignment="1">
      <alignment horizontal="center"/>
    </xf>
    <xf numFmtId="0" fontId="37" fillId="11" borderId="9" xfId="5" applyBorder="1"/>
    <xf numFmtId="0" fontId="37" fillId="11" borderId="63" xfId="5" applyBorder="1" applyAlignment="1">
      <alignment horizontal="center"/>
    </xf>
    <xf numFmtId="168" fontId="37" fillId="11" borderId="58" xfId="5" applyNumberFormat="1" applyBorder="1" applyAlignment="1">
      <alignment horizontal="center"/>
    </xf>
    <xf numFmtId="168" fontId="37" fillId="11" borderId="36" xfId="5" applyNumberFormat="1" applyBorder="1" applyAlignment="1">
      <alignment horizontal="center"/>
    </xf>
    <xf numFmtId="0" fontId="37" fillId="11" borderId="5" xfId="5" applyNumberFormat="1" applyBorder="1" applyAlignment="1">
      <alignment horizontal="center"/>
    </xf>
    <xf numFmtId="0" fontId="37" fillId="11" borderId="8" xfId="5" applyNumberFormat="1" applyBorder="1" applyAlignment="1">
      <alignment horizontal="center"/>
    </xf>
    <xf numFmtId="171" fontId="37" fillId="11" borderId="42" xfId="5" applyNumberFormat="1" applyBorder="1" applyAlignment="1">
      <alignment horizontal="center"/>
    </xf>
    <xf numFmtId="164" fontId="37" fillId="11" borderId="60" xfId="5" applyNumberFormat="1" applyBorder="1" applyAlignment="1">
      <alignment horizontal="center"/>
    </xf>
    <xf numFmtId="164" fontId="37" fillId="11" borderId="42" xfId="5" applyNumberFormat="1" applyBorder="1" applyAlignment="1">
      <alignment horizontal="center"/>
    </xf>
    <xf numFmtId="171" fontId="37" fillId="11" borderId="5" xfId="5" applyNumberFormat="1" applyBorder="1" applyAlignment="1">
      <alignment horizontal="center"/>
    </xf>
    <xf numFmtId="0" fontId="37" fillId="11" borderId="50" xfId="5" applyBorder="1" applyAlignment="1">
      <alignment horizontal="center"/>
    </xf>
    <xf numFmtId="0" fontId="37" fillId="11" borderId="46" xfId="5" applyBorder="1" applyAlignment="1">
      <alignment horizontal="center"/>
    </xf>
    <xf numFmtId="171" fontId="37" fillId="11" borderId="0" xfId="5" applyNumberFormat="1" applyBorder="1" applyAlignment="1">
      <alignment horizontal="center"/>
    </xf>
    <xf numFmtId="0" fontId="37" fillId="11" borderId="33" xfId="5" applyBorder="1" applyAlignment="1">
      <alignment horizontal="center"/>
    </xf>
    <xf numFmtId="0" fontId="37" fillId="11" borderId="64" xfId="5" applyBorder="1" applyAlignment="1">
      <alignment horizontal="center"/>
    </xf>
    <xf numFmtId="0" fontId="37" fillId="11" borderId="65" xfId="5" applyBorder="1" applyAlignment="1">
      <alignment horizontal="center"/>
    </xf>
    <xf numFmtId="0" fontId="37" fillId="11" borderId="45" xfId="5" applyBorder="1" applyAlignment="1">
      <alignment horizontal="center"/>
    </xf>
    <xf numFmtId="164" fontId="37" fillId="11" borderId="66" xfId="5" applyNumberFormat="1" applyBorder="1" applyAlignment="1">
      <alignment horizontal="center"/>
    </xf>
    <xf numFmtId="10" fontId="37" fillId="11" borderId="42" xfId="5" applyNumberFormat="1" applyBorder="1"/>
    <xf numFmtId="0" fontId="37" fillId="11" borderId="46" xfId="5" applyNumberFormat="1" applyBorder="1" applyAlignment="1">
      <alignment horizontal="center"/>
    </xf>
    <xf numFmtId="0" fontId="37" fillId="11" borderId="47" xfId="5" applyNumberFormat="1" applyBorder="1" applyAlignment="1">
      <alignment horizontal="center"/>
    </xf>
    <xf numFmtId="10" fontId="37" fillId="11" borderId="51" xfId="5" applyNumberFormat="1" applyBorder="1"/>
    <xf numFmtId="0" fontId="37" fillId="11" borderId="51" xfId="5" applyBorder="1" applyAlignment="1">
      <alignment horizontal="center"/>
    </xf>
    <xf numFmtId="171" fontId="37" fillId="11" borderId="51" xfId="5" applyNumberFormat="1" applyBorder="1" applyAlignment="1">
      <alignment horizontal="center"/>
    </xf>
    <xf numFmtId="171" fontId="37" fillId="11" borderId="8" xfId="5" applyNumberFormat="1" applyBorder="1" applyAlignment="1">
      <alignment horizontal="center"/>
    </xf>
    <xf numFmtId="0" fontId="37" fillId="13" borderId="50" xfId="5" applyFill="1" applyBorder="1" applyAlignment="1">
      <alignment horizontal="center"/>
    </xf>
    <xf numFmtId="0" fontId="37" fillId="13" borderId="48" xfId="5" applyFill="1" applyBorder="1" applyAlignment="1">
      <alignment horizontal="center"/>
    </xf>
    <xf numFmtId="171" fontId="37" fillId="13" borderId="0" xfId="0" applyNumberFormat="1" applyFont="1" applyFill="1" applyAlignment="1">
      <alignment horizontal="center"/>
    </xf>
    <xf numFmtId="0" fontId="37" fillId="13" borderId="10" xfId="5" applyFill="1" applyBorder="1" applyAlignment="1">
      <alignment horizontal="center"/>
    </xf>
    <xf numFmtId="168" fontId="37" fillId="13" borderId="41" xfId="5" applyNumberFormat="1" applyFill="1" applyBorder="1" applyAlignment="1">
      <alignment horizontal="center"/>
    </xf>
    <xf numFmtId="164" fontId="39" fillId="11" borderId="60" xfId="5" applyNumberFormat="1" applyFont="1" applyBorder="1" applyAlignment="1">
      <alignment horizontal="center"/>
    </xf>
    <xf numFmtId="164" fontId="39" fillId="11" borderId="66" xfId="5" applyNumberFormat="1" applyFont="1" applyBorder="1" applyAlignment="1">
      <alignment horizontal="center"/>
    </xf>
    <xf numFmtId="164" fontId="34" fillId="8" borderId="29" xfId="1" applyNumberFormat="1" applyBorder="1" applyAlignment="1">
      <alignment horizontal="center"/>
    </xf>
    <xf numFmtId="164" fontId="34" fillId="8" borderId="30" xfId="1" applyNumberFormat="1" applyBorder="1" applyAlignment="1">
      <alignment horizontal="center"/>
    </xf>
    <xf numFmtId="164" fontId="39" fillId="11" borderId="42" xfId="5" applyNumberFormat="1" applyFont="1" applyBorder="1" applyAlignment="1">
      <alignment horizontal="center"/>
    </xf>
    <xf numFmtId="164" fontId="39" fillId="11" borderId="46" xfId="5" applyNumberFormat="1" applyFont="1" applyBorder="1" applyAlignment="1">
      <alignment horizontal="center"/>
    </xf>
    <xf numFmtId="164" fontId="37" fillId="11" borderId="51" xfId="5" applyNumberFormat="1" applyBorder="1" applyAlignment="1">
      <alignment horizontal="center"/>
    </xf>
    <xf numFmtId="164" fontId="37" fillId="11" borderId="47" xfId="5" applyNumberFormat="1" applyBorder="1" applyAlignment="1">
      <alignment horizontal="center"/>
    </xf>
    <xf numFmtId="170" fontId="5" fillId="0" borderId="0" xfId="0" applyNumberFormat="1" applyFont="1"/>
    <xf numFmtId="0" fontId="37" fillId="11" borderId="12" xfId="5" applyBorder="1" applyAlignment="1">
      <alignment horizontal="center"/>
    </xf>
    <xf numFmtId="0" fontId="37" fillId="11" borderId="13" xfId="5" applyBorder="1" applyAlignment="1">
      <alignment horizontal="center"/>
    </xf>
    <xf numFmtId="0" fontId="37" fillId="11" borderId="14" xfId="5" applyBorder="1" applyAlignment="1">
      <alignment horizontal="center"/>
    </xf>
    <xf numFmtId="0" fontId="25" fillId="8" borderId="12" xfId="1" applyFont="1" applyBorder="1" applyAlignment="1">
      <alignment horizontal="center"/>
    </xf>
    <xf numFmtId="0" fontId="25" fillId="8" borderId="14" xfId="1" applyFont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3" xfId="0" applyFont="1" applyFill="1" applyBorder="1" applyAlignment="1">
      <alignment horizontal="center"/>
    </xf>
    <xf numFmtId="1" fontId="1" fillId="5" borderId="39" xfId="0" applyNumberFormat="1" applyFont="1" applyFill="1" applyBorder="1" applyAlignment="1">
      <alignment horizontal="center"/>
    </xf>
    <xf numFmtId="1" fontId="1" fillId="5" borderId="43" xfId="0" applyNumberFormat="1" applyFont="1" applyFill="1" applyBorder="1" applyAlignment="1">
      <alignment horizontal="center"/>
    </xf>
    <xf numFmtId="177" fontId="24" fillId="4" borderId="6" xfId="5" applyNumberFormat="1" applyFont="1" applyFill="1" applyBorder="1" applyAlignment="1">
      <alignment horizontal="right"/>
    </xf>
    <xf numFmtId="177" fontId="24" fillId="4" borderId="7" xfId="5" applyNumberFormat="1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3">
    <cellStyle name="20% - Accent1" xfId="1" builtinId="30"/>
    <cellStyle name="Accent6" xfId="2" builtinId="49"/>
    <cellStyle name="Bad" xfId="3" builtinId="27"/>
    <cellStyle name="Comma" xfId="4" builtinId="3"/>
    <cellStyle name="Good" xfId="5" builtinId="26"/>
    <cellStyle name="Neutral" xfId="6" builtinId="28"/>
    <cellStyle name="Normal" xfId="0" builtinId="0"/>
    <cellStyle name="Percent" xfId="7" builtinId="5"/>
    <cellStyle name="XLConnect.Boolean" xfId="8" xr:uid="{51419879-9C85-C641-B6F6-2C02954F317D}"/>
    <cellStyle name="XLConnect.DateTime" xfId="9" xr:uid="{16DEB75C-2BEC-6041-B606-4D038804F01C}"/>
    <cellStyle name="XLConnect.Header" xfId="10" xr:uid="{624BA64E-1C36-D842-A171-706A68CB376E}"/>
    <cellStyle name="XLConnect.Numeric" xfId="11" xr:uid="{E7B2399E-1566-E647-A1C4-B0E7E12A4305}"/>
    <cellStyle name="XLConnect.String" xfId="12" xr:uid="{F6E0FE5F-C0F3-EE42-8A25-E0F04B9BE393}"/>
  </cellStyles>
  <dxfs count="5">
    <dxf>
      <font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  <border>
        <left/>
        <right/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indexed="65"/>
        </patternFill>
      </fill>
      <border>
        <left/>
        <right/>
        <top/>
        <bottom/>
      </border>
    </dxf>
    <dxf>
      <font>
        <color rgb="FFF7964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'Ratio Data'!$K$22:$L$22</c:f>
          <c:strCache>
            <c:ptCount val="2"/>
            <c:pt idx="0">
              <c:v>5 ppm NO in N2</c:v>
            </c:pt>
          </c:strCache>
        </c:strRef>
      </c:tx>
      <c:layout>
        <c:manualLayout>
          <c:xMode val="edge"/>
          <c:yMode val="edge"/>
          <c:x val="0.36073622047244097"/>
          <c:y val="3.076934650684588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2600" b="1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82208588957055"/>
          <c:y val="0.18421052631578946"/>
          <c:w val="0.75214723926380367"/>
          <c:h val="0.56798245614035092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3653053797723136"/>
                  <c:y val="0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5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en-US"/>
                </a:p>
              </c:txPr>
            </c:trendlineLbl>
          </c:trendline>
          <c:xVal>
            <c:numRef>
              <c:f>'Standards Data'!$D$2:$D$200</c:f>
              <c:numCache>
                <c:formatCode>General</c:formatCode>
                <c:ptCount val="199"/>
                <c:pt idx="0">
                  <c:v>4.0068999999999999</c:v>
                </c:pt>
                <c:pt idx="1">
                  <c:v>4.0068999999999999</c:v>
                </c:pt>
                <c:pt idx="2">
                  <c:v>4.0068999999999999</c:v>
                </c:pt>
                <c:pt idx="3">
                  <c:v>4.0068999999999999</c:v>
                </c:pt>
                <c:pt idx="4">
                  <c:v>4.0068999999999999</c:v>
                </c:pt>
                <c:pt idx="5">
                  <c:v>4.0068999999999999</c:v>
                </c:pt>
                <c:pt idx="6">
                  <c:v>4.0068999999999999</c:v>
                </c:pt>
                <c:pt idx="7">
                  <c:v>4.0068999999999999</c:v>
                </c:pt>
                <c:pt idx="8">
                  <c:v>4.0068999999999999</c:v>
                </c:pt>
                <c:pt idx="9">
                  <c:v>4.0068999999999999</c:v>
                </c:pt>
                <c:pt idx="10">
                  <c:v>4.0068999999999999</c:v>
                </c:pt>
                <c:pt idx="11">
                  <c:v>4.0068999999999999</c:v>
                </c:pt>
                <c:pt idx="12">
                  <c:v>4.9720000000000004</c:v>
                </c:pt>
                <c:pt idx="13">
                  <c:v>4.9720000000000004</c:v>
                </c:pt>
                <c:pt idx="14">
                  <c:v>4.9720000000000004</c:v>
                </c:pt>
                <c:pt idx="15">
                  <c:v>4.9720000000000004</c:v>
                </c:pt>
                <c:pt idx="16">
                  <c:v>4.9720000000000004</c:v>
                </c:pt>
                <c:pt idx="17">
                  <c:v>4.9720000000000004</c:v>
                </c:pt>
                <c:pt idx="18">
                  <c:v>4.9720000000000004</c:v>
                </c:pt>
                <c:pt idx="19">
                  <c:v>4.9720000000000004</c:v>
                </c:pt>
                <c:pt idx="20">
                  <c:v>4.9720000000000004</c:v>
                </c:pt>
                <c:pt idx="21">
                  <c:v>4.9720000000000004</c:v>
                </c:pt>
                <c:pt idx="22">
                  <c:v>4.9720000000000004</c:v>
                </c:pt>
                <c:pt idx="23">
                  <c:v>4.9720000000000004</c:v>
                </c:pt>
                <c:pt idx="24">
                  <c:v>6.0359999999999996</c:v>
                </c:pt>
                <c:pt idx="25">
                  <c:v>6.0359999999999996</c:v>
                </c:pt>
                <c:pt idx="26">
                  <c:v>6.0359999999999996</c:v>
                </c:pt>
                <c:pt idx="27">
                  <c:v>6.0359999999999996</c:v>
                </c:pt>
                <c:pt idx="28">
                  <c:v>6.0359999999999996</c:v>
                </c:pt>
                <c:pt idx="29">
                  <c:v>6.0359999999999996</c:v>
                </c:pt>
                <c:pt idx="30">
                  <c:v>6.0359999999999996</c:v>
                </c:pt>
                <c:pt idx="31">
                  <c:v>6.0359999999999996</c:v>
                </c:pt>
                <c:pt idx="32">
                  <c:v>6.0359999999999996</c:v>
                </c:pt>
                <c:pt idx="33">
                  <c:v>6.0359999999999996</c:v>
                </c:pt>
                <c:pt idx="34">
                  <c:v>6.0359999999999996</c:v>
                </c:pt>
                <c:pt idx="35">
                  <c:v>6.0359999999999996</c:v>
                </c:pt>
                <c:pt idx="36">
                  <c:v>9.0069999999999997</c:v>
                </c:pt>
                <c:pt idx="37">
                  <c:v>9.0069999999999997</c:v>
                </c:pt>
                <c:pt idx="38">
                  <c:v>9.0069999999999997</c:v>
                </c:pt>
                <c:pt idx="39">
                  <c:v>9.0069999999999997</c:v>
                </c:pt>
                <c:pt idx="40">
                  <c:v>9.0069999999999997</c:v>
                </c:pt>
                <c:pt idx="41">
                  <c:v>9.0069999999999997</c:v>
                </c:pt>
                <c:pt idx="42">
                  <c:v>9.0069999999999997</c:v>
                </c:pt>
                <c:pt idx="43">
                  <c:v>9.0069999999999997</c:v>
                </c:pt>
                <c:pt idx="44">
                  <c:v>9.0069999999999997</c:v>
                </c:pt>
                <c:pt idx="45">
                  <c:v>9.0069999999999997</c:v>
                </c:pt>
              </c:numCache>
            </c:numRef>
          </c:xVal>
          <c:yVal>
            <c:numRef>
              <c:f>'Standards Data'!$C$2:$C$200</c:f>
              <c:numCache>
                <c:formatCode>0.0000</c:formatCode>
                <c:ptCount val="199"/>
                <c:pt idx="0">
                  <c:v>0.77643067066537164</c:v>
                </c:pt>
                <c:pt idx="1">
                  <c:v>0.77666333911756658</c:v>
                </c:pt>
                <c:pt idx="2">
                  <c:v>0.77652540038684981</c:v>
                </c:pt>
                <c:pt idx="3">
                  <c:v>0.77606013360509052</c:v>
                </c:pt>
                <c:pt idx="4">
                  <c:v>0.77579973482982734</c:v>
                </c:pt>
                <c:pt idx="5">
                  <c:v>0.77670637999230951</c:v>
                </c:pt>
                <c:pt idx="6">
                  <c:v>0.77642810726552358</c:v>
                </c:pt>
                <c:pt idx="7">
                  <c:v>0.77590451420248963</c:v>
                </c:pt>
                <c:pt idx="8">
                  <c:v>0.77614822634975111</c:v>
                </c:pt>
                <c:pt idx="9">
                  <c:v>0.77653265224672008</c:v>
                </c:pt>
                <c:pt idx="10">
                  <c:v>0.77625743522357782</c:v>
                </c:pt>
                <c:pt idx="11">
                  <c:v>0.77535218600702793</c:v>
                </c:pt>
                <c:pt idx="12">
                  <c:v>0.96318896351408945</c:v>
                </c:pt>
                <c:pt idx="13">
                  <c:v>0.96286192098295098</c:v>
                </c:pt>
                <c:pt idx="14">
                  <c:v>0.962475597963251</c:v>
                </c:pt>
                <c:pt idx="15">
                  <c:v>0.96270311908102879</c:v>
                </c:pt>
                <c:pt idx="16">
                  <c:v>0.96282794919216519</c:v>
                </c:pt>
                <c:pt idx="17">
                  <c:v>0.9633468887692902</c:v>
                </c:pt>
                <c:pt idx="18">
                  <c:v>0.96305284311044648</c:v>
                </c:pt>
                <c:pt idx="19">
                  <c:v>0.96379392694847843</c:v>
                </c:pt>
                <c:pt idx="20">
                  <c:v>0.96277818460774134</c:v>
                </c:pt>
                <c:pt idx="21">
                  <c:v>0.96288990061296031</c:v>
                </c:pt>
                <c:pt idx="22">
                  <c:v>0.96418397185315374</c:v>
                </c:pt>
                <c:pt idx="23">
                  <c:v>0.96459072863187256</c:v>
                </c:pt>
                <c:pt idx="24">
                  <c:v>1.1777210906316831</c:v>
                </c:pt>
                <c:pt idx="25">
                  <c:v>1.1775406962043169</c:v>
                </c:pt>
                <c:pt idx="26">
                  <c:v>1.178134948287449</c:v>
                </c:pt>
                <c:pt idx="27">
                  <c:v>1.1786593722770078</c:v>
                </c:pt>
                <c:pt idx="28">
                  <c:v>1.1791338961942324</c:v>
                </c:pt>
                <c:pt idx="29">
                  <c:v>1.1787880833108104</c:v>
                </c:pt>
                <c:pt idx="30">
                  <c:v>1.1777318846325091</c:v>
                </c:pt>
                <c:pt idx="31">
                  <c:v>1.1779671879314701</c:v>
                </c:pt>
                <c:pt idx="32">
                  <c:v>1.1787918129532069</c:v>
                </c:pt>
                <c:pt idx="33">
                  <c:v>1.1786315980753568</c:v>
                </c:pt>
                <c:pt idx="34">
                  <c:v>1.1788285830293268</c:v>
                </c:pt>
                <c:pt idx="35">
                  <c:v>1.1780667700803624</c:v>
                </c:pt>
                <c:pt idx="36">
                  <c:v>1.7721416214683856</c:v>
                </c:pt>
                <c:pt idx="37">
                  <c:v>1.7728179051281043</c:v>
                </c:pt>
                <c:pt idx="38">
                  <c:v>1.772073846443871</c:v>
                </c:pt>
                <c:pt idx="39">
                  <c:v>1.7724189208509602</c:v>
                </c:pt>
                <c:pt idx="40">
                  <c:v>1.771999923170295</c:v>
                </c:pt>
                <c:pt idx="41">
                  <c:v>1.7721967487736492</c:v>
                </c:pt>
                <c:pt idx="42">
                  <c:v>1.7726242150608362</c:v>
                </c:pt>
                <c:pt idx="43">
                  <c:v>1.7732502646519497</c:v>
                </c:pt>
                <c:pt idx="44">
                  <c:v>1.7732309274765676</c:v>
                </c:pt>
                <c:pt idx="45">
                  <c:v>1.7732668293462519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38-C94B-B927-15C0C575694E}"/>
            </c:ext>
          </c:extLst>
        </c:ser>
        <c:ser>
          <c:idx val="0"/>
          <c:order val="1"/>
          <c:tx>
            <c:v>Y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'Standards Data'!$C$49:$C$200</c:f>
              <c:numCache>
                <c:formatCode>General</c:formatCode>
                <c:ptCount val="152"/>
              </c:numCache>
            </c:numRef>
          </c:xVal>
          <c:yVal>
            <c:numRef>
              <c:f>'Standards Data'!$D$1:$D$200</c:f>
              <c:numCache>
                <c:formatCode>General</c:formatCode>
                <c:ptCount val="200"/>
                <c:pt idx="0">
                  <c:v>0</c:v>
                </c:pt>
                <c:pt idx="1">
                  <c:v>4.0068999999999999</c:v>
                </c:pt>
                <c:pt idx="2">
                  <c:v>4.0068999999999999</c:v>
                </c:pt>
                <c:pt idx="3">
                  <c:v>4.0068999999999999</c:v>
                </c:pt>
                <c:pt idx="4">
                  <c:v>4.0068999999999999</c:v>
                </c:pt>
                <c:pt idx="5">
                  <c:v>4.0068999999999999</c:v>
                </c:pt>
                <c:pt idx="6">
                  <c:v>4.0068999999999999</c:v>
                </c:pt>
                <c:pt idx="7">
                  <c:v>4.0068999999999999</c:v>
                </c:pt>
                <c:pt idx="8">
                  <c:v>4.0068999999999999</c:v>
                </c:pt>
                <c:pt idx="9">
                  <c:v>4.0068999999999999</c:v>
                </c:pt>
                <c:pt idx="10">
                  <c:v>4.0068999999999999</c:v>
                </c:pt>
                <c:pt idx="11">
                  <c:v>4.0068999999999999</c:v>
                </c:pt>
                <c:pt idx="12">
                  <c:v>4.0068999999999999</c:v>
                </c:pt>
                <c:pt idx="13">
                  <c:v>4.9720000000000004</c:v>
                </c:pt>
                <c:pt idx="14">
                  <c:v>4.9720000000000004</c:v>
                </c:pt>
                <c:pt idx="15">
                  <c:v>4.9720000000000004</c:v>
                </c:pt>
                <c:pt idx="16">
                  <c:v>4.9720000000000004</c:v>
                </c:pt>
                <c:pt idx="17">
                  <c:v>4.9720000000000004</c:v>
                </c:pt>
                <c:pt idx="18">
                  <c:v>4.9720000000000004</c:v>
                </c:pt>
                <c:pt idx="19">
                  <c:v>4.9720000000000004</c:v>
                </c:pt>
                <c:pt idx="20">
                  <c:v>4.9720000000000004</c:v>
                </c:pt>
                <c:pt idx="21">
                  <c:v>4.9720000000000004</c:v>
                </c:pt>
                <c:pt idx="22">
                  <c:v>4.9720000000000004</c:v>
                </c:pt>
                <c:pt idx="23">
                  <c:v>4.9720000000000004</c:v>
                </c:pt>
                <c:pt idx="24">
                  <c:v>4.9720000000000004</c:v>
                </c:pt>
                <c:pt idx="25">
                  <c:v>6.0359999999999996</c:v>
                </c:pt>
                <c:pt idx="26">
                  <c:v>6.0359999999999996</c:v>
                </c:pt>
                <c:pt idx="27">
                  <c:v>6.0359999999999996</c:v>
                </c:pt>
                <c:pt idx="28">
                  <c:v>6.0359999999999996</c:v>
                </c:pt>
                <c:pt idx="29">
                  <c:v>6.0359999999999996</c:v>
                </c:pt>
                <c:pt idx="30">
                  <c:v>6.0359999999999996</c:v>
                </c:pt>
                <c:pt idx="31">
                  <c:v>6.0359999999999996</c:v>
                </c:pt>
                <c:pt idx="32">
                  <c:v>6.0359999999999996</c:v>
                </c:pt>
                <c:pt idx="33">
                  <c:v>6.0359999999999996</c:v>
                </c:pt>
                <c:pt idx="34">
                  <c:v>6.0359999999999996</c:v>
                </c:pt>
                <c:pt idx="35">
                  <c:v>6.0359999999999996</c:v>
                </c:pt>
                <c:pt idx="36">
                  <c:v>6.0359999999999996</c:v>
                </c:pt>
                <c:pt idx="37">
                  <c:v>9.0069999999999997</c:v>
                </c:pt>
                <c:pt idx="38">
                  <c:v>9.0069999999999997</c:v>
                </c:pt>
                <c:pt idx="39">
                  <c:v>9.0069999999999997</c:v>
                </c:pt>
                <c:pt idx="40">
                  <c:v>9.0069999999999997</c:v>
                </c:pt>
                <c:pt idx="41">
                  <c:v>9.0069999999999997</c:v>
                </c:pt>
                <c:pt idx="42">
                  <c:v>9.0069999999999997</c:v>
                </c:pt>
                <c:pt idx="43">
                  <c:v>9.0069999999999997</c:v>
                </c:pt>
                <c:pt idx="44">
                  <c:v>9.0069999999999997</c:v>
                </c:pt>
                <c:pt idx="45">
                  <c:v>9.0069999999999997</c:v>
                </c:pt>
                <c:pt idx="46">
                  <c:v>9.0069999999999997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38-C94B-B927-15C0C5756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96351"/>
        <c:axId val="1"/>
      </c:scatterChart>
      <c:valAx>
        <c:axId val="625396351"/>
        <c:scaling>
          <c:orientation val="minMax"/>
          <c:max val="9.1"/>
          <c:min val="4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Concentration</a:t>
                </a:r>
              </a:p>
            </c:rich>
          </c:tx>
          <c:layout>
            <c:manualLayout>
              <c:xMode val="edge"/>
              <c:yMode val="edge"/>
              <c:x val="0.43312883518870487"/>
              <c:y val="0.887911881237775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8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78"/>
          <c:min val="0.77"/>
        </c:scaling>
        <c:delete val="0"/>
        <c:axPos val="l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Ratio</a:t>
                </a:r>
              </a:p>
            </c:rich>
          </c:tx>
          <c:layout>
            <c:manualLayout>
              <c:xMode val="edge"/>
              <c:yMode val="edge"/>
              <c:x val="1.9631957643225631E-2"/>
              <c:y val="0.375824013240383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8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253963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20</xdr:row>
          <xdr:rowOff>25400</xdr:rowOff>
        </xdr:from>
        <xdr:to>
          <xdr:col>16</xdr:col>
          <xdr:colOff>114300</xdr:colOff>
          <xdr:row>21</xdr:row>
          <xdr:rowOff>152400</xdr:rowOff>
        </xdr:to>
        <xdr:sp macro="" textlink="">
          <xdr:nvSpPr>
            <xdr:cNvPr id="1041" name="CommandButton1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38</xdr:row>
      <xdr:rowOff>63500</xdr:rowOff>
    </xdr:from>
    <xdr:to>
      <xdr:col>15</xdr:col>
      <xdr:colOff>0</xdr:colOff>
      <xdr:row>67</xdr:row>
      <xdr:rowOff>0</xdr:rowOff>
    </xdr:to>
    <xdr:graphicFrame macro="">
      <xdr:nvGraphicFramePr>
        <xdr:cNvPr id="2386" name="Chart 3">
          <a:extLst>
            <a:ext uri="{FF2B5EF4-FFF2-40B4-BE49-F238E27FC236}">
              <a16:creationId xmlns:a16="http://schemas.microsoft.com/office/drawing/2014/main" id="{5E7B13FF-8F0C-9CBF-C376-79FB766EB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E1CB-86C1-DE43-9A5E-749CB81E69AB}">
  <sheetPr codeName="Sheet1"/>
  <dimension ref="A1:S1412"/>
  <sheetViews>
    <sheetView workbookViewId="0">
      <selection activeCell="I14" sqref="I14"/>
    </sheetView>
  </sheetViews>
  <sheetFormatPr baseColWidth="10" defaultColWidth="9.19921875" defaultRowHeight="12" x14ac:dyDescent="0.15"/>
  <cols>
    <col min="1" max="1" width="11.796875" style="102" customWidth="1"/>
    <col min="2" max="2" width="11.796875" style="102" bestFit="1" customWidth="1"/>
    <col min="3" max="3" width="10.796875" style="107" customWidth="1"/>
    <col min="4" max="4" width="10.796875" style="102" customWidth="1"/>
    <col min="5" max="5" width="11" style="102" bestFit="1" customWidth="1"/>
    <col min="6" max="7" width="9.19921875" style="102"/>
    <col min="8" max="8" width="12.19921875" style="99" customWidth="1"/>
    <col min="9" max="9" width="8.796875" style="94" customWidth="1"/>
    <col min="10" max="10" width="13.3984375" style="8" customWidth="1"/>
    <col min="11" max="11" width="11.796875" style="8" customWidth="1"/>
    <col min="12" max="12" width="10" style="8" customWidth="1"/>
    <col min="13" max="16384" width="9.19921875" style="8"/>
  </cols>
  <sheetData>
    <row r="1" spans="1:19" s="162" customFormat="1" ht="13" thickBot="1" x14ac:dyDescent="0.2">
      <c r="A1" s="198" t="s">
        <v>95</v>
      </c>
      <c r="B1" s="198" t="s">
        <v>96</v>
      </c>
      <c r="C1" s="199" t="s">
        <v>40</v>
      </c>
      <c r="D1" s="198" t="s">
        <v>39</v>
      </c>
      <c r="E1" s="198" t="s">
        <v>85</v>
      </c>
      <c r="F1" s="198" t="s">
        <v>10</v>
      </c>
      <c r="G1" s="198" t="s">
        <v>26</v>
      </c>
      <c r="H1" s="258" t="s">
        <v>58</v>
      </c>
      <c r="I1" s="258" t="s">
        <v>31</v>
      </c>
      <c r="J1" s="386" t="s">
        <v>351</v>
      </c>
      <c r="K1" s="386"/>
      <c r="L1" s="386"/>
      <c r="M1" s="386"/>
      <c r="N1" s="386"/>
      <c r="O1" s="386"/>
      <c r="P1" s="386"/>
      <c r="Q1" s="386"/>
      <c r="R1" s="386"/>
      <c r="S1" s="385"/>
    </row>
    <row r="2" spans="1:19" ht="13" x14ac:dyDescent="0.15">
      <c r="A2" s="257" t="s">
        <v>291</v>
      </c>
      <c r="B2" s="257">
        <v>5</v>
      </c>
      <c r="C2" s="387">
        <v>0.9821512231276156</v>
      </c>
      <c r="D2" s="257">
        <v>26</v>
      </c>
      <c r="E2" s="257">
        <v>4</v>
      </c>
      <c r="F2" s="257">
        <v>3</v>
      </c>
      <c r="G2" s="257">
        <v>2</v>
      </c>
      <c r="H2" s="101">
        <f t="shared" ref="H2:H65" si="0">IF(ISBLANK(C2),"",C2*$L$13)</f>
        <v>5.0476339502124459</v>
      </c>
      <c r="I2" s="102" t="str">
        <f t="shared" ref="I2:I65" si="1">IF(ISNUMBER(H2),IF(ABS(H2-$L$14)&gt;$M$16,"OUT",""),"")</f>
        <v/>
      </c>
      <c r="J2" s="8" t="s">
        <v>250</v>
      </c>
    </row>
    <row r="3" spans="1:19" ht="13" x14ac:dyDescent="0.15">
      <c r="A3" s="257" t="s">
        <v>291</v>
      </c>
      <c r="B3" s="257">
        <v>5</v>
      </c>
      <c r="C3" s="387">
        <v>0.98314714156360217</v>
      </c>
      <c r="D3" s="257">
        <v>27</v>
      </c>
      <c r="E3" s="257">
        <v>4</v>
      </c>
      <c r="F3" s="257">
        <v>3</v>
      </c>
      <c r="G3" s="257">
        <v>2</v>
      </c>
      <c r="H3" s="101">
        <f t="shared" si="0"/>
        <v>5.0527523388991904</v>
      </c>
      <c r="I3" s="102" t="str">
        <f t="shared" si="1"/>
        <v/>
      </c>
      <c r="J3" s="8" t="s">
        <v>251</v>
      </c>
    </row>
    <row r="4" spans="1:19" ht="13" x14ac:dyDescent="0.15">
      <c r="A4" s="257" t="s">
        <v>291</v>
      </c>
      <c r="B4" s="257">
        <v>5</v>
      </c>
      <c r="C4" s="387">
        <v>0.98295775891814263</v>
      </c>
      <c r="D4" s="257">
        <v>29</v>
      </c>
      <c r="E4" s="257">
        <v>4</v>
      </c>
      <c r="F4" s="257">
        <v>3</v>
      </c>
      <c r="G4" s="257">
        <v>2</v>
      </c>
      <c r="H4" s="101">
        <f t="shared" si="0"/>
        <v>5.0517790322959986</v>
      </c>
      <c r="I4" s="102" t="str">
        <f t="shared" si="1"/>
        <v/>
      </c>
      <c r="J4" s="8" t="s">
        <v>206</v>
      </c>
    </row>
    <row r="5" spans="1:19" ht="13" x14ac:dyDescent="0.15">
      <c r="A5" s="257" t="s">
        <v>291</v>
      </c>
      <c r="B5" s="257">
        <v>5</v>
      </c>
      <c r="C5" s="387">
        <v>0.98262829639045857</v>
      </c>
      <c r="D5" s="257">
        <v>31</v>
      </c>
      <c r="E5" s="257">
        <v>4</v>
      </c>
      <c r="F5" s="257">
        <v>3</v>
      </c>
      <c r="G5" s="257">
        <v>2</v>
      </c>
      <c r="H5" s="101">
        <f t="shared" si="0"/>
        <v>5.050085804001923</v>
      </c>
      <c r="I5" s="102" t="str">
        <f t="shared" si="1"/>
        <v/>
      </c>
      <c r="J5" s="8" t="s">
        <v>230</v>
      </c>
    </row>
    <row r="6" spans="1:19" ht="13" x14ac:dyDescent="0.15">
      <c r="A6" s="257" t="s">
        <v>291</v>
      </c>
      <c r="B6" s="257">
        <v>5</v>
      </c>
      <c r="C6" s="387">
        <v>0.97903257523733189</v>
      </c>
      <c r="D6" s="257">
        <v>186</v>
      </c>
      <c r="E6" s="257">
        <v>24</v>
      </c>
      <c r="F6" s="257">
        <v>17</v>
      </c>
      <c r="G6" s="257">
        <v>3</v>
      </c>
      <c r="H6" s="101">
        <f t="shared" si="0"/>
        <v>5.0316060793519632</v>
      </c>
      <c r="I6" s="102" t="str">
        <f t="shared" si="1"/>
        <v/>
      </c>
      <c r="J6" s="8" t="s">
        <v>229</v>
      </c>
    </row>
    <row r="7" spans="1:19" ht="13" x14ac:dyDescent="0.15">
      <c r="A7" s="257" t="s">
        <v>291</v>
      </c>
      <c r="B7" s="257">
        <v>5</v>
      </c>
      <c r="C7" s="387">
        <v>0.97963239242093503</v>
      </c>
      <c r="D7" s="257">
        <v>187</v>
      </c>
      <c r="E7" s="257">
        <v>24</v>
      </c>
      <c r="F7" s="257">
        <v>17</v>
      </c>
      <c r="G7" s="257">
        <v>3</v>
      </c>
      <c r="H7" s="101">
        <f t="shared" si="0"/>
        <v>5.0346887589929201</v>
      </c>
      <c r="I7" s="102" t="str">
        <f t="shared" si="1"/>
        <v/>
      </c>
      <c r="J7" s="8" t="s">
        <v>216</v>
      </c>
    </row>
    <row r="8" spans="1:19" ht="13" x14ac:dyDescent="0.15">
      <c r="A8" s="257" t="s">
        <v>291</v>
      </c>
      <c r="B8" s="257">
        <v>5</v>
      </c>
      <c r="C8" s="387">
        <v>0.98014633860575751</v>
      </c>
      <c r="D8" s="257">
        <v>190</v>
      </c>
      <c r="E8" s="257">
        <v>24</v>
      </c>
      <c r="F8" s="257">
        <v>17</v>
      </c>
      <c r="G8" s="257">
        <v>3</v>
      </c>
      <c r="H8" s="101">
        <f t="shared" si="0"/>
        <v>5.0373301161994313</v>
      </c>
      <c r="I8" s="102" t="str">
        <f t="shared" si="1"/>
        <v/>
      </c>
      <c r="J8" s="8" t="s">
        <v>186</v>
      </c>
    </row>
    <row r="9" spans="1:19" ht="13" x14ac:dyDescent="0.15">
      <c r="A9" s="257" t="s">
        <v>291</v>
      </c>
      <c r="B9" s="257">
        <v>5</v>
      </c>
      <c r="C9" s="387">
        <v>0.97969227665123404</v>
      </c>
      <c r="D9" s="257">
        <v>192</v>
      </c>
      <c r="E9" s="257">
        <v>24</v>
      </c>
      <c r="F9" s="257">
        <v>17</v>
      </c>
      <c r="G9" s="257">
        <v>3</v>
      </c>
      <c r="H9" s="101">
        <f t="shared" si="0"/>
        <v>5.0349965259302527</v>
      </c>
      <c r="I9" s="102" t="str">
        <f t="shared" si="1"/>
        <v/>
      </c>
    </row>
    <row r="10" spans="1:19" ht="13" x14ac:dyDescent="0.15">
      <c r="A10" s="257" t="s">
        <v>292</v>
      </c>
      <c r="B10" s="257">
        <v>6</v>
      </c>
      <c r="C10" s="387">
        <v>0.9730307389921854</v>
      </c>
      <c r="D10" s="257">
        <v>18</v>
      </c>
      <c r="E10" s="257">
        <v>3</v>
      </c>
      <c r="F10" s="257">
        <v>2</v>
      </c>
      <c r="G10" s="257">
        <v>2</v>
      </c>
      <c r="H10" s="101">
        <f t="shared" si="0"/>
        <v>5.0007604502052176</v>
      </c>
      <c r="I10" s="102" t="str">
        <f t="shared" si="1"/>
        <v/>
      </c>
      <c r="J10" s="8" t="s">
        <v>177</v>
      </c>
    </row>
    <row r="11" spans="1:19" ht="14" thickBot="1" x14ac:dyDescent="0.2">
      <c r="A11" s="257" t="s">
        <v>292</v>
      </c>
      <c r="B11" s="257">
        <v>6</v>
      </c>
      <c r="C11" s="387">
        <v>0.97390929460345776</v>
      </c>
      <c r="D11" s="257">
        <v>19</v>
      </c>
      <c r="E11" s="257">
        <v>3</v>
      </c>
      <c r="F11" s="257">
        <v>2</v>
      </c>
      <c r="G11" s="257">
        <v>2</v>
      </c>
      <c r="H11" s="101">
        <f t="shared" si="0"/>
        <v>5.0052756684589674</v>
      </c>
      <c r="I11" s="102" t="str">
        <f t="shared" si="1"/>
        <v/>
      </c>
    </row>
    <row r="12" spans="1:19" ht="13" x14ac:dyDescent="0.15">
      <c r="A12" s="257" t="s">
        <v>292</v>
      </c>
      <c r="B12" s="257">
        <v>6</v>
      </c>
      <c r="C12" s="387">
        <v>0.97377383854025579</v>
      </c>
      <c r="D12" s="257">
        <v>21</v>
      </c>
      <c r="E12" s="257">
        <v>3</v>
      </c>
      <c r="F12" s="257">
        <v>2</v>
      </c>
      <c r="G12" s="257">
        <v>2</v>
      </c>
      <c r="H12" s="101">
        <f t="shared" si="0"/>
        <v>5.0045795102632837</v>
      </c>
      <c r="I12" s="102" t="str">
        <f t="shared" si="1"/>
        <v/>
      </c>
      <c r="J12" s="203"/>
      <c r="K12" s="204"/>
      <c r="L12" s="204" t="s">
        <v>93</v>
      </c>
      <c r="M12" s="204" t="s">
        <v>12</v>
      </c>
      <c r="N12" s="205" t="s">
        <v>22</v>
      </c>
    </row>
    <row r="13" spans="1:19" ht="13" x14ac:dyDescent="0.15">
      <c r="A13" s="257" t="s">
        <v>292</v>
      </c>
      <c r="B13" s="257">
        <v>6</v>
      </c>
      <c r="C13" s="387">
        <v>0.97369615015043598</v>
      </c>
      <c r="D13" s="257">
        <v>23</v>
      </c>
      <c r="E13" s="257">
        <v>3</v>
      </c>
      <c r="F13" s="257">
        <v>2</v>
      </c>
      <c r="G13" s="257">
        <v>2</v>
      </c>
      <c r="H13" s="101">
        <f t="shared" si="0"/>
        <v>5.0041802412456855</v>
      </c>
      <c r="I13" s="102" t="str">
        <f t="shared" si="1"/>
        <v/>
      </c>
      <c r="J13" s="206" t="s">
        <v>133</v>
      </c>
      <c r="K13" s="207"/>
      <c r="L13" s="215">
        <f>'Std Analysis'!L5</f>
        <v>5.139365335348753</v>
      </c>
      <c r="M13" s="207"/>
      <c r="N13" s="208"/>
    </row>
    <row r="14" spans="1:19" ht="13" x14ac:dyDescent="0.15">
      <c r="A14" s="257" t="s">
        <v>292</v>
      </c>
      <c r="B14" s="257">
        <v>6</v>
      </c>
      <c r="C14" s="387">
        <v>0.97334979557461598</v>
      </c>
      <c r="D14" s="257">
        <v>218</v>
      </c>
      <c r="E14" s="257">
        <v>28</v>
      </c>
      <c r="F14" s="257">
        <v>19</v>
      </c>
      <c r="G14" s="257">
        <v>5</v>
      </c>
      <c r="H14" s="101">
        <f t="shared" si="0"/>
        <v>5.0024001985449766</v>
      </c>
      <c r="I14" s="102" t="str">
        <f t="shared" si="1"/>
        <v/>
      </c>
      <c r="J14" s="206" t="str">
        <f>IF('Certified Value'!C43&lt;&gt;0,'Certified Value'!B43,'Certified Value'!B42)</f>
        <v>Certified Value (R Code):</v>
      </c>
      <c r="K14" s="207"/>
      <c r="L14" s="215">
        <f>IF('Certified Value'!C43&lt;&gt;0,'Certified Value'!C43,'Certified Value'!C42)</f>
        <v>5.0422565872924201</v>
      </c>
      <c r="M14" s="212">
        <f>L14-M16</f>
        <v>4.9905352131281848</v>
      </c>
      <c r="N14" s="211">
        <f>L14+M16</f>
        <v>5.0939779614566554</v>
      </c>
    </row>
    <row r="15" spans="1:19" ht="13" x14ac:dyDescent="0.15">
      <c r="A15" s="257" t="s">
        <v>292</v>
      </c>
      <c r="B15" s="257">
        <v>6</v>
      </c>
      <c r="C15" s="387">
        <v>0.97391421271447298</v>
      </c>
      <c r="D15" s="257">
        <v>219</v>
      </c>
      <c r="E15" s="257">
        <v>28</v>
      </c>
      <c r="F15" s="257">
        <v>19</v>
      </c>
      <c r="G15" s="257">
        <v>5</v>
      </c>
      <c r="H15" s="101">
        <f t="shared" si="0"/>
        <v>5.0053009444282344</v>
      </c>
      <c r="I15" s="102" t="str">
        <f t="shared" si="1"/>
        <v/>
      </c>
      <c r="J15" s="206" t="s">
        <v>129</v>
      </c>
      <c r="K15" s="207"/>
      <c r="L15" s="215">
        <f>IF('Certified Value'!E43&lt;&gt;0,'Certified Value'!E43,'Certified Value'!E42)</f>
        <v>6.4651717705294348E-2</v>
      </c>
      <c r="M15" s="207"/>
      <c r="N15" s="208"/>
    </row>
    <row r="16" spans="1:19" ht="13" x14ac:dyDescent="0.15">
      <c r="A16" s="257" t="s">
        <v>292</v>
      </c>
      <c r="B16" s="257">
        <v>6</v>
      </c>
      <c r="C16" s="387">
        <v>0.97403158253347888</v>
      </c>
      <c r="D16" s="257">
        <v>221</v>
      </c>
      <c r="E16" s="257">
        <v>28</v>
      </c>
      <c r="F16" s="257">
        <v>19</v>
      </c>
      <c r="G16" s="257">
        <v>5</v>
      </c>
      <c r="H16" s="101">
        <f t="shared" si="0"/>
        <v>5.0059041508074493</v>
      </c>
      <c r="I16" s="102" t="str">
        <f t="shared" si="1"/>
        <v/>
      </c>
      <c r="J16" s="206" t="s">
        <v>153</v>
      </c>
      <c r="K16" s="207"/>
      <c r="L16" s="213">
        <f>80%</f>
        <v>0.8</v>
      </c>
      <c r="M16" s="215">
        <f>L15*L16</f>
        <v>5.172137416423548E-2</v>
      </c>
      <c r="N16" s="208"/>
    </row>
    <row r="17" spans="1:17" ht="14" thickBot="1" x14ac:dyDescent="0.2">
      <c r="A17" s="257" t="s">
        <v>292</v>
      </c>
      <c r="B17" s="257">
        <v>6</v>
      </c>
      <c r="C17" s="387">
        <v>0.97404621845276496</v>
      </c>
      <c r="D17" s="257">
        <v>223</v>
      </c>
      <c r="E17" s="257">
        <v>28</v>
      </c>
      <c r="F17" s="257">
        <v>19</v>
      </c>
      <c r="G17" s="257">
        <v>5</v>
      </c>
      <c r="H17" s="101">
        <f t="shared" si="0"/>
        <v>5.0059793701436792</v>
      </c>
      <c r="I17" s="102" t="str">
        <f t="shared" si="1"/>
        <v/>
      </c>
      <c r="J17" s="209" t="s">
        <v>167</v>
      </c>
      <c r="K17" s="214"/>
      <c r="L17" s="214">
        <f>COUNT(C2:C912)</f>
        <v>472</v>
      </c>
      <c r="M17" s="214"/>
      <c r="N17" s="210"/>
    </row>
    <row r="18" spans="1:17" ht="13" x14ac:dyDescent="0.15">
      <c r="A18" s="257" t="s">
        <v>293</v>
      </c>
      <c r="B18" s="257">
        <v>7</v>
      </c>
      <c r="C18" s="387">
        <v>0.98741319922259896</v>
      </c>
      <c r="D18" s="257">
        <v>17</v>
      </c>
      <c r="E18" s="257">
        <v>3</v>
      </c>
      <c r="F18" s="257">
        <v>2</v>
      </c>
      <c r="G18" s="257">
        <v>3</v>
      </c>
      <c r="H18" s="101">
        <f t="shared" si="0"/>
        <v>5.074677167750437</v>
      </c>
      <c r="I18" s="102" t="str">
        <f t="shared" si="1"/>
        <v/>
      </c>
      <c r="J18"/>
      <c r="K18"/>
      <c r="M18"/>
      <c r="N18"/>
    </row>
    <row r="19" spans="1:17" ht="13" x14ac:dyDescent="0.15">
      <c r="A19" s="257" t="s">
        <v>293</v>
      </c>
      <c r="B19" s="257">
        <v>7</v>
      </c>
      <c r="C19" s="387">
        <v>0.98670394394598937</v>
      </c>
      <c r="D19" s="257">
        <v>19</v>
      </c>
      <c r="E19" s="257">
        <v>3</v>
      </c>
      <c r="F19" s="257">
        <v>2</v>
      </c>
      <c r="G19" s="257">
        <v>3</v>
      </c>
      <c r="H19" s="101">
        <f t="shared" si="0"/>
        <v>5.0710320457679172</v>
      </c>
      <c r="I19" s="102" t="str">
        <f t="shared" si="1"/>
        <v/>
      </c>
      <c r="J19" s="162"/>
      <c r="K19" s="94"/>
      <c r="L19" s="94"/>
      <c r="M19" s="94"/>
    </row>
    <row r="20" spans="1:17" ht="14" thickBot="1" x14ac:dyDescent="0.2">
      <c r="A20" s="257" t="s">
        <v>293</v>
      </c>
      <c r="B20" s="257">
        <v>7</v>
      </c>
      <c r="C20" s="387">
        <v>0.98676596183429</v>
      </c>
      <c r="D20" s="257">
        <v>22</v>
      </c>
      <c r="E20" s="257">
        <v>3</v>
      </c>
      <c r="F20" s="257">
        <v>2</v>
      </c>
      <c r="G20" s="257">
        <v>3</v>
      </c>
      <c r="H20" s="101">
        <f t="shared" si="0"/>
        <v>5.0713507783532208</v>
      </c>
      <c r="I20" s="102" t="str">
        <f t="shared" si="1"/>
        <v/>
      </c>
      <c r="K20" s="319" t="s">
        <v>252</v>
      </c>
      <c r="L20" s="94"/>
      <c r="M20" s="94"/>
    </row>
    <row r="21" spans="1:17" ht="14" thickBot="1" x14ac:dyDescent="0.2">
      <c r="A21" s="257" t="s">
        <v>293</v>
      </c>
      <c r="B21" s="257">
        <v>7</v>
      </c>
      <c r="C21" s="387">
        <v>0.9868613988131768</v>
      </c>
      <c r="D21" s="257">
        <v>23</v>
      </c>
      <c r="E21" s="257">
        <v>3</v>
      </c>
      <c r="F21" s="257">
        <v>2</v>
      </c>
      <c r="G21" s="257">
        <v>3</v>
      </c>
      <c r="H21" s="101">
        <f t="shared" si="0"/>
        <v>5.0718412638542221</v>
      </c>
      <c r="I21" s="102" t="str">
        <f t="shared" si="1"/>
        <v/>
      </c>
      <c r="J21" s="172" t="s">
        <v>28</v>
      </c>
      <c r="K21" s="498" t="s">
        <v>418</v>
      </c>
      <c r="L21" s="499"/>
      <c r="M21" s="95"/>
      <c r="Q21" s="8" t="s">
        <v>220</v>
      </c>
    </row>
    <row r="22" spans="1:17" ht="14" thickBot="1" x14ac:dyDescent="0.2">
      <c r="A22" s="257" t="s">
        <v>293</v>
      </c>
      <c r="B22" s="257">
        <v>7</v>
      </c>
      <c r="C22" s="387">
        <v>0.98661765606754293</v>
      </c>
      <c r="D22" s="257">
        <v>238</v>
      </c>
      <c r="E22" s="257">
        <v>31</v>
      </c>
      <c r="F22" s="257">
        <v>22</v>
      </c>
      <c r="G22" s="257">
        <v>4</v>
      </c>
      <c r="H22" s="101">
        <f t="shared" si="0"/>
        <v>5.070588580836568</v>
      </c>
      <c r="I22" s="102" t="str">
        <f t="shared" si="1"/>
        <v/>
      </c>
      <c r="J22" s="173" t="s">
        <v>68</v>
      </c>
      <c r="K22" s="498" t="s">
        <v>289</v>
      </c>
      <c r="L22" s="499"/>
      <c r="Q22" s="8" t="s">
        <v>219</v>
      </c>
    </row>
    <row r="23" spans="1:17" ht="14" thickBot="1" x14ac:dyDescent="0.2">
      <c r="A23" s="257" t="s">
        <v>293</v>
      </c>
      <c r="B23" s="257">
        <v>7</v>
      </c>
      <c r="C23" s="387">
        <v>0.98515604187495209</v>
      </c>
      <c r="D23" s="257">
        <v>239</v>
      </c>
      <c r="E23" s="257">
        <v>31</v>
      </c>
      <c r="F23" s="257">
        <v>22</v>
      </c>
      <c r="G23" s="257">
        <v>4</v>
      </c>
      <c r="H23" s="101">
        <f t="shared" si="0"/>
        <v>5.0630768115215137</v>
      </c>
      <c r="I23" s="102" t="str">
        <f t="shared" si="1"/>
        <v/>
      </c>
      <c r="J23" s="171" t="s">
        <v>43</v>
      </c>
      <c r="K23" s="500" t="s">
        <v>290</v>
      </c>
      <c r="L23" s="501"/>
      <c r="M23" s="98"/>
    </row>
    <row r="24" spans="1:17" ht="14" thickBot="1" x14ac:dyDescent="0.2">
      <c r="A24" s="257" t="s">
        <v>293</v>
      </c>
      <c r="B24" s="257">
        <v>7</v>
      </c>
      <c r="C24" s="387">
        <v>0.98640896358869101</v>
      </c>
      <c r="D24" s="257">
        <v>240</v>
      </c>
      <c r="E24" s="257">
        <v>31</v>
      </c>
      <c r="F24" s="257">
        <v>22</v>
      </c>
      <c r="G24" s="257">
        <v>4</v>
      </c>
      <c r="H24" s="101">
        <f t="shared" si="0"/>
        <v>5.0695160339450087</v>
      </c>
      <c r="I24" s="102" t="str">
        <f t="shared" si="1"/>
        <v/>
      </c>
      <c r="J24" s="94"/>
      <c r="K24" s="96"/>
      <c r="L24" s="97"/>
      <c r="M24" s="98"/>
    </row>
    <row r="25" spans="1:17" ht="14" thickBot="1" x14ac:dyDescent="0.2">
      <c r="A25" s="257" t="s">
        <v>293</v>
      </c>
      <c r="B25" s="257">
        <v>7</v>
      </c>
      <c r="C25" s="387">
        <v>0.98539672168222603</v>
      </c>
      <c r="D25" s="257">
        <v>242</v>
      </c>
      <c r="E25" s="257">
        <v>31</v>
      </c>
      <c r="F25" s="257">
        <v>22</v>
      </c>
      <c r="G25" s="257">
        <v>4</v>
      </c>
      <c r="H25" s="101">
        <f t="shared" si="0"/>
        <v>5.0643137529799356</v>
      </c>
      <c r="I25" s="102" t="str">
        <f t="shared" si="1"/>
        <v/>
      </c>
      <c r="J25" s="230" t="s">
        <v>135</v>
      </c>
      <c r="K25" s="232">
        <v>1</v>
      </c>
      <c r="L25" s="97"/>
      <c r="M25" s="98"/>
    </row>
    <row r="26" spans="1:17" ht="14" thickBot="1" x14ac:dyDescent="0.2">
      <c r="A26" s="257" t="s">
        <v>294</v>
      </c>
      <c r="B26" s="257">
        <v>8</v>
      </c>
      <c r="C26" s="387">
        <v>0.96748880840682572</v>
      </c>
      <c r="D26" s="257">
        <v>26</v>
      </c>
      <c r="E26" s="257">
        <v>4</v>
      </c>
      <c r="F26" s="257">
        <v>3</v>
      </c>
      <c r="G26" s="257">
        <v>7</v>
      </c>
      <c r="H26" s="101">
        <f t="shared" si="0"/>
        <v>4.9722784442639112</v>
      </c>
      <c r="I26" s="102" t="str">
        <f t="shared" si="1"/>
        <v>OUT</v>
      </c>
      <c r="J26" s="230" t="s">
        <v>139</v>
      </c>
      <c r="K26" s="233">
        <v>5000</v>
      </c>
    </row>
    <row r="27" spans="1:17" ht="14" thickBot="1" x14ac:dyDescent="0.2">
      <c r="A27" s="257" t="s">
        <v>294</v>
      </c>
      <c r="B27" s="257">
        <v>8</v>
      </c>
      <c r="C27" s="387">
        <v>0.96811936372571072</v>
      </c>
      <c r="D27" s="257">
        <v>28</v>
      </c>
      <c r="E27" s="257">
        <v>4</v>
      </c>
      <c r="F27" s="257">
        <v>3</v>
      </c>
      <c r="G27" s="257">
        <v>7</v>
      </c>
      <c r="H27" s="101">
        <f t="shared" si="0"/>
        <v>4.9755190984118087</v>
      </c>
      <c r="I27" s="102" t="str">
        <f t="shared" si="1"/>
        <v>OUT</v>
      </c>
      <c r="J27" s="231" t="s">
        <v>88</v>
      </c>
      <c r="K27" s="234">
        <v>4</v>
      </c>
    </row>
    <row r="28" spans="1:17" ht="13" x14ac:dyDescent="0.15">
      <c r="A28" s="257" t="s">
        <v>294</v>
      </c>
      <c r="B28" s="257">
        <v>8</v>
      </c>
      <c r="C28" s="387">
        <v>0.96763821968462305</v>
      </c>
      <c r="D28" s="257">
        <v>30</v>
      </c>
      <c r="E28" s="257">
        <v>4</v>
      </c>
      <c r="F28" s="257">
        <v>3</v>
      </c>
      <c r="G28" s="257">
        <v>7</v>
      </c>
      <c r="H28" s="101">
        <f t="shared" si="0"/>
        <v>4.9730463234057334</v>
      </c>
      <c r="I28" s="102" t="str">
        <f t="shared" si="1"/>
        <v>OUT</v>
      </c>
    </row>
    <row r="29" spans="1:17" ht="14" thickBot="1" x14ac:dyDescent="0.2">
      <c r="A29" s="257" t="s">
        <v>294</v>
      </c>
      <c r="B29" s="257">
        <v>8</v>
      </c>
      <c r="C29" s="387">
        <v>0.96729551114983403</v>
      </c>
      <c r="D29" s="257">
        <v>32</v>
      </c>
      <c r="E29" s="257">
        <v>4</v>
      </c>
      <c r="F29" s="257">
        <v>3</v>
      </c>
      <c r="G29" s="257">
        <v>7</v>
      </c>
      <c r="H29" s="101">
        <f t="shared" si="0"/>
        <v>4.9712850190419102</v>
      </c>
      <c r="I29" s="102" t="str">
        <f t="shared" si="1"/>
        <v>OUT</v>
      </c>
    </row>
    <row r="30" spans="1:17" ht="13" x14ac:dyDescent="0.15">
      <c r="A30" s="257" t="s">
        <v>294</v>
      </c>
      <c r="B30" s="257">
        <v>8</v>
      </c>
      <c r="C30" s="387">
        <v>0.96472971617845515</v>
      </c>
      <c r="D30" s="257">
        <v>226</v>
      </c>
      <c r="E30" s="257">
        <v>29</v>
      </c>
      <c r="F30" s="257">
        <v>20</v>
      </c>
      <c r="G30" s="257">
        <v>5</v>
      </c>
      <c r="H30" s="101">
        <f t="shared" si="0"/>
        <v>4.9580984613083938</v>
      </c>
      <c r="I30" s="102" t="str">
        <f t="shared" si="1"/>
        <v>OUT</v>
      </c>
      <c r="J30" s="329" t="s">
        <v>258</v>
      </c>
      <c r="K30" s="330"/>
      <c r="L30" s="330"/>
      <c r="M30" s="330"/>
      <c r="N30" s="330"/>
      <c r="O30" s="331"/>
    </row>
    <row r="31" spans="1:17" ht="13" x14ac:dyDescent="0.15">
      <c r="A31" s="257" t="s">
        <v>294</v>
      </c>
      <c r="B31" s="257">
        <v>8</v>
      </c>
      <c r="C31" s="387">
        <v>0.96470449176172224</v>
      </c>
      <c r="D31" s="257">
        <v>227</v>
      </c>
      <c r="E31" s="257">
        <v>29</v>
      </c>
      <c r="F31" s="257">
        <v>20</v>
      </c>
      <c r="G31" s="257">
        <v>5</v>
      </c>
      <c r="H31" s="101">
        <f t="shared" si="0"/>
        <v>4.957968823815432</v>
      </c>
      <c r="I31" s="102" t="str">
        <f t="shared" si="1"/>
        <v>OUT</v>
      </c>
      <c r="J31" s="332" t="s">
        <v>263</v>
      </c>
      <c r="K31" s="323"/>
      <c r="L31" s="323"/>
      <c r="M31" s="323"/>
      <c r="N31" s="324"/>
      <c r="O31" s="333"/>
    </row>
    <row r="32" spans="1:17" ht="13" x14ac:dyDescent="0.15">
      <c r="A32" s="257" t="s">
        <v>294</v>
      </c>
      <c r="B32" s="257">
        <v>8</v>
      </c>
      <c r="C32" s="387">
        <v>0.96411419728815773</v>
      </c>
      <c r="D32" s="257">
        <v>229</v>
      </c>
      <c r="E32" s="257">
        <v>29</v>
      </c>
      <c r="F32" s="257">
        <v>20</v>
      </c>
      <c r="G32" s="257">
        <v>5</v>
      </c>
      <c r="H32" s="101">
        <f t="shared" si="0"/>
        <v>4.9549350848603462</v>
      </c>
      <c r="I32" s="102" t="str">
        <f t="shared" si="1"/>
        <v>OUT</v>
      </c>
      <c r="J32" s="334"/>
      <c r="K32" s="325"/>
      <c r="L32" s="325"/>
      <c r="M32" s="323"/>
      <c r="N32" s="324"/>
      <c r="O32" s="333"/>
    </row>
    <row r="33" spans="1:16" ht="13" x14ac:dyDescent="0.15">
      <c r="A33" s="257" t="s">
        <v>294</v>
      </c>
      <c r="B33" s="257">
        <v>8</v>
      </c>
      <c r="C33" s="387">
        <v>0.96472482694015549</v>
      </c>
      <c r="D33" s="257">
        <v>231</v>
      </c>
      <c r="E33" s="257">
        <v>29</v>
      </c>
      <c r="F33" s="257">
        <v>20</v>
      </c>
      <c r="G33" s="257">
        <v>5</v>
      </c>
      <c r="H33" s="101">
        <f t="shared" si="0"/>
        <v>4.9580733337265599</v>
      </c>
      <c r="I33" s="102" t="str">
        <f t="shared" si="1"/>
        <v>OUT</v>
      </c>
      <c r="J33" s="335" t="s">
        <v>259</v>
      </c>
      <c r="K33" s="326" t="s">
        <v>260</v>
      </c>
      <c r="L33" s="327"/>
      <c r="M33" s="328"/>
      <c r="N33" s="324"/>
      <c r="O33" s="333"/>
    </row>
    <row r="34" spans="1:16" ht="14" thickBot="1" x14ac:dyDescent="0.2">
      <c r="A34" s="257" t="s">
        <v>295</v>
      </c>
      <c r="B34" s="257">
        <v>9</v>
      </c>
      <c r="C34" s="387">
        <v>0.97796944700302879</v>
      </c>
      <c r="D34" s="257">
        <v>49</v>
      </c>
      <c r="E34" s="257">
        <v>7</v>
      </c>
      <c r="F34" s="257">
        <v>5</v>
      </c>
      <c r="G34" s="257">
        <v>3</v>
      </c>
      <c r="H34" s="101">
        <f t="shared" si="0"/>
        <v>5.0261422749575555</v>
      </c>
      <c r="I34" s="102" t="str">
        <f t="shared" si="1"/>
        <v/>
      </c>
      <c r="J34" s="336" t="s">
        <v>262</v>
      </c>
      <c r="K34" s="337" t="s">
        <v>261</v>
      </c>
      <c r="L34" s="338"/>
      <c r="M34" s="339"/>
      <c r="N34" s="340"/>
      <c r="O34" s="341"/>
    </row>
    <row r="35" spans="1:16" ht="13" x14ac:dyDescent="0.15">
      <c r="A35" s="257" t="s">
        <v>295</v>
      </c>
      <c r="B35" s="257">
        <v>9</v>
      </c>
      <c r="C35" s="387">
        <v>0.97795725340702044</v>
      </c>
      <c r="D35" s="257">
        <v>51</v>
      </c>
      <c r="E35" s="257">
        <v>7</v>
      </c>
      <c r="F35" s="257">
        <v>5</v>
      </c>
      <c r="G35" s="257">
        <v>3</v>
      </c>
      <c r="H35" s="101">
        <f t="shared" si="0"/>
        <v>5.0260796076129166</v>
      </c>
      <c r="I35" s="102" t="str">
        <f t="shared" si="1"/>
        <v/>
      </c>
    </row>
    <row r="36" spans="1:16" ht="13" x14ac:dyDescent="0.15">
      <c r="A36" s="257" t="s">
        <v>295</v>
      </c>
      <c r="B36" s="257">
        <v>9</v>
      </c>
      <c r="C36" s="387">
        <v>0.97709112216838057</v>
      </c>
      <c r="D36" s="257">
        <v>54</v>
      </c>
      <c r="E36" s="257">
        <v>7</v>
      </c>
      <c r="F36" s="257">
        <v>5</v>
      </c>
      <c r="G36" s="257">
        <v>3</v>
      </c>
      <c r="H36" s="101">
        <f t="shared" si="0"/>
        <v>5.0216282427491885</v>
      </c>
      <c r="I36" s="102" t="str">
        <f t="shared" si="1"/>
        <v/>
      </c>
      <c r="J36" s="257" t="s">
        <v>299</v>
      </c>
      <c r="K36" s="257">
        <v>13</v>
      </c>
      <c r="L36" s="387">
        <v>0.94251270562700806</v>
      </c>
      <c r="M36" s="257">
        <v>33</v>
      </c>
      <c r="N36" s="257">
        <v>5</v>
      </c>
      <c r="O36" s="257">
        <v>4</v>
      </c>
      <c r="P36" s="257">
        <v>3</v>
      </c>
    </row>
    <row r="37" spans="1:16" ht="13" x14ac:dyDescent="0.15">
      <c r="A37" s="257" t="s">
        <v>295</v>
      </c>
      <c r="B37" s="257">
        <v>9</v>
      </c>
      <c r="C37" s="387">
        <v>0.97770176441848422</v>
      </c>
      <c r="D37" s="257">
        <v>55</v>
      </c>
      <c r="E37" s="257">
        <v>7</v>
      </c>
      <c r="F37" s="257">
        <v>5</v>
      </c>
      <c r="G37" s="257">
        <v>3</v>
      </c>
      <c r="H37" s="101">
        <f t="shared" si="0"/>
        <v>5.024766556361671</v>
      </c>
      <c r="I37" s="102" t="str">
        <f t="shared" si="1"/>
        <v/>
      </c>
      <c r="J37" s="257" t="s">
        <v>299</v>
      </c>
      <c r="K37" s="257">
        <v>13</v>
      </c>
      <c r="L37" s="387">
        <v>0.94203420525371639</v>
      </c>
      <c r="M37" s="257">
        <v>35</v>
      </c>
      <c r="N37" s="257">
        <v>5</v>
      </c>
      <c r="O37" s="257">
        <v>4</v>
      </c>
      <c r="P37" s="257">
        <v>3</v>
      </c>
    </row>
    <row r="38" spans="1:16" ht="13" x14ac:dyDescent="0.15">
      <c r="A38" s="257" t="s">
        <v>295</v>
      </c>
      <c r="B38" s="257">
        <v>9</v>
      </c>
      <c r="C38" s="387">
        <v>0.97713026162515726</v>
      </c>
      <c r="D38" s="257">
        <v>145</v>
      </c>
      <c r="E38" s="257">
        <v>19</v>
      </c>
      <c r="F38" s="257">
        <v>14</v>
      </c>
      <c r="G38" s="257">
        <v>4</v>
      </c>
      <c r="H38" s="101">
        <f t="shared" si="0"/>
        <v>5.0218293947165913</v>
      </c>
      <c r="I38" s="102" t="str">
        <f t="shared" si="1"/>
        <v/>
      </c>
      <c r="J38" s="257" t="s">
        <v>299</v>
      </c>
      <c r="K38" s="257">
        <v>13</v>
      </c>
      <c r="L38" s="387">
        <v>0.94222085795714505</v>
      </c>
      <c r="M38" s="257">
        <v>38</v>
      </c>
      <c r="N38" s="257">
        <v>5</v>
      </c>
      <c r="O38" s="257">
        <v>4</v>
      </c>
      <c r="P38" s="257">
        <v>3</v>
      </c>
    </row>
    <row r="39" spans="1:16" ht="13" x14ac:dyDescent="0.15">
      <c r="A39" s="257" t="s">
        <v>295</v>
      </c>
      <c r="B39" s="257">
        <v>9</v>
      </c>
      <c r="C39" s="387">
        <v>0.97647701252745112</v>
      </c>
      <c r="D39" s="257">
        <v>148</v>
      </c>
      <c r="E39" s="257">
        <v>19</v>
      </c>
      <c r="F39" s="257">
        <v>14</v>
      </c>
      <c r="G39" s="257">
        <v>4</v>
      </c>
      <c r="H39" s="101">
        <f t="shared" si="0"/>
        <v>5.018472108948492</v>
      </c>
      <c r="I39" s="102" t="str">
        <f t="shared" si="1"/>
        <v/>
      </c>
      <c r="J39" s="257" t="s">
        <v>299</v>
      </c>
      <c r="K39" s="257">
        <v>13</v>
      </c>
      <c r="L39" s="387">
        <v>0.94250250865293794</v>
      </c>
      <c r="M39" s="257">
        <v>39</v>
      </c>
      <c r="N39" s="257">
        <v>5</v>
      </c>
      <c r="O39" s="257">
        <v>4</v>
      </c>
      <c r="P39" s="257">
        <v>3</v>
      </c>
    </row>
    <row r="40" spans="1:16" ht="13" x14ac:dyDescent="0.15">
      <c r="A40" s="257" t="s">
        <v>295</v>
      </c>
      <c r="B40" s="257">
        <v>9</v>
      </c>
      <c r="C40" s="387">
        <v>0.97750378247166991</v>
      </c>
      <c r="D40" s="257">
        <v>149</v>
      </c>
      <c r="E40" s="257">
        <v>19</v>
      </c>
      <c r="F40" s="257">
        <v>14</v>
      </c>
      <c r="G40" s="257">
        <v>4</v>
      </c>
      <c r="H40" s="101">
        <f t="shared" si="0"/>
        <v>5.0237490548071886</v>
      </c>
      <c r="I40" s="102" t="str">
        <f t="shared" si="1"/>
        <v/>
      </c>
      <c r="J40" s="257" t="s">
        <v>299</v>
      </c>
      <c r="K40" s="257">
        <v>13</v>
      </c>
      <c r="L40" s="387">
        <v>0.94163916617325527</v>
      </c>
      <c r="M40" s="257">
        <v>209</v>
      </c>
      <c r="N40" s="257">
        <v>27</v>
      </c>
      <c r="O40" s="257">
        <v>19</v>
      </c>
      <c r="P40" s="257">
        <v>2</v>
      </c>
    </row>
    <row r="41" spans="1:16" ht="13" x14ac:dyDescent="0.15">
      <c r="A41" s="257" t="s">
        <v>295</v>
      </c>
      <c r="B41" s="257">
        <v>9</v>
      </c>
      <c r="C41" s="387">
        <v>0.97650438836309461</v>
      </c>
      <c r="D41" s="257">
        <v>152</v>
      </c>
      <c r="E41" s="257">
        <v>19</v>
      </c>
      <c r="F41" s="257">
        <v>14</v>
      </c>
      <c r="G41" s="257">
        <v>4</v>
      </c>
      <c r="H41" s="101">
        <f t="shared" si="0"/>
        <v>5.0186128033692246</v>
      </c>
      <c r="I41" s="102" t="str">
        <f t="shared" si="1"/>
        <v/>
      </c>
      <c r="J41" s="257" t="s">
        <v>299</v>
      </c>
      <c r="K41" s="257">
        <v>13</v>
      </c>
      <c r="L41" s="387">
        <v>0.94175123391988769</v>
      </c>
      <c r="M41" s="257">
        <v>212</v>
      </c>
      <c r="N41" s="257">
        <v>27</v>
      </c>
      <c r="O41" s="257">
        <v>19</v>
      </c>
      <c r="P41" s="257">
        <v>2</v>
      </c>
    </row>
    <row r="42" spans="1:16" ht="13" x14ac:dyDescent="0.15">
      <c r="A42" s="257" t="s">
        <v>296</v>
      </c>
      <c r="B42" s="257">
        <v>10</v>
      </c>
      <c r="C42" s="387">
        <v>0.98417245991769498</v>
      </c>
      <c r="D42" s="257">
        <v>42</v>
      </c>
      <c r="E42" s="257">
        <v>6</v>
      </c>
      <c r="F42" s="257">
        <v>5</v>
      </c>
      <c r="G42" s="257">
        <v>7</v>
      </c>
      <c r="H42" s="101">
        <f t="shared" si="0"/>
        <v>5.0580218245059116</v>
      </c>
      <c r="I42" s="102" t="str">
        <f t="shared" si="1"/>
        <v/>
      </c>
      <c r="J42" s="257" t="s">
        <v>299</v>
      </c>
      <c r="K42" s="257">
        <v>13</v>
      </c>
      <c r="L42" s="387">
        <v>0.94241685035735934</v>
      </c>
      <c r="M42" s="257">
        <v>214</v>
      </c>
      <c r="N42" s="257">
        <v>27</v>
      </c>
      <c r="O42" s="257">
        <v>19</v>
      </c>
      <c r="P42" s="257">
        <v>2</v>
      </c>
    </row>
    <row r="43" spans="1:16" ht="13" x14ac:dyDescent="0.15">
      <c r="A43" s="257" t="s">
        <v>296</v>
      </c>
      <c r="B43" s="257">
        <v>10</v>
      </c>
      <c r="C43" s="387">
        <v>0.98525632404585717</v>
      </c>
      <c r="D43" s="257">
        <v>44</v>
      </c>
      <c r="E43" s="257">
        <v>6</v>
      </c>
      <c r="F43" s="257">
        <v>5</v>
      </c>
      <c r="G43" s="257">
        <v>7</v>
      </c>
      <c r="H43" s="101">
        <f t="shared" si="0"/>
        <v>5.0635921982344163</v>
      </c>
      <c r="I43" s="102" t="str">
        <f t="shared" si="1"/>
        <v/>
      </c>
      <c r="J43" s="257" t="s">
        <v>299</v>
      </c>
      <c r="K43" s="257">
        <v>13</v>
      </c>
      <c r="L43" s="387">
        <v>0.9427863864551761</v>
      </c>
      <c r="M43" s="257">
        <v>215</v>
      </c>
      <c r="N43" s="257">
        <v>27</v>
      </c>
      <c r="O43" s="257">
        <v>19</v>
      </c>
      <c r="P43" s="257">
        <v>2</v>
      </c>
    </row>
    <row r="44" spans="1:16" ht="13" x14ac:dyDescent="0.15">
      <c r="A44" s="257" t="s">
        <v>296</v>
      </c>
      <c r="B44" s="257">
        <v>10</v>
      </c>
      <c r="C44" s="387">
        <v>0.9852567470713135</v>
      </c>
      <c r="D44" s="257">
        <v>46</v>
      </c>
      <c r="E44" s="257">
        <v>6</v>
      </c>
      <c r="F44" s="257">
        <v>5</v>
      </c>
      <c r="G44" s="257">
        <v>7</v>
      </c>
      <c r="H44" s="101">
        <f t="shared" si="0"/>
        <v>5.0635943723167829</v>
      </c>
      <c r="I44" s="102" t="str">
        <f t="shared" si="1"/>
        <v/>
      </c>
    </row>
    <row r="45" spans="1:16" ht="13" x14ac:dyDescent="0.15">
      <c r="A45" s="257" t="s">
        <v>296</v>
      </c>
      <c r="B45" s="257">
        <v>10</v>
      </c>
      <c r="C45" s="387">
        <v>0.98395405659657131</v>
      </c>
      <c r="D45" s="257">
        <v>48</v>
      </c>
      <c r="E45" s="257">
        <v>6</v>
      </c>
      <c r="F45" s="257">
        <v>5</v>
      </c>
      <c r="G45" s="257">
        <v>7</v>
      </c>
      <c r="H45" s="101">
        <f t="shared" si="0"/>
        <v>5.0568993700482032</v>
      </c>
      <c r="I45" s="102" t="str">
        <f t="shared" si="1"/>
        <v/>
      </c>
      <c r="J45" s="216" t="s">
        <v>460</v>
      </c>
      <c r="K45" s="96"/>
      <c r="L45" s="96"/>
      <c r="M45" s="94"/>
    </row>
    <row r="46" spans="1:16" ht="13" x14ac:dyDescent="0.15">
      <c r="A46" s="257" t="s">
        <v>296</v>
      </c>
      <c r="B46" s="257">
        <v>10</v>
      </c>
      <c r="C46" s="387">
        <v>0.98243267662695366</v>
      </c>
      <c r="D46" s="257">
        <v>201</v>
      </c>
      <c r="E46" s="257">
        <v>26</v>
      </c>
      <c r="F46" s="257">
        <v>18</v>
      </c>
      <c r="G46" s="257">
        <v>4</v>
      </c>
      <c r="H46" s="101">
        <f t="shared" si="0"/>
        <v>5.0490804425704567</v>
      </c>
      <c r="I46" s="102" t="str">
        <f t="shared" si="1"/>
        <v/>
      </c>
      <c r="J46" s="257" t="s">
        <v>331</v>
      </c>
      <c r="K46" s="257">
        <v>45</v>
      </c>
      <c r="L46" s="384">
        <v>0.92135428336255676</v>
      </c>
      <c r="M46" s="257">
        <v>178</v>
      </c>
      <c r="N46" s="257">
        <v>23</v>
      </c>
      <c r="O46" s="257">
        <v>16</v>
      </c>
      <c r="P46" s="257">
        <v>3</v>
      </c>
    </row>
    <row r="47" spans="1:16" ht="13" x14ac:dyDescent="0.15">
      <c r="A47" s="257" t="s">
        <v>296</v>
      </c>
      <c r="B47" s="257">
        <v>10</v>
      </c>
      <c r="C47" s="387">
        <v>0.98255068328866046</v>
      </c>
      <c r="D47" s="257">
        <v>204</v>
      </c>
      <c r="E47" s="257">
        <v>26</v>
      </c>
      <c r="F47" s="257">
        <v>18</v>
      </c>
      <c r="G47" s="257">
        <v>4</v>
      </c>
      <c r="H47" s="101">
        <f t="shared" si="0"/>
        <v>5.0496869219169724</v>
      </c>
      <c r="I47" s="102" t="str">
        <f t="shared" si="1"/>
        <v/>
      </c>
      <c r="J47" s="257" t="s">
        <v>331</v>
      </c>
      <c r="K47" s="257">
        <v>45</v>
      </c>
      <c r="L47" s="384">
        <v>0.95501807401487182</v>
      </c>
      <c r="M47" s="257">
        <v>179</v>
      </c>
      <c r="N47" s="257">
        <v>23</v>
      </c>
      <c r="O47" s="257">
        <v>16</v>
      </c>
      <c r="P47" s="257">
        <v>3</v>
      </c>
    </row>
    <row r="48" spans="1:16" ht="13" x14ac:dyDescent="0.15">
      <c r="A48" s="257" t="s">
        <v>296</v>
      </c>
      <c r="B48" s="257">
        <v>10</v>
      </c>
      <c r="C48" s="387">
        <v>0.98352599743034952</v>
      </c>
      <c r="D48" s="257">
        <v>205</v>
      </c>
      <c r="E48" s="257">
        <v>26</v>
      </c>
      <c r="F48" s="257">
        <v>18</v>
      </c>
      <c r="G48" s="257">
        <v>4</v>
      </c>
      <c r="H48" s="101">
        <f t="shared" si="0"/>
        <v>5.0546994176078446</v>
      </c>
      <c r="I48" s="102" t="str">
        <f t="shared" si="1"/>
        <v/>
      </c>
      <c r="J48" s="257" t="s">
        <v>331</v>
      </c>
      <c r="K48" s="257">
        <v>45</v>
      </c>
      <c r="L48" s="384">
        <v>0.93934464884733304</v>
      </c>
      <c r="M48" s="257">
        <v>182</v>
      </c>
      <c r="N48" s="257">
        <v>23</v>
      </c>
      <c r="O48" s="257">
        <v>16</v>
      </c>
      <c r="P48" s="257">
        <v>3</v>
      </c>
    </row>
    <row r="49" spans="1:16" ht="13" x14ac:dyDescent="0.15">
      <c r="A49" s="257" t="s">
        <v>296</v>
      </c>
      <c r="B49" s="257">
        <v>10</v>
      </c>
      <c r="C49" s="387">
        <v>0.98387566080367472</v>
      </c>
      <c r="D49" s="257">
        <v>208</v>
      </c>
      <c r="E49" s="257">
        <v>26</v>
      </c>
      <c r="F49" s="257">
        <v>18</v>
      </c>
      <c r="G49" s="257">
        <v>4</v>
      </c>
      <c r="H49" s="101">
        <f t="shared" si="0"/>
        <v>5.0564964654277533</v>
      </c>
      <c r="I49" s="102" t="str">
        <f t="shared" si="1"/>
        <v/>
      </c>
      <c r="J49" s="257" t="s">
        <v>331</v>
      </c>
      <c r="K49" s="257">
        <v>45</v>
      </c>
      <c r="L49" s="384">
        <v>0.95685362249056372</v>
      </c>
      <c r="M49" s="257">
        <v>184</v>
      </c>
      <c r="N49" s="257">
        <v>23</v>
      </c>
      <c r="O49" s="257">
        <v>16</v>
      </c>
      <c r="P49" s="257">
        <v>3</v>
      </c>
    </row>
    <row r="50" spans="1:16" ht="13" x14ac:dyDescent="0.15">
      <c r="A50" s="257" t="s">
        <v>297</v>
      </c>
      <c r="B50" s="257">
        <v>11</v>
      </c>
      <c r="C50" s="387">
        <v>0.96863540801351367</v>
      </c>
      <c r="D50" s="257">
        <v>50</v>
      </c>
      <c r="E50" s="257">
        <v>7</v>
      </c>
      <c r="F50" s="257">
        <v>5</v>
      </c>
      <c r="G50" s="257">
        <v>7</v>
      </c>
      <c r="H50" s="101">
        <f t="shared" si="0"/>
        <v>4.9781712385360475</v>
      </c>
      <c r="I50" s="102" t="str">
        <f t="shared" si="1"/>
        <v>OUT</v>
      </c>
    </row>
    <row r="51" spans="1:16" ht="13" x14ac:dyDescent="0.15">
      <c r="A51" s="257" t="s">
        <v>297</v>
      </c>
      <c r="B51" s="257">
        <v>11</v>
      </c>
      <c r="C51" s="387">
        <v>0.9694765399666232</v>
      </c>
      <c r="D51" s="257">
        <v>52</v>
      </c>
      <c r="E51" s="257">
        <v>7</v>
      </c>
      <c r="F51" s="257">
        <v>5</v>
      </c>
      <c r="G51" s="257">
        <v>7</v>
      </c>
      <c r="H51" s="101">
        <f t="shared" si="0"/>
        <v>4.9824941229383128</v>
      </c>
      <c r="I51" s="102" t="str">
        <f t="shared" si="1"/>
        <v>OUT</v>
      </c>
    </row>
    <row r="52" spans="1:16" ht="13" x14ac:dyDescent="0.15">
      <c r="A52" s="257" t="s">
        <v>297</v>
      </c>
      <c r="B52" s="257">
        <v>11</v>
      </c>
      <c r="C52" s="387">
        <v>0.96875356244377531</v>
      </c>
      <c r="D52" s="257">
        <v>54</v>
      </c>
      <c r="E52" s="257">
        <v>7</v>
      </c>
      <c r="F52" s="257">
        <v>5</v>
      </c>
      <c r="G52" s="257">
        <v>7</v>
      </c>
      <c r="H52" s="101">
        <f t="shared" si="0"/>
        <v>4.9787784773191524</v>
      </c>
      <c r="I52" s="102" t="str">
        <f t="shared" si="1"/>
        <v>OUT</v>
      </c>
      <c r="J52" s="216"/>
      <c r="K52" s="96"/>
      <c r="L52" s="96"/>
      <c r="M52" s="94"/>
    </row>
    <row r="53" spans="1:16" ht="13" x14ac:dyDescent="0.15">
      <c r="A53" s="257" t="s">
        <v>297</v>
      </c>
      <c r="B53" s="257">
        <v>11</v>
      </c>
      <c r="C53" s="387">
        <v>0.9690631884278974</v>
      </c>
      <c r="D53" s="257">
        <v>56</v>
      </c>
      <c r="E53" s="257">
        <v>7</v>
      </c>
      <c r="F53" s="257">
        <v>5</v>
      </c>
      <c r="G53" s="257">
        <v>7</v>
      </c>
      <c r="H53" s="101">
        <f t="shared" si="0"/>
        <v>4.9803697583688731</v>
      </c>
      <c r="I53" s="102" t="str">
        <f t="shared" si="1"/>
        <v>OUT</v>
      </c>
    </row>
    <row r="54" spans="1:16" ht="13" x14ac:dyDescent="0.15">
      <c r="A54" s="257" t="s">
        <v>297</v>
      </c>
      <c r="B54" s="257">
        <v>11</v>
      </c>
      <c r="C54" s="387">
        <v>0.96619563970698119</v>
      </c>
      <c r="D54" s="257">
        <v>170</v>
      </c>
      <c r="E54" s="257">
        <v>22</v>
      </c>
      <c r="F54" s="257">
        <v>16</v>
      </c>
      <c r="G54" s="257">
        <v>5</v>
      </c>
      <c r="H54" s="101">
        <f t="shared" si="0"/>
        <v>4.9656323778751723</v>
      </c>
      <c r="I54" s="102" t="str">
        <f t="shared" si="1"/>
        <v>OUT</v>
      </c>
      <c r="J54" s="492">
        <f>H54</f>
        <v>4.9656323778751723</v>
      </c>
    </row>
    <row r="55" spans="1:16" ht="13" x14ac:dyDescent="0.15">
      <c r="A55" s="257" t="s">
        <v>297</v>
      </c>
      <c r="B55" s="257">
        <v>11</v>
      </c>
      <c r="C55" s="387">
        <v>0.96786762550036298</v>
      </c>
      <c r="D55" s="257">
        <v>171</v>
      </c>
      <c r="E55" s="257">
        <v>22</v>
      </c>
      <c r="F55" s="257">
        <v>16</v>
      </c>
      <c r="G55" s="257">
        <v>5</v>
      </c>
      <c r="H55" s="101">
        <f>IF(ISBLANK(C55),"",C55*$L$13)</f>
        <v>4.974225323702874</v>
      </c>
      <c r="I55" s="102" t="str">
        <f t="shared" si="1"/>
        <v>OUT</v>
      </c>
    </row>
    <row r="56" spans="1:16" ht="13" x14ac:dyDescent="0.15">
      <c r="A56" s="257" t="s">
        <v>297</v>
      </c>
      <c r="B56" s="257">
        <v>11</v>
      </c>
      <c r="C56" s="387">
        <v>0.96797612141182476</v>
      </c>
      <c r="D56" s="257">
        <v>173</v>
      </c>
      <c r="E56" s="257">
        <v>22</v>
      </c>
      <c r="F56" s="257">
        <v>16</v>
      </c>
      <c r="G56" s="257">
        <v>5</v>
      </c>
      <c r="H56" s="101">
        <f t="shared" si="0"/>
        <v>4.9747829238292676</v>
      </c>
      <c r="I56" s="102" t="str">
        <f t="shared" si="1"/>
        <v>OUT</v>
      </c>
    </row>
    <row r="57" spans="1:16" ht="13" x14ac:dyDescent="0.15">
      <c r="A57" s="257" t="s">
        <v>297</v>
      </c>
      <c r="B57" s="257">
        <v>11</v>
      </c>
      <c r="C57" s="387">
        <v>0.96788818725162795</v>
      </c>
      <c r="D57" s="257">
        <v>175</v>
      </c>
      <c r="E57" s="257">
        <v>22</v>
      </c>
      <c r="F57" s="257">
        <v>16</v>
      </c>
      <c r="G57" s="257">
        <v>5</v>
      </c>
      <c r="H57" s="101">
        <f t="shared" si="0"/>
        <v>4.9743309980545591</v>
      </c>
      <c r="I57" s="102" t="str">
        <f t="shared" si="1"/>
        <v>OUT</v>
      </c>
    </row>
    <row r="58" spans="1:16" ht="13" x14ac:dyDescent="0.15">
      <c r="A58" s="257" t="s">
        <v>298</v>
      </c>
      <c r="B58" s="257">
        <v>12</v>
      </c>
      <c r="C58" s="387">
        <v>0.99140307362653712</v>
      </c>
      <c r="D58" s="257">
        <v>57</v>
      </c>
      <c r="E58" s="257">
        <v>8</v>
      </c>
      <c r="F58" s="257">
        <v>6</v>
      </c>
      <c r="G58" s="257">
        <v>3</v>
      </c>
      <c r="H58" s="101">
        <f t="shared" si="0"/>
        <v>5.0951825899544323</v>
      </c>
      <c r="I58" s="102" t="str">
        <f t="shared" si="1"/>
        <v>OUT</v>
      </c>
    </row>
    <row r="59" spans="1:16" ht="13" x14ac:dyDescent="0.15">
      <c r="A59" s="257" t="s">
        <v>298</v>
      </c>
      <c r="B59" s="257">
        <v>12</v>
      </c>
      <c r="C59" s="387">
        <v>0.98799892607598039</v>
      </c>
      <c r="D59" s="257">
        <v>59</v>
      </c>
      <c r="E59" s="257">
        <v>8</v>
      </c>
      <c r="F59" s="257">
        <v>6</v>
      </c>
      <c r="G59" s="257">
        <v>3</v>
      </c>
      <c r="H59" s="101">
        <f t="shared" si="0"/>
        <v>5.0776874320366892</v>
      </c>
      <c r="I59" s="102" t="str">
        <f t="shared" si="1"/>
        <v/>
      </c>
    </row>
    <row r="60" spans="1:16" ht="13" x14ac:dyDescent="0.15">
      <c r="A60" s="257" t="s">
        <v>298</v>
      </c>
      <c r="B60" s="257">
        <v>12</v>
      </c>
      <c r="C60" s="387">
        <v>0.9840946015944152</v>
      </c>
      <c r="D60" s="257">
        <v>62</v>
      </c>
      <c r="E60" s="257">
        <v>8</v>
      </c>
      <c r="F60" s="257">
        <v>6</v>
      </c>
      <c r="G60" s="257">
        <v>3</v>
      </c>
      <c r="H60" s="101">
        <f t="shared" si="0"/>
        <v>5.057621682138179</v>
      </c>
      <c r="I60" s="102" t="str">
        <f t="shared" si="1"/>
        <v/>
      </c>
    </row>
    <row r="61" spans="1:16" ht="13" x14ac:dyDescent="0.15">
      <c r="A61" s="257" t="s">
        <v>298</v>
      </c>
      <c r="B61" s="257">
        <v>12</v>
      </c>
      <c r="C61" s="387">
        <v>0.98623258609741515</v>
      </c>
      <c r="D61" s="257">
        <v>63</v>
      </c>
      <c r="E61" s="257">
        <v>8</v>
      </c>
      <c r="F61" s="257">
        <v>6</v>
      </c>
      <c r="G61" s="257">
        <v>3</v>
      </c>
      <c r="H61" s="101">
        <f t="shared" si="0"/>
        <v>5.0686095655804095</v>
      </c>
      <c r="I61" s="102" t="str">
        <f t="shared" si="1"/>
        <v/>
      </c>
    </row>
    <row r="62" spans="1:16" ht="13" x14ac:dyDescent="0.15">
      <c r="A62" s="257" t="s">
        <v>298</v>
      </c>
      <c r="B62" s="257">
        <v>12</v>
      </c>
      <c r="C62" s="387">
        <v>0.99460886021332462</v>
      </c>
      <c r="D62" s="257">
        <v>146</v>
      </c>
      <c r="E62" s="257">
        <v>19</v>
      </c>
      <c r="F62" s="257">
        <v>14</v>
      </c>
      <c r="G62" s="257">
        <v>5</v>
      </c>
      <c r="H62" s="101">
        <f t="shared" si="0"/>
        <v>5.1116582984110943</v>
      </c>
      <c r="I62" s="102" t="str">
        <f t="shared" si="1"/>
        <v>OUT</v>
      </c>
    </row>
    <row r="63" spans="1:16" ht="13" x14ac:dyDescent="0.15">
      <c r="A63" s="257" t="s">
        <v>298</v>
      </c>
      <c r="B63" s="257">
        <v>12</v>
      </c>
      <c r="C63" s="387">
        <v>0.99479967708283035</v>
      </c>
      <c r="D63" s="257">
        <v>147</v>
      </c>
      <c r="E63" s="257">
        <v>19</v>
      </c>
      <c r="F63" s="257">
        <v>14</v>
      </c>
      <c r="G63" s="257">
        <v>5</v>
      </c>
      <c r="H63" s="101">
        <f t="shared" si="0"/>
        <v>5.1126389760156314</v>
      </c>
      <c r="I63" s="102" t="str">
        <f t="shared" si="1"/>
        <v>OUT</v>
      </c>
    </row>
    <row r="64" spans="1:16" ht="13" x14ac:dyDescent="0.15">
      <c r="A64" s="257" t="s">
        <v>298</v>
      </c>
      <c r="B64" s="257">
        <v>12</v>
      </c>
      <c r="C64" s="387">
        <v>0.99469027113167319</v>
      </c>
      <c r="D64" s="257">
        <v>149</v>
      </c>
      <c r="E64" s="257">
        <v>19</v>
      </c>
      <c r="F64" s="257">
        <v>14</v>
      </c>
      <c r="G64" s="257">
        <v>5</v>
      </c>
      <c r="H64" s="101">
        <f t="shared" si="0"/>
        <v>5.1120766988627739</v>
      </c>
      <c r="I64" s="102" t="str">
        <f t="shared" si="1"/>
        <v>OUT</v>
      </c>
    </row>
    <row r="65" spans="1:9" ht="13" x14ac:dyDescent="0.15">
      <c r="A65" s="257" t="s">
        <v>298</v>
      </c>
      <c r="B65" s="257">
        <v>12</v>
      </c>
      <c r="C65" s="387">
        <v>0.99485718591783612</v>
      </c>
      <c r="D65" s="257">
        <v>151</v>
      </c>
      <c r="E65" s="257">
        <v>19</v>
      </c>
      <c r="F65" s="257">
        <v>14</v>
      </c>
      <c r="G65" s="257">
        <v>5</v>
      </c>
      <c r="H65" s="101">
        <f t="shared" si="0"/>
        <v>5.1129345349287361</v>
      </c>
      <c r="I65" s="102" t="str">
        <f t="shared" si="1"/>
        <v>OUT</v>
      </c>
    </row>
    <row r="66" spans="1:9" ht="13" x14ac:dyDescent="0.15">
      <c r="A66" s="257" t="s">
        <v>300</v>
      </c>
      <c r="B66" s="257">
        <v>14</v>
      </c>
      <c r="C66" s="387">
        <v>0.97881825344941575</v>
      </c>
      <c r="D66" s="257">
        <v>58</v>
      </c>
      <c r="E66" s="257">
        <v>8</v>
      </c>
      <c r="F66" s="257">
        <v>6</v>
      </c>
      <c r="G66" s="257">
        <v>2</v>
      </c>
      <c r="H66" s="101">
        <f t="shared" ref="H66:H129" si="2">IF(ISBLANK(C66),"",C66*$L$13)</f>
        <v>5.0305046013845374</v>
      </c>
      <c r="I66" s="102" t="str">
        <f t="shared" ref="I66:I129" si="3">IF(ISNUMBER(H66),IF(ABS(H66-$L$14)&gt;$M$16,"OUT",""),"")</f>
        <v/>
      </c>
    </row>
    <row r="67" spans="1:9" ht="13" x14ac:dyDescent="0.15">
      <c r="A67" s="257" t="s">
        <v>300</v>
      </c>
      <c r="B67" s="257">
        <v>14</v>
      </c>
      <c r="C67" s="387">
        <v>0.97864553342414251</v>
      </c>
      <c r="D67" s="257">
        <v>59</v>
      </c>
      <c r="E67" s="257">
        <v>8</v>
      </c>
      <c r="F67" s="257">
        <v>6</v>
      </c>
      <c r="G67" s="257">
        <v>2</v>
      </c>
      <c r="H67" s="101">
        <f t="shared" si="2"/>
        <v>5.0296169300739271</v>
      </c>
      <c r="I67" s="102" t="str">
        <f t="shared" si="3"/>
        <v/>
      </c>
    </row>
    <row r="68" spans="1:9" ht="13" x14ac:dyDescent="0.15">
      <c r="A68" s="257" t="s">
        <v>300</v>
      </c>
      <c r="B68" s="257">
        <v>14</v>
      </c>
      <c r="C68" s="387">
        <v>0.97946246523747771</v>
      </c>
      <c r="D68" s="257">
        <v>61</v>
      </c>
      <c r="E68" s="257">
        <v>8</v>
      </c>
      <c r="F68" s="257">
        <v>6</v>
      </c>
      <c r="G68" s="257">
        <v>2</v>
      </c>
      <c r="H68" s="101">
        <f t="shared" si="2"/>
        <v>5.033815441116726</v>
      </c>
      <c r="I68" s="102" t="str">
        <f t="shared" si="3"/>
        <v/>
      </c>
    </row>
    <row r="69" spans="1:9" ht="13" x14ac:dyDescent="0.15">
      <c r="A69" s="257" t="s">
        <v>300</v>
      </c>
      <c r="B69" s="257">
        <v>14</v>
      </c>
      <c r="C69" s="387">
        <v>0.97897172948568068</v>
      </c>
      <c r="D69" s="257">
        <v>63</v>
      </c>
      <c r="E69" s="257">
        <v>8</v>
      </c>
      <c r="F69" s="257">
        <v>6</v>
      </c>
      <c r="G69" s="257">
        <v>2</v>
      </c>
      <c r="H69" s="101">
        <f t="shared" si="2"/>
        <v>5.0312933708051242</v>
      </c>
      <c r="I69" s="102" t="str">
        <f t="shared" si="3"/>
        <v/>
      </c>
    </row>
    <row r="70" spans="1:9" ht="13" x14ac:dyDescent="0.15">
      <c r="A70" s="257" t="s">
        <v>300</v>
      </c>
      <c r="B70" s="257">
        <v>14</v>
      </c>
      <c r="C70" s="387">
        <v>0.98267071023579655</v>
      </c>
      <c r="D70" s="257">
        <v>162</v>
      </c>
      <c r="E70" s="257">
        <v>21</v>
      </c>
      <c r="F70" s="257">
        <v>15</v>
      </c>
      <c r="G70" s="257">
        <v>3</v>
      </c>
      <c r="H70" s="101">
        <f t="shared" si="2"/>
        <v>5.050303784248392</v>
      </c>
      <c r="I70" s="102" t="str">
        <f t="shared" si="3"/>
        <v/>
      </c>
    </row>
    <row r="71" spans="1:9" ht="13" x14ac:dyDescent="0.15">
      <c r="A71" s="257" t="s">
        <v>300</v>
      </c>
      <c r="B71" s="257">
        <v>14</v>
      </c>
      <c r="C71" s="387">
        <v>0.98278321412878922</v>
      </c>
      <c r="D71" s="257">
        <v>163</v>
      </c>
      <c r="E71" s="257">
        <v>21</v>
      </c>
      <c r="F71" s="257">
        <v>15</v>
      </c>
      <c r="G71" s="257">
        <v>3</v>
      </c>
      <c r="H71" s="101">
        <f t="shared" si="2"/>
        <v>5.0508819828561302</v>
      </c>
      <c r="I71" s="102" t="str">
        <f t="shared" si="3"/>
        <v/>
      </c>
    </row>
    <row r="72" spans="1:9" ht="13" x14ac:dyDescent="0.15">
      <c r="A72" s="257" t="s">
        <v>300</v>
      </c>
      <c r="B72" s="257">
        <v>14</v>
      </c>
      <c r="C72" s="387">
        <v>0.98280145037678956</v>
      </c>
      <c r="D72" s="257">
        <v>166</v>
      </c>
      <c r="E72" s="257">
        <v>21</v>
      </c>
      <c r="F72" s="257">
        <v>15</v>
      </c>
      <c r="G72" s="257">
        <v>3</v>
      </c>
      <c r="H72" s="101">
        <f t="shared" si="2"/>
        <v>5.05097570559695</v>
      </c>
      <c r="I72" s="102" t="str">
        <f t="shared" si="3"/>
        <v/>
      </c>
    </row>
    <row r="73" spans="1:9" ht="13" x14ac:dyDescent="0.15">
      <c r="A73" s="257" t="s">
        <v>300</v>
      </c>
      <c r="B73" s="257">
        <v>14</v>
      </c>
      <c r="C73" s="387">
        <v>0.98378066247599327</v>
      </c>
      <c r="D73" s="257">
        <v>168</v>
      </c>
      <c r="E73" s="257">
        <v>21</v>
      </c>
      <c r="F73" s="257">
        <v>15</v>
      </c>
      <c r="G73" s="257">
        <v>3</v>
      </c>
      <c r="H73" s="101">
        <f t="shared" si="2"/>
        <v>5.0560082343155512</v>
      </c>
      <c r="I73" s="102" t="str">
        <f t="shared" si="3"/>
        <v/>
      </c>
    </row>
    <row r="74" spans="1:9" ht="13" x14ac:dyDescent="0.15">
      <c r="A74" s="257" t="s">
        <v>301</v>
      </c>
      <c r="B74" s="257">
        <v>15</v>
      </c>
      <c r="C74" s="387">
        <v>0.97583891148666535</v>
      </c>
      <c r="D74" s="257">
        <v>34</v>
      </c>
      <c r="E74" s="257">
        <v>5</v>
      </c>
      <c r="F74" s="257">
        <v>4</v>
      </c>
      <c r="G74" s="257">
        <v>2</v>
      </c>
      <c r="H74" s="101">
        <f t="shared" si="2"/>
        <v>5.0151926745790281</v>
      </c>
      <c r="I74" s="102" t="str">
        <f t="shared" si="3"/>
        <v/>
      </c>
    </row>
    <row r="75" spans="1:9" ht="13" x14ac:dyDescent="0.15">
      <c r="A75" s="257" t="s">
        <v>301</v>
      </c>
      <c r="B75" s="257">
        <v>15</v>
      </c>
      <c r="C75" s="387">
        <v>0.97622385941110279</v>
      </c>
      <c r="D75" s="257">
        <v>35</v>
      </c>
      <c r="E75" s="257">
        <v>5</v>
      </c>
      <c r="F75" s="257">
        <v>4</v>
      </c>
      <c r="G75" s="257">
        <v>2</v>
      </c>
      <c r="H75" s="101">
        <f t="shared" si="2"/>
        <v>5.0171710625977965</v>
      </c>
      <c r="I75" s="102" t="str">
        <f t="shared" si="3"/>
        <v/>
      </c>
    </row>
    <row r="76" spans="1:9" ht="13" x14ac:dyDescent="0.15">
      <c r="A76" s="257" t="s">
        <v>301</v>
      </c>
      <c r="B76" s="257">
        <v>15</v>
      </c>
      <c r="C76" s="387">
        <v>0.97690269467664337</v>
      </c>
      <c r="D76" s="257">
        <v>37</v>
      </c>
      <c r="E76" s="257">
        <v>5</v>
      </c>
      <c r="F76" s="257">
        <v>4</v>
      </c>
      <c r="G76" s="257">
        <v>2</v>
      </c>
      <c r="H76" s="101">
        <f t="shared" si="2"/>
        <v>5.020659845029928</v>
      </c>
      <c r="I76" s="102" t="str">
        <f t="shared" si="3"/>
        <v/>
      </c>
    </row>
    <row r="77" spans="1:9" ht="13" x14ac:dyDescent="0.15">
      <c r="A77" s="257" t="s">
        <v>301</v>
      </c>
      <c r="B77" s="257">
        <v>15</v>
      </c>
      <c r="C77" s="387">
        <v>0.97678229901896529</v>
      </c>
      <c r="D77" s="257">
        <v>39</v>
      </c>
      <c r="E77" s="257">
        <v>5</v>
      </c>
      <c r="F77" s="257">
        <v>4</v>
      </c>
      <c r="G77" s="257">
        <v>2</v>
      </c>
      <c r="H77" s="101">
        <f t="shared" si="2"/>
        <v>5.0200410877603305</v>
      </c>
      <c r="I77" s="102" t="str">
        <f t="shared" si="3"/>
        <v/>
      </c>
    </row>
    <row r="78" spans="1:9" ht="13" x14ac:dyDescent="0.15">
      <c r="A78" s="257" t="s">
        <v>301</v>
      </c>
      <c r="B78" s="257">
        <v>15</v>
      </c>
      <c r="C78" s="387">
        <v>0.97644737284078431</v>
      </c>
      <c r="D78" s="257">
        <v>217</v>
      </c>
      <c r="E78" s="257">
        <v>28</v>
      </c>
      <c r="F78" s="257">
        <v>19</v>
      </c>
      <c r="G78" s="257">
        <v>4</v>
      </c>
      <c r="H78" s="101">
        <f t="shared" si="2"/>
        <v>5.0183197797702865</v>
      </c>
      <c r="I78" s="102" t="str">
        <f t="shared" si="3"/>
        <v/>
      </c>
    </row>
    <row r="79" spans="1:9" ht="13" x14ac:dyDescent="0.15">
      <c r="A79" s="257" t="s">
        <v>301</v>
      </c>
      <c r="B79" s="257">
        <v>15</v>
      </c>
      <c r="C79" s="387">
        <v>0.97581312102088991</v>
      </c>
      <c r="D79" s="257">
        <v>220</v>
      </c>
      <c r="E79" s="257">
        <v>28</v>
      </c>
      <c r="F79" s="257">
        <v>19</v>
      </c>
      <c r="G79" s="257">
        <v>4</v>
      </c>
      <c r="H79" s="101">
        <f t="shared" si="2"/>
        <v>5.0150601279532392</v>
      </c>
      <c r="I79" s="102" t="str">
        <f t="shared" si="3"/>
        <v/>
      </c>
    </row>
    <row r="80" spans="1:9" ht="13" x14ac:dyDescent="0.15">
      <c r="A80" s="257" t="s">
        <v>301</v>
      </c>
      <c r="B80" s="257">
        <v>15</v>
      </c>
      <c r="C80" s="387">
        <v>0.97607889251960411</v>
      </c>
      <c r="D80" s="257">
        <v>221</v>
      </c>
      <c r="E80" s="257">
        <v>28</v>
      </c>
      <c r="F80" s="257">
        <v>19</v>
      </c>
      <c r="G80" s="257">
        <v>4</v>
      </c>
      <c r="H80" s="101">
        <f t="shared" si="2"/>
        <v>5.0164260247808548</v>
      </c>
      <c r="I80" s="102" t="str">
        <f t="shared" si="3"/>
        <v/>
      </c>
    </row>
    <row r="81" spans="1:9" ht="13" x14ac:dyDescent="0.15">
      <c r="A81" s="257" t="s">
        <v>301</v>
      </c>
      <c r="B81" s="257">
        <v>15</v>
      </c>
      <c r="C81" s="387">
        <v>0.97605920307084137</v>
      </c>
      <c r="D81" s="257">
        <v>224</v>
      </c>
      <c r="E81" s="257">
        <v>28</v>
      </c>
      <c r="F81" s="257">
        <v>19</v>
      </c>
      <c r="G81" s="257">
        <v>4</v>
      </c>
      <c r="H81" s="101">
        <f t="shared" si="2"/>
        <v>5.0163248335104109</v>
      </c>
      <c r="I81" s="102" t="str">
        <f t="shared" si="3"/>
        <v/>
      </c>
    </row>
    <row r="82" spans="1:9" ht="13" x14ac:dyDescent="0.15">
      <c r="A82" s="257" t="s">
        <v>302</v>
      </c>
      <c r="B82" s="257">
        <v>16</v>
      </c>
      <c r="C82" s="387">
        <v>0.98118468812146176</v>
      </c>
      <c r="D82" s="257">
        <v>50</v>
      </c>
      <c r="E82" s="257">
        <v>7</v>
      </c>
      <c r="F82" s="257">
        <v>5</v>
      </c>
      <c r="G82" s="257">
        <v>2</v>
      </c>
      <c r="H82" s="101">
        <f t="shared" si="2"/>
        <v>5.042666573706418</v>
      </c>
      <c r="I82" s="102" t="str">
        <f t="shared" si="3"/>
        <v/>
      </c>
    </row>
    <row r="83" spans="1:9" ht="13" x14ac:dyDescent="0.15">
      <c r="A83" s="257" t="s">
        <v>302</v>
      </c>
      <c r="B83" s="257">
        <v>16</v>
      </c>
      <c r="C83" s="387">
        <v>0.9821546133813146</v>
      </c>
      <c r="D83" s="257">
        <v>51</v>
      </c>
      <c r="E83" s="257">
        <v>7</v>
      </c>
      <c r="F83" s="257">
        <v>5</v>
      </c>
      <c r="G83" s="257">
        <v>2</v>
      </c>
      <c r="H83" s="101">
        <f t="shared" si="2"/>
        <v>5.0476513739647846</v>
      </c>
      <c r="I83" s="102" t="str">
        <f t="shared" si="3"/>
        <v/>
      </c>
    </row>
    <row r="84" spans="1:9" ht="13" x14ac:dyDescent="0.15">
      <c r="A84" s="257" t="s">
        <v>302</v>
      </c>
      <c r="B84" s="257">
        <v>16</v>
      </c>
      <c r="C84" s="387">
        <v>0.98183272850102776</v>
      </c>
      <c r="D84" s="257">
        <v>53</v>
      </c>
      <c r="E84" s="257">
        <v>7</v>
      </c>
      <c r="F84" s="257">
        <v>5</v>
      </c>
      <c r="G84" s="257">
        <v>2</v>
      </c>
      <c r="H84" s="101">
        <f t="shared" si="2"/>
        <v>5.0459970899690658</v>
      </c>
      <c r="I84" s="102" t="str">
        <f t="shared" si="3"/>
        <v/>
      </c>
    </row>
    <row r="85" spans="1:9" ht="13" x14ac:dyDescent="0.15">
      <c r="A85" s="257" t="s">
        <v>302</v>
      </c>
      <c r="B85" s="257">
        <v>16</v>
      </c>
      <c r="C85" s="387">
        <v>0.98184299452361867</v>
      </c>
      <c r="D85" s="257">
        <v>55</v>
      </c>
      <c r="E85" s="257">
        <v>7</v>
      </c>
      <c r="F85" s="257">
        <v>5</v>
      </c>
      <c r="G85" s="257">
        <v>2</v>
      </c>
      <c r="H85" s="101">
        <f t="shared" si="2"/>
        <v>5.0460498508097009</v>
      </c>
      <c r="I85" s="102" t="str">
        <f t="shared" si="3"/>
        <v/>
      </c>
    </row>
    <row r="86" spans="1:9" ht="13" x14ac:dyDescent="0.15">
      <c r="A86" s="257" t="s">
        <v>302</v>
      </c>
      <c r="B86" s="257">
        <v>16</v>
      </c>
      <c r="C86" s="387">
        <v>0.98022276596685554</v>
      </c>
      <c r="D86" s="257">
        <v>226</v>
      </c>
      <c r="E86" s="257">
        <v>29</v>
      </c>
      <c r="F86" s="257">
        <v>20</v>
      </c>
      <c r="G86" s="257">
        <v>3</v>
      </c>
      <c r="H86" s="101">
        <f t="shared" si="2"/>
        <v>5.0377229043297307</v>
      </c>
      <c r="I86" s="102" t="str">
        <f t="shared" si="3"/>
        <v/>
      </c>
    </row>
    <row r="87" spans="1:9" ht="13" x14ac:dyDescent="0.15">
      <c r="A87" s="257" t="s">
        <v>302</v>
      </c>
      <c r="B87" s="257">
        <v>16</v>
      </c>
      <c r="C87" s="387">
        <v>0.98155028626587193</v>
      </c>
      <c r="D87" s="257">
        <v>227</v>
      </c>
      <c r="E87" s="257">
        <v>29</v>
      </c>
      <c r="F87" s="257">
        <v>20</v>
      </c>
      <c r="G87" s="257">
        <v>3</v>
      </c>
      <c r="H87" s="101">
        <f t="shared" si="2"/>
        <v>5.0445455161364672</v>
      </c>
      <c r="I87" s="102" t="str">
        <f t="shared" si="3"/>
        <v/>
      </c>
    </row>
    <row r="88" spans="1:9" ht="13" x14ac:dyDescent="0.15">
      <c r="A88" s="257" t="s">
        <v>302</v>
      </c>
      <c r="B88" s="257">
        <v>16</v>
      </c>
      <c r="C88" s="387">
        <v>0.98124869815666238</v>
      </c>
      <c r="D88" s="257">
        <v>230</v>
      </c>
      <c r="E88" s="257">
        <v>29</v>
      </c>
      <c r="F88" s="257">
        <v>20</v>
      </c>
      <c r="G88" s="257">
        <v>3</v>
      </c>
      <c r="H88" s="101">
        <f t="shared" si="2"/>
        <v>5.0429955446624426</v>
      </c>
      <c r="I88" s="102" t="str">
        <f t="shared" si="3"/>
        <v/>
      </c>
    </row>
    <row r="89" spans="1:9" ht="13" x14ac:dyDescent="0.15">
      <c r="A89" s="257" t="s">
        <v>302</v>
      </c>
      <c r="B89" s="257">
        <v>16</v>
      </c>
      <c r="C89" s="387">
        <v>0.98035340067615029</v>
      </c>
      <c r="D89" s="257">
        <v>232</v>
      </c>
      <c r="E89" s="257">
        <v>29</v>
      </c>
      <c r="F89" s="257">
        <v>20</v>
      </c>
      <c r="G89" s="257">
        <v>3</v>
      </c>
      <c r="H89" s="101">
        <f t="shared" si="2"/>
        <v>5.0383942838262739</v>
      </c>
      <c r="I89" s="102" t="str">
        <f t="shared" si="3"/>
        <v/>
      </c>
    </row>
    <row r="90" spans="1:9" ht="13" x14ac:dyDescent="0.15">
      <c r="A90" s="257" t="s">
        <v>303</v>
      </c>
      <c r="B90" s="257">
        <v>17</v>
      </c>
      <c r="C90" s="387">
        <v>0.97735986901774174</v>
      </c>
      <c r="D90" s="257">
        <v>49</v>
      </c>
      <c r="E90" s="257">
        <v>7</v>
      </c>
      <c r="F90" s="257">
        <v>5</v>
      </c>
      <c r="G90" s="257">
        <v>4</v>
      </c>
      <c r="H90" s="101">
        <f t="shared" si="2"/>
        <v>5.0230094309907791</v>
      </c>
      <c r="I90" s="102" t="str">
        <f t="shared" si="3"/>
        <v/>
      </c>
    </row>
    <row r="91" spans="1:9" ht="13" x14ac:dyDescent="0.15">
      <c r="A91" s="257" t="s">
        <v>303</v>
      </c>
      <c r="B91" s="257">
        <v>17</v>
      </c>
      <c r="C91" s="387">
        <v>0.97716260706611313</v>
      </c>
      <c r="D91" s="257">
        <v>52</v>
      </c>
      <c r="E91" s="257">
        <v>7</v>
      </c>
      <c r="F91" s="257">
        <v>5</v>
      </c>
      <c r="G91" s="257">
        <v>4</v>
      </c>
      <c r="H91" s="101">
        <f t="shared" si="2"/>
        <v>5.0219956297545965</v>
      </c>
      <c r="I91" s="102" t="str">
        <f t="shared" si="3"/>
        <v/>
      </c>
    </row>
    <row r="92" spans="1:9" ht="13" x14ac:dyDescent="0.15">
      <c r="A92" s="257" t="s">
        <v>303</v>
      </c>
      <c r="B92" s="257">
        <v>17</v>
      </c>
      <c r="C92" s="387">
        <v>0.97791207384205348</v>
      </c>
      <c r="D92" s="257">
        <v>53</v>
      </c>
      <c r="E92" s="257">
        <v>7</v>
      </c>
      <c r="F92" s="257">
        <v>5</v>
      </c>
      <c r="G92" s="257">
        <v>4</v>
      </c>
      <c r="H92" s="101">
        <f t="shared" si="2"/>
        <v>5.0258474133228592</v>
      </c>
      <c r="I92" s="102" t="str">
        <f t="shared" si="3"/>
        <v/>
      </c>
    </row>
    <row r="93" spans="1:9" ht="13" x14ac:dyDescent="0.15">
      <c r="A93" s="257" t="s">
        <v>303</v>
      </c>
      <c r="B93" s="257">
        <v>17</v>
      </c>
      <c r="C93" s="387">
        <v>0.97814831620241971</v>
      </c>
      <c r="D93" s="257">
        <v>56</v>
      </c>
      <c r="E93" s="257">
        <v>7</v>
      </c>
      <c r="F93" s="257">
        <v>5</v>
      </c>
      <c r="G93" s="257">
        <v>4</v>
      </c>
      <c r="H93" s="101">
        <f t="shared" si="2"/>
        <v>5.0270615491204671</v>
      </c>
      <c r="I93" s="102" t="str">
        <f t="shared" si="3"/>
        <v/>
      </c>
    </row>
    <row r="94" spans="1:9" ht="13" x14ac:dyDescent="0.15">
      <c r="A94" s="257" t="s">
        <v>303</v>
      </c>
      <c r="B94" s="257">
        <v>17</v>
      </c>
      <c r="C94" s="387">
        <v>0.97646959960109492</v>
      </c>
      <c r="D94" s="257">
        <v>233</v>
      </c>
      <c r="E94" s="257">
        <v>30</v>
      </c>
      <c r="F94" s="257">
        <v>21</v>
      </c>
      <c r="G94" s="257">
        <v>3</v>
      </c>
      <c r="H94" s="101">
        <f t="shared" si="2"/>
        <v>5.0184340112117436</v>
      </c>
      <c r="I94" s="102" t="str">
        <f t="shared" si="3"/>
        <v/>
      </c>
    </row>
    <row r="95" spans="1:9" ht="13" x14ac:dyDescent="0.15">
      <c r="A95" s="257" t="s">
        <v>303</v>
      </c>
      <c r="B95" s="257">
        <v>17</v>
      </c>
      <c r="C95" s="387">
        <v>0.97704834849878353</v>
      </c>
      <c r="D95" s="257">
        <v>234</v>
      </c>
      <c r="E95" s="257">
        <v>30</v>
      </c>
      <c r="F95" s="257">
        <v>21</v>
      </c>
      <c r="G95" s="257">
        <v>3</v>
      </c>
      <c r="H95" s="101">
        <f t="shared" si="2"/>
        <v>5.0214084132343961</v>
      </c>
      <c r="I95" s="102" t="str">
        <f t="shared" si="3"/>
        <v/>
      </c>
    </row>
    <row r="96" spans="1:9" ht="13" x14ac:dyDescent="0.15">
      <c r="A96" s="257" t="s">
        <v>303</v>
      </c>
      <c r="B96" s="257">
        <v>17</v>
      </c>
      <c r="C96" s="387">
        <v>0.9775639108699482</v>
      </c>
      <c r="D96" s="257">
        <v>235</v>
      </c>
      <c r="E96" s="257">
        <v>30</v>
      </c>
      <c r="F96" s="257">
        <v>21</v>
      </c>
      <c r="G96" s="257">
        <v>3</v>
      </c>
      <c r="H96" s="101">
        <f t="shared" si="2"/>
        <v>5.0240580766129694</v>
      </c>
      <c r="I96" s="102" t="str">
        <f t="shared" si="3"/>
        <v/>
      </c>
    </row>
    <row r="97" spans="1:9" ht="13" x14ac:dyDescent="0.15">
      <c r="A97" s="257" t="s">
        <v>303</v>
      </c>
      <c r="B97" s="257">
        <v>17</v>
      </c>
      <c r="C97" s="387">
        <v>0.97802696696461455</v>
      </c>
      <c r="D97" s="257">
        <v>236</v>
      </c>
      <c r="E97" s="257">
        <v>30</v>
      </c>
      <c r="F97" s="257">
        <v>21</v>
      </c>
      <c r="G97" s="257">
        <v>3</v>
      </c>
      <c r="H97" s="101">
        <f t="shared" si="2"/>
        <v>5.0264378910542202</v>
      </c>
      <c r="I97" s="102" t="str">
        <f t="shared" si="3"/>
        <v/>
      </c>
    </row>
    <row r="98" spans="1:9" ht="13" x14ac:dyDescent="0.15">
      <c r="A98" s="257" t="s">
        <v>304</v>
      </c>
      <c r="B98" s="257">
        <v>18</v>
      </c>
      <c r="C98" s="387">
        <v>0.98294604286361176</v>
      </c>
      <c r="D98" s="257">
        <v>42</v>
      </c>
      <c r="E98" s="257">
        <v>6</v>
      </c>
      <c r="F98" s="257">
        <v>5</v>
      </c>
      <c r="G98" s="257">
        <v>2</v>
      </c>
      <c r="H98" s="101">
        <f t="shared" si="2"/>
        <v>5.0517188192114757</v>
      </c>
      <c r="I98" s="102" t="str">
        <f t="shared" si="3"/>
        <v/>
      </c>
    </row>
    <row r="99" spans="1:9" ht="13" x14ac:dyDescent="0.15">
      <c r="A99" s="257" t="s">
        <v>304</v>
      </c>
      <c r="B99" s="257">
        <v>18</v>
      </c>
      <c r="C99" s="387">
        <v>0.98369297044210102</v>
      </c>
      <c r="D99" s="257">
        <v>43</v>
      </c>
      <c r="E99" s="257">
        <v>6</v>
      </c>
      <c r="F99" s="257">
        <v>5</v>
      </c>
      <c r="G99" s="257">
        <v>2</v>
      </c>
      <c r="H99" s="101">
        <f t="shared" si="2"/>
        <v>5.0555575529163796</v>
      </c>
      <c r="I99" s="102" t="str">
        <f t="shared" si="3"/>
        <v/>
      </c>
    </row>
    <row r="100" spans="1:9" ht="13" x14ac:dyDescent="0.15">
      <c r="A100" s="257" t="s">
        <v>304</v>
      </c>
      <c r="B100" s="257">
        <v>18</v>
      </c>
      <c r="C100" s="387">
        <v>0.98374955113023099</v>
      </c>
      <c r="D100" s="257">
        <v>45</v>
      </c>
      <c r="E100" s="257">
        <v>6</v>
      </c>
      <c r="F100" s="257">
        <v>5</v>
      </c>
      <c r="G100" s="257">
        <v>2</v>
      </c>
      <c r="H100" s="101">
        <f t="shared" si="2"/>
        <v>5.0558483417436051</v>
      </c>
      <c r="I100" s="102" t="str">
        <f t="shared" si="3"/>
        <v/>
      </c>
    </row>
    <row r="101" spans="1:9" ht="13" x14ac:dyDescent="0.15">
      <c r="A101" s="257" t="s">
        <v>304</v>
      </c>
      <c r="B101" s="257">
        <v>18</v>
      </c>
      <c r="C101" s="387">
        <v>0.98423373563071326</v>
      </c>
      <c r="D101" s="257">
        <v>47</v>
      </c>
      <c r="E101" s="257">
        <v>6</v>
      </c>
      <c r="F101" s="257">
        <v>5</v>
      </c>
      <c r="G101" s="257">
        <v>2</v>
      </c>
      <c r="H101" s="101">
        <f t="shared" si="2"/>
        <v>5.0583367427812966</v>
      </c>
      <c r="I101" s="102" t="str">
        <f t="shared" si="3"/>
        <v/>
      </c>
    </row>
    <row r="102" spans="1:9" ht="13" x14ac:dyDescent="0.15">
      <c r="A102" s="257" t="s">
        <v>304</v>
      </c>
      <c r="B102" s="257">
        <v>18</v>
      </c>
      <c r="C102" s="387">
        <v>0.98039942072763175</v>
      </c>
      <c r="D102" s="257">
        <v>194</v>
      </c>
      <c r="E102" s="257">
        <v>25</v>
      </c>
      <c r="F102" s="257">
        <v>18</v>
      </c>
      <c r="G102" s="257">
        <v>3</v>
      </c>
      <c r="H102" s="101">
        <f t="shared" si="2"/>
        <v>5.038630797683588</v>
      </c>
      <c r="I102" s="102" t="str">
        <f t="shared" si="3"/>
        <v/>
      </c>
    </row>
    <row r="103" spans="1:9" ht="13" x14ac:dyDescent="0.15">
      <c r="A103" s="257" t="s">
        <v>304</v>
      </c>
      <c r="B103" s="257">
        <v>18</v>
      </c>
      <c r="C103" s="387">
        <v>0.98236751362548602</v>
      </c>
      <c r="D103" s="257">
        <v>195</v>
      </c>
      <c r="E103" s="257">
        <v>25</v>
      </c>
      <c r="F103" s="257">
        <v>18</v>
      </c>
      <c r="G103" s="257">
        <v>3</v>
      </c>
      <c r="H103" s="101">
        <f t="shared" si="2"/>
        <v>5.0487455460995667</v>
      </c>
      <c r="I103" s="102" t="str">
        <f t="shared" si="3"/>
        <v/>
      </c>
    </row>
    <row r="104" spans="1:9" ht="13" x14ac:dyDescent="0.15">
      <c r="A104" s="257" t="s">
        <v>304</v>
      </c>
      <c r="B104" s="257">
        <v>18</v>
      </c>
      <c r="C104" s="387">
        <v>0.98190083338508583</v>
      </c>
      <c r="D104" s="257">
        <v>198</v>
      </c>
      <c r="E104" s="257">
        <v>25</v>
      </c>
      <c r="F104" s="257">
        <v>18</v>
      </c>
      <c r="G104" s="257">
        <v>3</v>
      </c>
      <c r="H104" s="101">
        <f t="shared" si="2"/>
        <v>5.0463471058493612</v>
      </c>
      <c r="I104" s="102" t="str">
        <f t="shared" si="3"/>
        <v/>
      </c>
    </row>
    <row r="105" spans="1:9" ht="13" x14ac:dyDescent="0.15">
      <c r="A105" s="257" t="s">
        <v>304</v>
      </c>
      <c r="B105" s="257">
        <v>18</v>
      </c>
      <c r="C105" s="387">
        <v>0.98313469842835299</v>
      </c>
      <c r="D105" s="257">
        <v>200</v>
      </c>
      <c r="E105" s="257">
        <v>25</v>
      </c>
      <c r="F105" s="257">
        <v>18</v>
      </c>
      <c r="G105" s="257">
        <v>3</v>
      </c>
      <c r="H105" s="101">
        <f t="shared" si="2"/>
        <v>5.0526883890812275</v>
      </c>
      <c r="I105" s="102" t="str">
        <f t="shared" si="3"/>
        <v/>
      </c>
    </row>
    <row r="106" spans="1:9" ht="13" x14ac:dyDescent="0.15">
      <c r="A106" s="257" t="s">
        <v>305</v>
      </c>
      <c r="B106" s="257">
        <v>19</v>
      </c>
      <c r="C106" s="387">
        <v>0.98729623398717781</v>
      </c>
      <c r="D106" s="257">
        <v>41</v>
      </c>
      <c r="E106" s="257">
        <v>6</v>
      </c>
      <c r="F106" s="257">
        <v>5</v>
      </c>
      <c r="G106" s="257">
        <v>4</v>
      </c>
      <c r="H106" s="101">
        <f t="shared" si="2"/>
        <v>5.0740760406740728</v>
      </c>
      <c r="I106" s="102" t="str">
        <f t="shared" si="3"/>
        <v/>
      </c>
    </row>
    <row r="107" spans="1:9" ht="13" x14ac:dyDescent="0.15">
      <c r="A107" s="257" t="s">
        <v>305</v>
      </c>
      <c r="B107" s="257">
        <v>19</v>
      </c>
      <c r="C107" s="387">
        <v>0.98678864994603266</v>
      </c>
      <c r="D107" s="257">
        <v>44</v>
      </c>
      <c r="E107" s="257">
        <v>6</v>
      </c>
      <c r="F107" s="257">
        <v>5</v>
      </c>
      <c r="G107" s="257">
        <v>4</v>
      </c>
      <c r="H107" s="101">
        <f t="shared" si="2"/>
        <v>5.0714673808482349</v>
      </c>
      <c r="I107" s="102" t="str">
        <f t="shared" si="3"/>
        <v/>
      </c>
    </row>
    <row r="108" spans="1:9" ht="13" x14ac:dyDescent="0.15">
      <c r="A108" s="257" t="s">
        <v>305</v>
      </c>
      <c r="B108" s="257">
        <v>19</v>
      </c>
      <c r="C108" s="387">
        <v>0.98721191490764337</v>
      </c>
      <c r="D108" s="257">
        <v>45</v>
      </c>
      <c r="E108" s="257">
        <v>6</v>
      </c>
      <c r="F108" s="257">
        <v>5</v>
      </c>
      <c r="G108" s="257">
        <v>4</v>
      </c>
      <c r="H108" s="101">
        <f t="shared" si="2"/>
        <v>5.0736426941196049</v>
      </c>
      <c r="I108" s="102" t="str">
        <f t="shared" si="3"/>
        <v/>
      </c>
    </row>
    <row r="109" spans="1:9" ht="13" x14ac:dyDescent="0.15">
      <c r="A109" s="257" t="s">
        <v>305</v>
      </c>
      <c r="B109" s="257">
        <v>19</v>
      </c>
      <c r="C109" s="387">
        <v>0.98779602994632687</v>
      </c>
      <c r="D109" s="257">
        <v>48</v>
      </c>
      <c r="E109" s="257">
        <v>6</v>
      </c>
      <c r="F109" s="257">
        <v>5</v>
      </c>
      <c r="G109" s="257">
        <v>4</v>
      </c>
      <c r="H109" s="101">
        <f t="shared" si="2"/>
        <v>5.0766446747012708</v>
      </c>
      <c r="I109" s="102" t="str">
        <f t="shared" si="3"/>
        <v/>
      </c>
    </row>
    <row r="110" spans="1:9" ht="13" x14ac:dyDescent="0.15">
      <c r="A110" s="257" t="s">
        <v>305</v>
      </c>
      <c r="B110" s="257">
        <v>19</v>
      </c>
      <c r="C110" s="387">
        <v>0.98666092937162841</v>
      </c>
      <c r="D110" s="257">
        <v>209</v>
      </c>
      <c r="E110" s="257">
        <v>27</v>
      </c>
      <c r="F110" s="257">
        <v>19</v>
      </c>
      <c r="G110" s="257">
        <v>4</v>
      </c>
      <c r="H110" s="101">
        <f t="shared" si="2"/>
        <v>5.0708109781555315</v>
      </c>
      <c r="I110" s="102" t="str">
        <f t="shared" si="3"/>
        <v/>
      </c>
    </row>
    <row r="111" spans="1:9" ht="13" x14ac:dyDescent="0.15">
      <c r="A111" s="257" t="s">
        <v>305</v>
      </c>
      <c r="B111" s="257">
        <v>19</v>
      </c>
      <c r="C111" s="387">
        <v>0.98618230765465054</v>
      </c>
      <c r="D111" s="257">
        <v>212</v>
      </c>
      <c r="E111" s="257">
        <v>27</v>
      </c>
      <c r="F111" s="257">
        <v>19</v>
      </c>
      <c r="G111" s="257">
        <v>4</v>
      </c>
      <c r="H111" s="101">
        <f t="shared" si="2"/>
        <v>5.0683511662945504</v>
      </c>
      <c r="I111" s="102" t="str">
        <f t="shared" si="3"/>
        <v/>
      </c>
    </row>
    <row r="112" spans="1:9" ht="13" x14ac:dyDescent="0.15">
      <c r="A112" s="257" t="s">
        <v>305</v>
      </c>
      <c r="B112" s="257">
        <v>19</v>
      </c>
      <c r="C112" s="387">
        <v>0.9874664600537616</v>
      </c>
      <c r="D112" s="257">
        <v>213</v>
      </c>
      <c r="E112" s="257">
        <v>27</v>
      </c>
      <c r="F112" s="257">
        <v>19</v>
      </c>
      <c r="G112" s="257">
        <v>4</v>
      </c>
      <c r="H112" s="101">
        <f t="shared" si="2"/>
        <v>5.0749508946198461</v>
      </c>
      <c r="I112" s="102" t="str">
        <f t="shared" si="3"/>
        <v/>
      </c>
    </row>
    <row r="113" spans="1:9" ht="13" x14ac:dyDescent="0.15">
      <c r="A113" s="257" t="s">
        <v>305</v>
      </c>
      <c r="B113" s="257">
        <v>19</v>
      </c>
      <c r="C113" s="387">
        <v>0.98660003318978207</v>
      </c>
      <c r="D113" s="257">
        <v>216</v>
      </c>
      <c r="E113" s="257">
        <v>27</v>
      </c>
      <c r="F113" s="257">
        <v>19</v>
      </c>
      <c r="G113" s="257">
        <v>4</v>
      </c>
      <c r="H113" s="101">
        <f t="shared" si="2"/>
        <v>5.0704980104294952</v>
      </c>
      <c r="I113" s="102" t="str">
        <f t="shared" si="3"/>
        <v/>
      </c>
    </row>
    <row r="114" spans="1:9" ht="13" x14ac:dyDescent="0.15">
      <c r="A114" s="257" t="s">
        <v>306</v>
      </c>
      <c r="B114" s="257">
        <v>20</v>
      </c>
      <c r="C114" s="387">
        <v>0.98189716212729294</v>
      </c>
      <c r="D114" s="257">
        <v>10</v>
      </c>
      <c r="E114" s="257">
        <v>2</v>
      </c>
      <c r="F114" s="257">
        <v>1</v>
      </c>
      <c r="G114" s="257">
        <v>7</v>
      </c>
      <c r="H114" s="101">
        <f t="shared" si="2"/>
        <v>5.0463282379143237</v>
      </c>
      <c r="I114" s="102" t="str">
        <f t="shared" si="3"/>
        <v/>
      </c>
    </row>
    <row r="115" spans="1:9" ht="13" x14ac:dyDescent="0.15">
      <c r="A115" s="257" t="s">
        <v>306</v>
      </c>
      <c r="B115" s="257">
        <v>20</v>
      </c>
      <c r="C115" s="387">
        <v>0.98208146894288373</v>
      </c>
      <c r="D115" s="257">
        <v>12</v>
      </c>
      <c r="E115" s="257">
        <v>2</v>
      </c>
      <c r="F115" s="257">
        <v>1</v>
      </c>
      <c r="G115" s="257">
        <v>7</v>
      </c>
      <c r="H115" s="101">
        <f t="shared" si="2"/>
        <v>5.0472754579734396</v>
      </c>
      <c r="I115" s="102" t="str">
        <f t="shared" si="3"/>
        <v/>
      </c>
    </row>
    <row r="116" spans="1:9" ht="13" x14ac:dyDescent="0.15">
      <c r="A116" s="257" t="s">
        <v>306</v>
      </c>
      <c r="B116" s="257">
        <v>20</v>
      </c>
      <c r="C116" s="387">
        <v>0.98221522911195847</v>
      </c>
      <c r="D116" s="257">
        <v>14</v>
      </c>
      <c r="E116" s="257">
        <v>2</v>
      </c>
      <c r="F116" s="257">
        <v>1</v>
      </c>
      <c r="G116" s="257">
        <v>7</v>
      </c>
      <c r="H116" s="101">
        <f t="shared" si="2"/>
        <v>5.0479629003496322</v>
      </c>
      <c r="I116" s="102" t="str">
        <f t="shared" si="3"/>
        <v/>
      </c>
    </row>
    <row r="117" spans="1:9" ht="13" x14ac:dyDescent="0.15">
      <c r="A117" s="257" t="s">
        <v>306</v>
      </c>
      <c r="B117" s="257">
        <v>20</v>
      </c>
      <c r="C117" s="387">
        <v>0.98270031776176425</v>
      </c>
      <c r="D117" s="257">
        <v>16</v>
      </c>
      <c r="E117" s="257">
        <v>2</v>
      </c>
      <c r="F117" s="257">
        <v>1</v>
      </c>
      <c r="G117" s="257">
        <v>7</v>
      </c>
      <c r="H117" s="101">
        <f t="shared" si="2"/>
        <v>5.0504559481410158</v>
      </c>
      <c r="I117" s="102" t="str">
        <f t="shared" si="3"/>
        <v/>
      </c>
    </row>
    <row r="118" spans="1:9" ht="13" x14ac:dyDescent="0.15">
      <c r="A118" s="257" t="s">
        <v>306</v>
      </c>
      <c r="B118" s="257">
        <v>20</v>
      </c>
      <c r="C118" s="387">
        <v>0.97760717423556553</v>
      </c>
      <c r="D118" s="257">
        <v>193</v>
      </c>
      <c r="E118" s="257">
        <v>25</v>
      </c>
      <c r="F118" s="257">
        <v>18</v>
      </c>
      <c r="G118" s="257">
        <v>4</v>
      </c>
      <c r="H118" s="101">
        <f t="shared" si="2"/>
        <v>5.0242804228545141</v>
      </c>
      <c r="I118" s="102" t="str">
        <f t="shared" si="3"/>
        <v/>
      </c>
    </row>
    <row r="119" spans="1:9" ht="13" x14ac:dyDescent="0.15">
      <c r="A119" s="257" t="s">
        <v>306</v>
      </c>
      <c r="B119" s="257">
        <v>20</v>
      </c>
      <c r="C119" s="387">
        <v>0.97789190704171314</v>
      </c>
      <c r="D119" s="257">
        <v>196</v>
      </c>
      <c r="E119" s="257">
        <v>25</v>
      </c>
      <c r="F119" s="257">
        <v>18</v>
      </c>
      <c r="G119" s="257">
        <v>4</v>
      </c>
      <c r="H119" s="101">
        <f t="shared" si="2"/>
        <v>5.0257437687682653</v>
      </c>
      <c r="I119" s="102" t="str">
        <f t="shared" si="3"/>
        <v/>
      </c>
    </row>
    <row r="120" spans="1:9" ht="13" x14ac:dyDescent="0.15">
      <c r="A120" s="257" t="s">
        <v>306</v>
      </c>
      <c r="B120" s="257">
        <v>20</v>
      </c>
      <c r="C120" s="387">
        <v>0.97980615269961246</v>
      </c>
      <c r="D120" s="257">
        <v>197</v>
      </c>
      <c r="E120" s="257">
        <v>25</v>
      </c>
      <c r="F120" s="257">
        <v>18</v>
      </c>
      <c r="G120" s="257">
        <v>4</v>
      </c>
      <c r="H120" s="101">
        <f t="shared" si="2"/>
        <v>5.0355817765458148</v>
      </c>
      <c r="I120" s="102" t="str">
        <f t="shared" si="3"/>
        <v/>
      </c>
    </row>
    <row r="121" spans="1:9" ht="13" x14ac:dyDescent="0.15">
      <c r="A121" s="257" t="s">
        <v>306</v>
      </c>
      <c r="B121" s="257">
        <v>20</v>
      </c>
      <c r="C121" s="387">
        <v>0.97887761204741064</v>
      </c>
      <c r="D121" s="257">
        <v>200</v>
      </c>
      <c r="E121" s="257">
        <v>25</v>
      </c>
      <c r="F121" s="257">
        <v>18</v>
      </c>
      <c r="G121" s="257">
        <v>4</v>
      </c>
      <c r="H121" s="101">
        <f t="shared" si="2"/>
        <v>5.0308096669054274</v>
      </c>
      <c r="I121" s="102" t="str">
        <f t="shared" si="3"/>
        <v/>
      </c>
    </row>
    <row r="122" spans="1:9" ht="13" x14ac:dyDescent="0.15">
      <c r="A122" s="257" t="s">
        <v>307</v>
      </c>
      <c r="B122" s="257">
        <v>21</v>
      </c>
      <c r="C122" s="387">
        <v>0.98932578007338423</v>
      </c>
      <c r="D122" s="257">
        <v>25</v>
      </c>
      <c r="E122" s="257">
        <v>4</v>
      </c>
      <c r="F122" s="257">
        <v>3</v>
      </c>
      <c r="G122" s="257">
        <v>4</v>
      </c>
      <c r="H122" s="101">
        <f t="shared" si="2"/>
        <v>5.0845066194760147</v>
      </c>
      <c r="I122" s="102" t="str">
        <f t="shared" si="3"/>
        <v/>
      </c>
    </row>
    <row r="123" spans="1:9" ht="13" x14ac:dyDescent="0.15">
      <c r="A123" s="257" t="s">
        <v>307</v>
      </c>
      <c r="B123" s="257">
        <v>21</v>
      </c>
      <c r="C123" s="387">
        <v>0.98801565374146849</v>
      </c>
      <c r="D123" s="257">
        <v>28</v>
      </c>
      <c r="E123" s="257">
        <v>4</v>
      </c>
      <c r="F123" s="257">
        <v>3</v>
      </c>
      <c r="G123" s="257">
        <v>4</v>
      </c>
      <c r="H123" s="101">
        <f t="shared" si="2"/>
        <v>5.0777734016208393</v>
      </c>
      <c r="I123" s="102" t="str">
        <f t="shared" si="3"/>
        <v/>
      </c>
    </row>
    <row r="124" spans="1:9" ht="13" x14ac:dyDescent="0.15">
      <c r="A124" s="257" t="s">
        <v>307</v>
      </c>
      <c r="B124" s="257">
        <v>21</v>
      </c>
      <c r="C124" s="387">
        <v>0.98837929967948945</v>
      </c>
      <c r="D124" s="257">
        <v>29</v>
      </c>
      <c r="E124" s="257">
        <v>4</v>
      </c>
      <c r="F124" s="257">
        <v>3</v>
      </c>
      <c r="G124" s="257">
        <v>4</v>
      </c>
      <c r="H124" s="101">
        <f t="shared" si="2"/>
        <v>5.0796423109490449</v>
      </c>
      <c r="I124" s="102" t="str">
        <f t="shared" si="3"/>
        <v/>
      </c>
    </row>
    <row r="125" spans="1:9" ht="13" x14ac:dyDescent="0.15">
      <c r="A125" s="257" t="s">
        <v>307</v>
      </c>
      <c r="B125" s="257">
        <v>21</v>
      </c>
      <c r="C125" s="387">
        <v>0.98890913202403652</v>
      </c>
      <c r="D125" s="257">
        <v>32</v>
      </c>
      <c r="E125" s="257">
        <v>4</v>
      </c>
      <c r="F125" s="257">
        <v>3</v>
      </c>
      <c r="G125" s="257">
        <v>4</v>
      </c>
      <c r="H125" s="101">
        <f t="shared" si="2"/>
        <v>5.0823653129341571</v>
      </c>
      <c r="I125" s="102" t="str">
        <f t="shared" si="3"/>
        <v/>
      </c>
    </row>
    <row r="126" spans="1:9" ht="13" x14ac:dyDescent="0.15">
      <c r="A126" s="257" t="s">
        <v>307</v>
      </c>
      <c r="B126" s="257">
        <v>21</v>
      </c>
      <c r="C126" s="387">
        <v>0.98419877915984566</v>
      </c>
      <c r="D126" s="257">
        <v>202</v>
      </c>
      <c r="E126" s="257">
        <v>26</v>
      </c>
      <c r="F126" s="257">
        <v>18</v>
      </c>
      <c r="G126" s="257">
        <v>3</v>
      </c>
      <c r="H126" s="101">
        <f t="shared" si="2"/>
        <v>5.0581570887066736</v>
      </c>
      <c r="I126" s="102" t="str">
        <f t="shared" si="3"/>
        <v/>
      </c>
    </row>
    <row r="127" spans="1:9" ht="13" x14ac:dyDescent="0.15">
      <c r="A127" s="257" t="s">
        <v>307</v>
      </c>
      <c r="B127" s="257">
        <v>21</v>
      </c>
      <c r="C127" s="387">
        <v>0.98483813565829226</v>
      </c>
      <c r="D127" s="257">
        <v>203</v>
      </c>
      <c r="E127" s="257">
        <v>26</v>
      </c>
      <c r="F127" s="257">
        <v>18</v>
      </c>
      <c r="G127" s="257">
        <v>3</v>
      </c>
      <c r="H127" s="101">
        <f t="shared" si="2"/>
        <v>5.0614429753317198</v>
      </c>
      <c r="I127" s="102" t="str">
        <f t="shared" si="3"/>
        <v/>
      </c>
    </row>
    <row r="128" spans="1:9" ht="13" x14ac:dyDescent="0.15">
      <c r="A128" s="257" t="s">
        <v>307</v>
      </c>
      <c r="B128" s="257">
        <v>21</v>
      </c>
      <c r="C128" s="387">
        <v>0.9863188073987873</v>
      </c>
      <c r="D128" s="257">
        <v>206</v>
      </c>
      <c r="E128" s="257">
        <v>26</v>
      </c>
      <c r="F128" s="257">
        <v>18</v>
      </c>
      <c r="G128" s="257">
        <v>3</v>
      </c>
      <c r="H128" s="101">
        <f t="shared" si="2"/>
        <v>5.0690526883478508</v>
      </c>
      <c r="I128" s="102" t="str">
        <f t="shared" si="3"/>
        <v/>
      </c>
    </row>
    <row r="129" spans="1:9" ht="13" x14ac:dyDescent="0.15">
      <c r="A129" s="257" t="s">
        <v>307</v>
      </c>
      <c r="B129" s="257">
        <v>21</v>
      </c>
      <c r="C129" s="387">
        <v>0.98624993736173294</v>
      </c>
      <c r="D129" s="257">
        <v>208</v>
      </c>
      <c r="E129" s="257">
        <v>26</v>
      </c>
      <c r="F129" s="257">
        <v>18</v>
      </c>
      <c r="G129" s="257">
        <v>3</v>
      </c>
      <c r="H129" s="101">
        <f t="shared" si="2"/>
        <v>5.0686987400667691</v>
      </c>
      <c r="I129" s="102" t="str">
        <f t="shared" si="3"/>
        <v/>
      </c>
    </row>
    <row r="130" spans="1:9" ht="13" x14ac:dyDescent="0.15">
      <c r="A130" s="257" t="s">
        <v>308</v>
      </c>
      <c r="B130" s="257">
        <v>22</v>
      </c>
      <c r="C130" s="387">
        <v>0.98802377434771205</v>
      </c>
      <c r="D130" s="257">
        <v>33</v>
      </c>
      <c r="E130" s="257">
        <v>5</v>
      </c>
      <c r="F130" s="257">
        <v>4</v>
      </c>
      <c r="G130" s="257">
        <v>4</v>
      </c>
      <c r="H130" s="101">
        <f t="shared" ref="H130:H193" si="4">IF(ISBLANK(C130),"",C130*$L$13)</f>
        <v>5.0778151363830695</v>
      </c>
      <c r="I130" s="102" t="str">
        <f t="shared" ref="I130:I193" si="5">IF(ISNUMBER(H130),IF(ABS(H130-$L$14)&gt;$M$16,"OUT",""),"")</f>
        <v/>
      </c>
    </row>
    <row r="131" spans="1:9" ht="13" x14ac:dyDescent="0.15">
      <c r="A131" s="257" t="s">
        <v>308</v>
      </c>
      <c r="B131" s="257">
        <v>22</v>
      </c>
      <c r="C131" s="387">
        <v>0.98795845827425477</v>
      </c>
      <c r="D131" s="257">
        <v>36</v>
      </c>
      <c r="E131" s="257">
        <v>5</v>
      </c>
      <c r="F131" s="257">
        <v>4</v>
      </c>
      <c r="G131" s="257">
        <v>4</v>
      </c>
      <c r="H131" s="101">
        <f t="shared" si="4"/>
        <v>5.0774794532193024</v>
      </c>
      <c r="I131" s="102" t="str">
        <f t="shared" si="5"/>
        <v/>
      </c>
    </row>
    <row r="132" spans="1:9" ht="13" x14ac:dyDescent="0.15">
      <c r="A132" s="257" t="s">
        <v>308</v>
      </c>
      <c r="B132" s="257">
        <v>22</v>
      </c>
      <c r="C132" s="387">
        <v>0.98869567756984544</v>
      </c>
      <c r="D132" s="257">
        <v>37</v>
      </c>
      <c r="E132" s="257">
        <v>5</v>
      </c>
      <c r="F132" s="257">
        <v>4</v>
      </c>
      <c r="G132" s="257">
        <v>4</v>
      </c>
      <c r="H132" s="101">
        <f t="shared" si="4"/>
        <v>5.0812682925116111</v>
      </c>
      <c r="I132" s="102" t="str">
        <f t="shared" si="5"/>
        <v/>
      </c>
    </row>
    <row r="133" spans="1:9" ht="13" x14ac:dyDescent="0.15">
      <c r="A133" s="257" t="s">
        <v>308</v>
      </c>
      <c r="B133" s="257">
        <v>22</v>
      </c>
      <c r="C133" s="387">
        <v>0.98970880000851214</v>
      </c>
      <c r="D133" s="257">
        <v>40</v>
      </c>
      <c r="E133" s="257">
        <v>5</v>
      </c>
      <c r="F133" s="257">
        <v>4</v>
      </c>
      <c r="G133" s="257">
        <v>4</v>
      </c>
      <c r="H133" s="101">
        <f t="shared" si="4"/>
        <v>5.0864750988533585</v>
      </c>
      <c r="I133" s="102" t="str">
        <f t="shared" si="5"/>
        <v/>
      </c>
    </row>
    <row r="134" spans="1:9" ht="13" x14ac:dyDescent="0.15">
      <c r="A134" s="257" t="s">
        <v>308</v>
      </c>
      <c r="B134" s="257">
        <v>22</v>
      </c>
      <c r="C134" s="387">
        <v>0.9889741261601549</v>
      </c>
      <c r="D134" s="257">
        <v>217</v>
      </c>
      <c r="E134" s="257">
        <v>28</v>
      </c>
      <c r="F134" s="257">
        <v>19</v>
      </c>
      <c r="G134" s="257">
        <v>2</v>
      </c>
      <c r="H134" s="101">
        <f t="shared" si="4"/>
        <v>5.0826993415443242</v>
      </c>
      <c r="I134" s="102" t="str">
        <f t="shared" si="5"/>
        <v/>
      </c>
    </row>
    <row r="135" spans="1:9" ht="13" x14ac:dyDescent="0.15">
      <c r="A135" s="257" t="s">
        <v>308</v>
      </c>
      <c r="B135" s="257">
        <v>22</v>
      </c>
      <c r="C135" s="387">
        <v>0.98884156535094414</v>
      </c>
      <c r="D135" s="257">
        <v>220</v>
      </c>
      <c r="E135" s="257">
        <v>28</v>
      </c>
      <c r="F135" s="257">
        <v>19</v>
      </c>
      <c r="G135" s="257">
        <v>2</v>
      </c>
      <c r="H135" s="101">
        <f t="shared" si="4"/>
        <v>5.0820180631166405</v>
      </c>
      <c r="I135" s="102" t="str">
        <f t="shared" si="5"/>
        <v/>
      </c>
    </row>
    <row r="136" spans="1:9" ht="13" x14ac:dyDescent="0.15">
      <c r="A136" s="257" t="s">
        <v>308</v>
      </c>
      <c r="B136" s="257">
        <v>22</v>
      </c>
      <c r="C136" s="387">
        <v>0.98947852342292242</v>
      </c>
      <c r="D136" s="257">
        <v>222</v>
      </c>
      <c r="E136" s="257">
        <v>28</v>
      </c>
      <c r="F136" s="257">
        <v>19</v>
      </c>
      <c r="G136" s="257">
        <v>2</v>
      </c>
      <c r="H136" s="101">
        <f t="shared" si="4"/>
        <v>5.0852916233518366</v>
      </c>
      <c r="I136" s="102" t="str">
        <f t="shared" si="5"/>
        <v/>
      </c>
    </row>
    <row r="137" spans="1:9" ht="13" x14ac:dyDescent="0.15">
      <c r="A137" s="257" t="s">
        <v>308</v>
      </c>
      <c r="B137" s="257">
        <v>22</v>
      </c>
      <c r="C137" s="387">
        <v>0.98920207650439784</v>
      </c>
      <c r="D137" s="257">
        <v>223</v>
      </c>
      <c r="E137" s="257">
        <v>28</v>
      </c>
      <c r="F137" s="257">
        <v>19</v>
      </c>
      <c r="G137" s="257">
        <v>2</v>
      </c>
      <c r="H137" s="101">
        <f t="shared" si="4"/>
        <v>5.0838708616417074</v>
      </c>
      <c r="I137" s="102" t="str">
        <f t="shared" si="5"/>
        <v/>
      </c>
    </row>
    <row r="138" spans="1:9" ht="13" x14ac:dyDescent="0.15">
      <c r="A138" s="257" t="s">
        <v>309</v>
      </c>
      <c r="B138" s="257">
        <v>23</v>
      </c>
      <c r="C138" s="387">
        <v>0.98876633939552205</v>
      </c>
      <c r="D138" s="257">
        <v>34</v>
      </c>
      <c r="E138" s="257">
        <v>5</v>
      </c>
      <c r="F138" s="257">
        <v>4</v>
      </c>
      <c r="G138" s="257">
        <v>7</v>
      </c>
      <c r="H138" s="101">
        <f t="shared" si="4"/>
        <v>5.0816314494490262</v>
      </c>
      <c r="I138" s="102" t="str">
        <f t="shared" si="5"/>
        <v/>
      </c>
    </row>
    <row r="139" spans="1:9" ht="13" x14ac:dyDescent="0.15">
      <c r="A139" s="257" t="s">
        <v>309</v>
      </c>
      <c r="B139" s="257">
        <v>23</v>
      </c>
      <c r="C139" s="387">
        <v>0.99151690587723673</v>
      </c>
      <c r="D139" s="257">
        <v>36</v>
      </c>
      <c r="E139" s="257">
        <v>5</v>
      </c>
      <c r="F139" s="257">
        <v>4</v>
      </c>
      <c r="G139" s="257">
        <v>7</v>
      </c>
      <c r="H139" s="101">
        <f t="shared" si="4"/>
        <v>5.0957676154777225</v>
      </c>
      <c r="I139" s="102" t="str">
        <f t="shared" si="5"/>
        <v>OUT</v>
      </c>
    </row>
    <row r="140" spans="1:9" ht="13" x14ac:dyDescent="0.15">
      <c r="A140" s="257" t="s">
        <v>309</v>
      </c>
      <c r="B140" s="257">
        <v>23</v>
      </c>
      <c r="C140" s="387">
        <v>0.9904346408339415</v>
      </c>
      <c r="D140" s="257">
        <v>38</v>
      </c>
      <c r="E140" s="257">
        <v>5</v>
      </c>
      <c r="F140" s="257">
        <v>4</v>
      </c>
      <c r="G140" s="257">
        <v>7</v>
      </c>
      <c r="H140" s="101">
        <f t="shared" si="4"/>
        <v>5.0902054600305515</v>
      </c>
      <c r="I140" s="102" t="str">
        <f t="shared" si="5"/>
        <v/>
      </c>
    </row>
    <row r="141" spans="1:9" ht="13" x14ac:dyDescent="0.15">
      <c r="A141" s="257" t="s">
        <v>309</v>
      </c>
      <c r="B141" s="257">
        <v>23</v>
      </c>
      <c r="C141" s="387">
        <v>0.99005586804620582</v>
      </c>
      <c r="D141" s="257">
        <v>40</v>
      </c>
      <c r="E141" s="257">
        <v>5</v>
      </c>
      <c r="F141" s="257">
        <v>4</v>
      </c>
      <c r="G141" s="257">
        <v>7</v>
      </c>
      <c r="H141" s="101">
        <f t="shared" si="4"/>
        <v>5.0882588082952891</v>
      </c>
      <c r="I141" s="102" t="str">
        <f t="shared" si="5"/>
        <v/>
      </c>
    </row>
    <row r="142" spans="1:9" ht="13" x14ac:dyDescent="0.15">
      <c r="A142" s="257" t="s">
        <v>309</v>
      </c>
      <c r="B142" s="257">
        <v>23</v>
      </c>
      <c r="C142" s="387">
        <v>0.98648003120411532</v>
      </c>
      <c r="D142" s="257">
        <v>186</v>
      </c>
      <c r="E142" s="257">
        <v>24</v>
      </c>
      <c r="F142" s="257">
        <v>17</v>
      </c>
      <c r="G142" s="257">
        <v>5</v>
      </c>
      <c r="H142" s="101">
        <f t="shared" si="4"/>
        <v>5.0698812763841863</v>
      </c>
      <c r="I142" s="102" t="str">
        <f t="shared" si="5"/>
        <v/>
      </c>
    </row>
    <row r="143" spans="1:9" ht="13" x14ac:dyDescent="0.15">
      <c r="A143" s="257" t="s">
        <v>309</v>
      </c>
      <c r="B143" s="257">
        <v>23</v>
      </c>
      <c r="C143" s="387">
        <v>0.98728431386020066</v>
      </c>
      <c r="D143" s="257">
        <v>187</v>
      </c>
      <c r="E143" s="257">
        <v>24</v>
      </c>
      <c r="F143" s="257">
        <v>17</v>
      </c>
      <c r="G143" s="257">
        <v>5</v>
      </c>
      <c r="H143" s="101">
        <f t="shared" si="4"/>
        <v>5.0740147787866938</v>
      </c>
      <c r="I143" s="102" t="str">
        <f t="shared" si="5"/>
        <v/>
      </c>
    </row>
    <row r="144" spans="1:9" ht="13" x14ac:dyDescent="0.15">
      <c r="A144" s="257" t="s">
        <v>309</v>
      </c>
      <c r="B144" s="257">
        <v>23</v>
      </c>
      <c r="C144" s="387">
        <v>0.98667187874882867</v>
      </c>
      <c r="D144" s="257">
        <v>189</v>
      </c>
      <c r="E144" s="257">
        <v>24</v>
      </c>
      <c r="F144" s="257">
        <v>17</v>
      </c>
      <c r="G144" s="257">
        <v>5</v>
      </c>
      <c r="H144" s="101">
        <f t="shared" si="4"/>
        <v>5.0708672510051578</v>
      </c>
      <c r="I144" s="102" t="str">
        <f t="shared" si="5"/>
        <v/>
      </c>
    </row>
    <row r="145" spans="1:9" ht="13" x14ac:dyDescent="0.15">
      <c r="A145" s="257" t="s">
        <v>309</v>
      </c>
      <c r="B145" s="257">
        <v>23</v>
      </c>
      <c r="C145" s="387">
        <v>0.98764829920098784</v>
      </c>
      <c r="D145" s="257">
        <v>191</v>
      </c>
      <c r="E145" s="257">
        <v>24</v>
      </c>
      <c r="F145" s="257">
        <v>17</v>
      </c>
      <c r="G145" s="257">
        <v>5</v>
      </c>
      <c r="H145" s="101">
        <f t="shared" si="4"/>
        <v>5.0758854324297102</v>
      </c>
      <c r="I145" s="102" t="str">
        <f t="shared" si="5"/>
        <v/>
      </c>
    </row>
    <row r="146" spans="1:9" ht="13" x14ac:dyDescent="0.15">
      <c r="A146" s="257" t="s">
        <v>310</v>
      </c>
      <c r="B146" s="257">
        <v>24</v>
      </c>
      <c r="C146" s="387">
        <v>0.97544259176274684</v>
      </c>
      <c r="D146" s="257">
        <v>9</v>
      </c>
      <c r="E146" s="257">
        <v>2</v>
      </c>
      <c r="F146" s="257">
        <v>1</v>
      </c>
      <c r="G146" s="257">
        <v>3</v>
      </c>
      <c r="H146" s="101">
        <f t="shared" si="4"/>
        <v>5.0131558427282057</v>
      </c>
      <c r="I146" s="102" t="str">
        <f t="shared" si="5"/>
        <v/>
      </c>
    </row>
    <row r="147" spans="1:9" ht="13" x14ac:dyDescent="0.15">
      <c r="A147" s="257" t="s">
        <v>310</v>
      </c>
      <c r="B147" s="257">
        <v>24</v>
      </c>
      <c r="C147" s="387">
        <v>0.97472366566009094</v>
      </c>
      <c r="D147" s="257">
        <v>11</v>
      </c>
      <c r="E147" s="257">
        <v>2</v>
      </c>
      <c r="F147" s="257">
        <v>1</v>
      </c>
      <c r="G147" s="257">
        <v>3</v>
      </c>
      <c r="H147" s="101">
        <f t="shared" si="4"/>
        <v>5.0094610188375395</v>
      </c>
      <c r="I147" s="102" t="str">
        <f t="shared" si="5"/>
        <v/>
      </c>
    </row>
    <row r="148" spans="1:9" ht="13" x14ac:dyDescent="0.15">
      <c r="A148" s="257" t="s">
        <v>310</v>
      </c>
      <c r="B148" s="257">
        <v>24</v>
      </c>
      <c r="C148" s="387">
        <v>0.97464056719721415</v>
      </c>
      <c r="D148" s="257">
        <v>14</v>
      </c>
      <c r="E148" s="257">
        <v>2</v>
      </c>
      <c r="F148" s="257">
        <v>1</v>
      </c>
      <c r="G148" s="257">
        <v>3</v>
      </c>
      <c r="H148" s="101">
        <f t="shared" si="4"/>
        <v>5.0090339454780093</v>
      </c>
      <c r="I148" s="102" t="str">
        <f t="shared" si="5"/>
        <v/>
      </c>
    </row>
    <row r="149" spans="1:9" ht="13" x14ac:dyDescent="0.15">
      <c r="A149" s="257" t="s">
        <v>310</v>
      </c>
      <c r="B149" s="257">
        <v>24</v>
      </c>
      <c r="C149" s="387">
        <v>0.97661125738245824</v>
      </c>
      <c r="D149" s="257">
        <v>15</v>
      </c>
      <c r="E149" s="257">
        <v>2</v>
      </c>
      <c r="F149" s="257">
        <v>1</v>
      </c>
      <c r="G149" s="257">
        <v>3</v>
      </c>
      <c r="H149" s="101">
        <f t="shared" si="4"/>
        <v>5.0191620423027645</v>
      </c>
      <c r="I149" s="102" t="str">
        <f t="shared" si="5"/>
        <v/>
      </c>
    </row>
    <row r="150" spans="1:9" ht="13" x14ac:dyDescent="0.15">
      <c r="A150" s="257" t="s">
        <v>310</v>
      </c>
      <c r="B150" s="257">
        <v>24</v>
      </c>
      <c r="C150" s="387">
        <v>0.9740121092361681</v>
      </c>
      <c r="D150" s="257">
        <v>210</v>
      </c>
      <c r="E150" s="257">
        <v>27</v>
      </c>
      <c r="F150" s="257">
        <v>19</v>
      </c>
      <c r="G150" s="257">
        <v>5</v>
      </c>
      <c r="H150" s="101">
        <f t="shared" si="4"/>
        <v>5.0058040704182849</v>
      </c>
      <c r="I150" s="102" t="str">
        <f t="shared" si="5"/>
        <v/>
      </c>
    </row>
    <row r="151" spans="1:9" ht="13" x14ac:dyDescent="0.15">
      <c r="A151" s="257" t="s">
        <v>310</v>
      </c>
      <c r="B151" s="257">
        <v>24</v>
      </c>
      <c r="C151" s="387">
        <v>0.97420060675833098</v>
      </c>
      <c r="D151" s="257">
        <v>211</v>
      </c>
      <c r="E151" s="257">
        <v>27</v>
      </c>
      <c r="F151" s="257">
        <v>19</v>
      </c>
      <c r="G151" s="257">
        <v>5</v>
      </c>
      <c r="H151" s="101">
        <f t="shared" si="4"/>
        <v>5.0067728280494883</v>
      </c>
      <c r="I151" s="102" t="str">
        <f t="shared" si="5"/>
        <v/>
      </c>
    </row>
    <row r="152" spans="1:9" ht="13" x14ac:dyDescent="0.15">
      <c r="A152" s="257" t="s">
        <v>310</v>
      </c>
      <c r="B152" s="257">
        <v>24</v>
      </c>
      <c r="C152" s="387">
        <v>0.97385677131497295</v>
      </c>
      <c r="D152" s="257">
        <v>213</v>
      </c>
      <c r="E152" s="257">
        <v>27</v>
      </c>
      <c r="F152" s="257">
        <v>19</v>
      </c>
      <c r="G152" s="257">
        <v>5</v>
      </c>
      <c r="H152" s="101">
        <f t="shared" si="4"/>
        <v>5.0050057320908294</v>
      </c>
      <c r="I152" s="102" t="str">
        <f t="shared" si="5"/>
        <v/>
      </c>
    </row>
    <row r="153" spans="1:9" ht="13" x14ac:dyDescent="0.15">
      <c r="A153" s="257" t="s">
        <v>310</v>
      </c>
      <c r="B153" s="257">
        <v>24</v>
      </c>
      <c r="C153" s="387">
        <v>0.97435713097367604</v>
      </c>
      <c r="D153" s="257">
        <v>215</v>
      </c>
      <c r="E153" s="257">
        <v>27</v>
      </c>
      <c r="F153" s="257">
        <v>19</v>
      </c>
      <c r="G153" s="257">
        <v>5</v>
      </c>
      <c r="H153" s="101">
        <f t="shared" si="4"/>
        <v>5.0075772631759756</v>
      </c>
      <c r="I153" s="102" t="str">
        <f t="shared" si="5"/>
        <v/>
      </c>
    </row>
    <row r="154" spans="1:9" ht="13" x14ac:dyDescent="0.15">
      <c r="A154" s="257" t="s">
        <v>311</v>
      </c>
      <c r="B154" s="257">
        <v>25</v>
      </c>
      <c r="C154" s="387">
        <v>0.98248352470215827</v>
      </c>
      <c r="D154" s="257">
        <v>41</v>
      </c>
      <c r="E154" s="257">
        <v>6</v>
      </c>
      <c r="F154" s="257">
        <v>5</v>
      </c>
      <c r="G154" s="257">
        <v>3</v>
      </c>
      <c r="H154" s="101">
        <f t="shared" si="4"/>
        <v>5.0493417694055323</v>
      </c>
      <c r="I154" s="102" t="str">
        <f t="shared" si="5"/>
        <v/>
      </c>
    </row>
    <row r="155" spans="1:9" ht="13" x14ac:dyDescent="0.15">
      <c r="A155" s="257" t="s">
        <v>311</v>
      </c>
      <c r="B155" s="257">
        <v>25</v>
      </c>
      <c r="C155" s="387">
        <v>0.98242514353364163</v>
      </c>
      <c r="D155" s="257">
        <v>43</v>
      </c>
      <c r="E155" s="257">
        <v>6</v>
      </c>
      <c r="F155" s="257">
        <v>5</v>
      </c>
      <c r="G155" s="257">
        <v>3</v>
      </c>
      <c r="H155" s="101">
        <f t="shared" si="4"/>
        <v>5.0490417272518204</v>
      </c>
      <c r="I155" s="102" t="str">
        <f t="shared" si="5"/>
        <v/>
      </c>
    </row>
    <row r="156" spans="1:9" ht="13" x14ac:dyDescent="0.15">
      <c r="A156" s="257" t="s">
        <v>311</v>
      </c>
      <c r="B156" s="257">
        <v>25</v>
      </c>
      <c r="C156" s="387">
        <v>0.98210344885099887</v>
      </c>
      <c r="D156" s="257">
        <v>46</v>
      </c>
      <c r="E156" s="257">
        <v>6</v>
      </c>
      <c r="F156" s="257">
        <v>5</v>
      </c>
      <c r="G156" s="257">
        <v>3</v>
      </c>
      <c r="H156" s="101">
        <f t="shared" si="4"/>
        <v>5.0473884207512807</v>
      </c>
      <c r="I156" s="102" t="str">
        <f t="shared" si="5"/>
        <v/>
      </c>
    </row>
    <row r="157" spans="1:9" ht="13" x14ac:dyDescent="0.15">
      <c r="A157" s="257" t="s">
        <v>311</v>
      </c>
      <c r="B157" s="257">
        <v>25</v>
      </c>
      <c r="C157" s="387">
        <v>0.98334536873514999</v>
      </c>
      <c r="D157" s="257">
        <v>47</v>
      </c>
      <c r="E157" s="257">
        <v>6</v>
      </c>
      <c r="F157" s="257">
        <v>5</v>
      </c>
      <c r="G157" s="257">
        <v>3</v>
      </c>
      <c r="H157" s="101">
        <f t="shared" si="4"/>
        <v>5.0537711007531669</v>
      </c>
      <c r="I157" s="102" t="str">
        <f t="shared" si="5"/>
        <v/>
      </c>
    </row>
    <row r="158" spans="1:9" ht="13" x14ac:dyDescent="0.15">
      <c r="A158" s="257" t="s">
        <v>311</v>
      </c>
      <c r="B158" s="257">
        <v>25</v>
      </c>
      <c r="C158" s="387">
        <v>0.98037971938868851</v>
      </c>
      <c r="D158" s="257">
        <v>237</v>
      </c>
      <c r="E158" s="257">
        <v>31</v>
      </c>
      <c r="F158" s="257">
        <v>22</v>
      </c>
      <c r="G158" s="257">
        <v>2</v>
      </c>
      <c r="H158" s="101">
        <f t="shared" si="4"/>
        <v>5.0385295453051633</v>
      </c>
      <c r="I158" s="102" t="str">
        <f t="shared" si="5"/>
        <v/>
      </c>
    </row>
    <row r="159" spans="1:9" ht="13" x14ac:dyDescent="0.15">
      <c r="A159" s="257" t="s">
        <v>311</v>
      </c>
      <c r="B159" s="257">
        <v>25</v>
      </c>
      <c r="C159" s="387">
        <v>0.98192219696696326</v>
      </c>
      <c r="D159" s="257">
        <v>238</v>
      </c>
      <c r="E159" s="257">
        <v>31</v>
      </c>
      <c r="F159" s="257">
        <v>22</v>
      </c>
      <c r="G159" s="257">
        <v>2</v>
      </c>
      <c r="H159" s="101">
        <f t="shared" si="4"/>
        <v>5.046456901101501</v>
      </c>
      <c r="I159" s="102" t="str">
        <f t="shared" si="5"/>
        <v/>
      </c>
    </row>
    <row r="160" spans="1:9" ht="13" x14ac:dyDescent="0.15">
      <c r="A160" s="257" t="s">
        <v>311</v>
      </c>
      <c r="B160" s="257">
        <v>25</v>
      </c>
      <c r="C160" s="387">
        <v>0.98169473774831562</v>
      </c>
      <c r="D160" s="257">
        <v>240</v>
      </c>
      <c r="E160" s="257">
        <v>31</v>
      </c>
      <c r="F160" s="257">
        <v>22</v>
      </c>
      <c r="G160" s="257">
        <v>2</v>
      </c>
      <c r="H160" s="101">
        <f t="shared" si="4"/>
        <v>5.045287905077978</v>
      </c>
      <c r="I160" s="102" t="str">
        <f t="shared" si="5"/>
        <v/>
      </c>
    </row>
    <row r="161" spans="1:9" ht="13" x14ac:dyDescent="0.15">
      <c r="A161" s="257" t="s">
        <v>311</v>
      </c>
      <c r="B161" s="257">
        <v>25</v>
      </c>
      <c r="C161" s="387">
        <v>0.98172986420155628</v>
      </c>
      <c r="D161" s="257">
        <v>241</v>
      </c>
      <c r="E161" s="257">
        <v>31</v>
      </c>
      <c r="F161" s="257">
        <v>22</v>
      </c>
      <c r="G161" s="257">
        <v>2</v>
      </c>
      <c r="H161" s="101">
        <f t="shared" si="4"/>
        <v>5.0454684327541166</v>
      </c>
      <c r="I161" s="102" t="str">
        <f t="shared" si="5"/>
        <v/>
      </c>
    </row>
    <row r="162" spans="1:9" ht="13" x14ac:dyDescent="0.15">
      <c r="A162" s="257" t="s">
        <v>312</v>
      </c>
      <c r="B162" s="257">
        <v>26</v>
      </c>
      <c r="C162" s="387">
        <v>0.9866716837736379</v>
      </c>
      <c r="D162" s="257">
        <v>25</v>
      </c>
      <c r="E162" s="257">
        <v>4</v>
      </c>
      <c r="F162" s="257">
        <v>3</v>
      </c>
      <c r="G162" s="257">
        <v>3</v>
      </c>
      <c r="H162" s="101">
        <f t="shared" si="4"/>
        <v>5.0708662489564214</v>
      </c>
      <c r="I162" s="102" t="str">
        <f t="shared" si="5"/>
        <v/>
      </c>
    </row>
    <row r="163" spans="1:9" ht="13" x14ac:dyDescent="0.15">
      <c r="A163" s="257" t="s">
        <v>312</v>
      </c>
      <c r="B163" s="257">
        <v>26</v>
      </c>
      <c r="C163" s="387">
        <v>0.98717793057123704</v>
      </c>
      <c r="D163" s="257">
        <v>27</v>
      </c>
      <c r="E163" s="257">
        <v>4</v>
      </c>
      <c r="F163" s="257">
        <v>3</v>
      </c>
      <c r="G163" s="257">
        <v>3</v>
      </c>
      <c r="H163" s="101">
        <f t="shared" si="4"/>
        <v>5.0734680361991336</v>
      </c>
      <c r="I163" s="102" t="str">
        <f t="shared" si="5"/>
        <v/>
      </c>
    </row>
    <row r="164" spans="1:9" ht="13" x14ac:dyDescent="0.15">
      <c r="A164" s="257" t="s">
        <v>312</v>
      </c>
      <c r="B164" s="257">
        <v>26</v>
      </c>
      <c r="C164" s="387">
        <v>0.98707005283783977</v>
      </c>
      <c r="D164" s="257">
        <v>30</v>
      </c>
      <c r="E164" s="257">
        <v>4</v>
      </c>
      <c r="F164" s="257">
        <v>3</v>
      </c>
      <c r="G164" s="257">
        <v>3</v>
      </c>
      <c r="H164" s="101">
        <f t="shared" si="4"/>
        <v>5.0729136131156558</v>
      </c>
      <c r="I164" s="102" t="str">
        <f t="shared" si="5"/>
        <v/>
      </c>
    </row>
    <row r="165" spans="1:9" ht="13" x14ac:dyDescent="0.15">
      <c r="A165" s="257" t="s">
        <v>312</v>
      </c>
      <c r="B165" s="257">
        <v>26</v>
      </c>
      <c r="C165" s="387">
        <v>0.98785570618930352</v>
      </c>
      <c r="D165" s="257">
        <v>31</v>
      </c>
      <c r="E165" s="257">
        <v>4</v>
      </c>
      <c r="F165" s="257">
        <v>3</v>
      </c>
      <c r="G165" s="257">
        <v>3</v>
      </c>
      <c r="H165" s="101">
        <f t="shared" si="4"/>
        <v>5.0769513727157687</v>
      </c>
      <c r="I165" s="102" t="str">
        <f t="shared" si="5"/>
        <v/>
      </c>
    </row>
    <row r="166" spans="1:9" ht="13" x14ac:dyDescent="0.15">
      <c r="A166" s="257" t="s">
        <v>312</v>
      </c>
      <c r="B166" s="257">
        <v>26</v>
      </c>
      <c r="C166" s="387">
        <v>0.98572949724535597</v>
      </c>
      <c r="D166" s="257">
        <v>233</v>
      </c>
      <c r="E166" s="257">
        <v>30</v>
      </c>
      <c r="F166" s="257">
        <v>21</v>
      </c>
      <c r="G166" s="257">
        <v>2</v>
      </c>
      <c r="H166" s="101">
        <f t="shared" si="4"/>
        <v>5.0660240081735362</v>
      </c>
      <c r="I166" s="102" t="str">
        <f t="shared" si="5"/>
        <v/>
      </c>
    </row>
    <row r="167" spans="1:9" ht="13" x14ac:dyDescent="0.15">
      <c r="A167" s="257" t="s">
        <v>312</v>
      </c>
      <c r="B167" s="257">
        <v>26</v>
      </c>
      <c r="C167" s="387">
        <v>0.98545513331061896</v>
      </c>
      <c r="D167" s="257">
        <v>234</v>
      </c>
      <c r="E167" s="257">
        <v>30</v>
      </c>
      <c r="F167" s="257">
        <v>21</v>
      </c>
      <c r="G167" s="257">
        <v>2</v>
      </c>
      <c r="H167" s="101">
        <f t="shared" si="4"/>
        <v>5.064613951678079</v>
      </c>
      <c r="I167" s="102" t="str">
        <f t="shared" si="5"/>
        <v/>
      </c>
    </row>
    <row r="168" spans="1:9" ht="13" x14ac:dyDescent="0.15">
      <c r="A168" s="257" t="s">
        <v>312</v>
      </c>
      <c r="B168" s="257">
        <v>26</v>
      </c>
      <c r="C168" s="387">
        <v>0.98558260931195352</v>
      </c>
      <c r="D168" s="257">
        <v>235</v>
      </c>
      <c r="E168" s="257">
        <v>30</v>
      </c>
      <c r="F168" s="257">
        <v>21</v>
      </c>
      <c r="G168" s="257">
        <v>2</v>
      </c>
      <c r="H168" s="101">
        <f t="shared" si="4"/>
        <v>5.0652690974204271</v>
      </c>
      <c r="I168" s="102" t="str">
        <f t="shared" si="5"/>
        <v/>
      </c>
    </row>
    <row r="169" spans="1:9" ht="13" x14ac:dyDescent="0.15">
      <c r="A169" s="257" t="s">
        <v>312</v>
      </c>
      <c r="B169" s="257">
        <v>26</v>
      </c>
      <c r="C169" s="387">
        <v>0.98562215437752332</v>
      </c>
      <c r="D169" s="257">
        <v>236</v>
      </c>
      <c r="E169" s="257">
        <v>30</v>
      </c>
      <c r="F169" s="257">
        <v>21</v>
      </c>
      <c r="G169" s="257">
        <v>2</v>
      </c>
      <c r="H169" s="101">
        <f t="shared" si="4"/>
        <v>5.0654723339596002</v>
      </c>
      <c r="I169" s="102" t="str">
        <f t="shared" si="5"/>
        <v/>
      </c>
    </row>
    <row r="170" spans="1:9" ht="13" x14ac:dyDescent="0.15">
      <c r="A170" s="257" t="s">
        <v>313</v>
      </c>
      <c r="B170" s="257">
        <v>27</v>
      </c>
      <c r="C170" s="387">
        <v>0.98293456711223726</v>
      </c>
      <c r="D170" s="257">
        <v>17</v>
      </c>
      <c r="E170" s="257">
        <v>3</v>
      </c>
      <c r="F170" s="257">
        <v>2</v>
      </c>
      <c r="G170" s="257">
        <v>4</v>
      </c>
      <c r="H170" s="101">
        <f t="shared" si="4"/>
        <v>5.0516598411326648</v>
      </c>
      <c r="I170" s="102" t="str">
        <f t="shared" si="5"/>
        <v/>
      </c>
    </row>
    <row r="171" spans="1:9" ht="13" x14ac:dyDescent="0.15">
      <c r="A171" s="257" t="s">
        <v>313</v>
      </c>
      <c r="B171" s="257">
        <v>27</v>
      </c>
      <c r="C171" s="387">
        <v>0.98153486615274976</v>
      </c>
      <c r="D171" s="257">
        <v>20</v>
      </c>
      <c r="E171" s="257">
        <v>3</v>
      </c>
      <c r="F171" s="257">
        <v>2</v>
      </c>
      <c r="G171" s="257">
        <v>4</v>
      </c>
      <c r="H171" s="101">
        <f t="shared" si="4"/>
        <v>5.0444662665416198</v>
      </c>
      <c r="I171" s="102" t="str">
        <f t="shared" si="5"/>
        <v/>
      </c>
    </row>
    <row r="172" spans="1:9" ht="13" x14ac:dyDescent="0.15">
      <c r="A172" s="257" t="s">
        <v>313</v>
      </c>
      <c r="B172" s="257">
        <v>27</v>
      </c>
      <c r="C172" s="387">
        <v>0.98199442135811377</v>
      </c>
      <c r="D172" s="257">
        <v>21</v>
      </c>
      <c r="E172" s="257">
        <v>3</v>
      </c>
      <c r="F172" s="257">
        <v>2</v>
      </c>
      <c r="G172" s="257">
        <v>4</v>
      </c>
      <c r="H172" s="101">
        <f t="shared" si="4"/>
        <v>5.0468280886337471</v>
      </c>
      <c r="I172" s="102" t="str">
        <f t="shared" si="5"/>
        <v/>
      </c>
    </row>
    <row r="173" spans="1:9" ht="13" x14ac:dyDescent="0.15">
      <c r="A173" s="257" t="s">
        <v>313</v>
      </c>
      <c r="B173" s="257">
        <v>27</v>
      </c>
      <c r="C173" s="387">
        <v>0.98202840992770213</v>
      </c>
      <c r="D173" s="257">
        <v>24</v>
      </c>
      <c r="E173" s="257">
        <v>3</v>
      </c>
      <c r="F173" s="257">
        <v>2</v>
      </c>
      <c r="G173" s="257">
        <v>4</v>
      </c>
      <c r="H173" s="101">
        <f t="shared" si="4"/>
        <v>5.0470027683100875</v>
      </c>
      <c r="I173" s="102" t="str">
        <f t="shared" si="5"/>
        <v/>
      </c>
    </row>
    <row r="174" spans="1:9" ht="13" x14ac:dyDescent="0.15">
      <c r="A174" s="257" t="s">
        <v>313</v>
      </c>
      <c r="B174" s="257">
        <v>27</v>
      </c>
      <c r="C174" s="387">
        <v>0.98101301015136788</v>
      </c>
      <c r="D174" s="257">
        <v>202</v>
      </c>
      <c r="E174" s="257">
        <v>26</v>
      </c>
      <c r="F174" s="257">
        <v>18</v>
      </c>
      <c r="G174" s="257">
        <v>5</v>
      </c>
      <c r="H174" s="101">
        <f t="shared" si="4"/>
        <v>5.0417842578980743</v>
      </c>
      <c r="I174" s="102" t="str">
        <f t="shared" si="5"/>
        <v/>
      </c>
    </row>
    <row r="175" spans="1:9" ht="13" x14ac:dyDescent="0.15">
      <c r="A175" s="257" t="s">
        <v>313</v>
      </c>
      <c r="B175" s="257">
        <v>27</v>
      </c>
      <c r="C175" s="387">
        <v>0.98204540561361076</v>
      </c>
      <c r="D175" s="257">
        <v>203</v>
      </c>
      <c r="E175" s="257">
        <v>26</v>
      </c>
      <c r="F175" s="257">
        <v>18</v>
      </c>
      <c r="G175" s="257">
        <v>5</v>
      </c>
      <c r="H175" s="101">
        <f t="shared" si="4"/>
        <v>5.0470901153490964</v>
      </c>
      <c r="I175" s="102" t="str">
        <f t="shared" si="5"/>
        <v/>
      </c>
    </row>
    <row r="176" spans="1:9" ht="13" x14ac:dyDescent="0.15">
      <c r="A176" s="257" t="s">
        <v>313</v>
      </c>
      <c r="B176" s="257">
        <v>27</v>
      </c>
      <c r="C176" s="387">
        <v>0.98164334177931734</v>
      </c>
      <c r="D176" s="257">
        <v>205</v>
      </c>
      <c r="E176" s="257">
        <v>26</v>
      </c>
      <c r="F176" s="257">
        <v>18</v>
      </c>
      <c r="G176" s="257">
        <v>5</v>
      </c>
      <c r="H176" s="101">
        <f t="shared" si="4"/>
        <v>5.0450237624165322</v>
      </c>
      <c r="I176" s="102" t="str">
        <f t="shared" si="5"/>
        <v/>
      </c>
    </row>
    <row r="177" spans="1:9" ht="13" x14ac:dyDescent="0.15">
      <c r="A177" s="257" t="s">
        <v>313</v>
      </c>
      <c r="B177" s="257">
        <v>27</v>
      </c>
      <c r="C177" s="387">
        <v>0.98180075014957136</v>
      </c>
      <c r="D177" s="257">
        <v>207</v>
      </c>
      <c r="E177" s="257">
        <v>26</v>
      </c>
      <c r="F177" s="257">
        <v>18</v>
      </c>
      <c r="G177" s="257">
        <v>5</v>
      </c>
      <c r="H177" s="101">
        <f t="shared" si="4"/>
        <v>5.045832741538109</v>
      </c>
      <c r="I177" s="102" t="str">
        <f t="shared" si="5"/>
        <v/>
      </c>
    </row>
    <row r="178" spans="1:9" ht="13" x14ac:dyDescent="0.15">
      <c r="A178" s="257" t="s">
        <v>314</v>
      </c>
      <c r="B178" s="257">
        <v>28</v>
      </c>
      <c r="C178" s="387">
        <v>0.98625988575964985</v>
      </c>
      <c r="D178" s="257">
        <v>18</v>
      </c>
      <c r="E178" s="257">
        <v>3</v>
      </c>
      <c r="F178" s="257">
        <v>2</v>
      </c>
      <c r="G178" s="257">
        <v>7</v>
      </c>
      <c r="H178" s="101">
        <f t="shared" si="4"/>
        <v>5.0687498685181653</v>
      </c>
      <c r="I178" s="102" t="str">
        <f t="shared" si="5"/>
        <v/>
      </c>
    </row>
    <row r="179" spans="1:9" ht="13" x14ac:dyDescent="0.15">
      <c r="A179" s="257" t="s">
        <v>314</v>
      </c>
      <c r="B179" s="257">
        <v>28</v>
      </c>
      <c r="C179" s="387">
        <v>0.98620681014715517</v>
      </c>
      <c r="D179" s="257">
        <v>20</v>
      </c>
      <c r="E179" s="257">
        <v>3</v>
      </c>
      <c r="F179" s="257">
        <v>2</v>
      </c>
      <c r="G179" s="257">
        <v>7</v>
      </c>
      <c r="H179" s="101">
        <f t="shared" si="4"/>
        <v>5.068477093555158</v>
      </c>
      <c r="I179" s="102" t="str">
        <f t="shared" si="5"/>
        <v/>
      </c>
    </row>
    <row r="180" spans="1:9" ht="13" x14ac:dyDescent="0.15">
      <c r="A180" s="257" t="s">
        <v>314</v>
      </c>
      <c r="B180" s="257">
        <v>28</v>
      </c>
      <c r="C180" s="387">
        <v>0.98684255760210493</v>
      </c>
      <c r="D180" s="257">
        <v>22</v>
      </c>
      <c r="E180" s="257">
        <v>3</v>
      </c>
      <c r="F180" s="257">
        <v>2</v>
      </c>
      <c r="G180" s="257">
        <v>7</v>
      </c>
      <c r="H180" s="101">
        <f t="shared" si="4"/>
        <v>5.0717444319871632</v>
      </c>
      <c r="I180" s="102" t="str">
        <f t="shared" si="5"/>
        <v/>
      </c>
    </row>
    <row r="181" spans="1:9" ht="13" x14ac:dyDescent="0.15">
      <c r="A181" s="257" t="s">
        <v>314</v>
      </c>
      <c r="B181" s="257">
        <v>28</v>
      </c>
      <c r="C181" s="387">
        <v>0.98608049597004221</v>
      </c>
      <c r="D181" s="257">
        <v>24</v>
      </c>
      <c r="E181" s="257">
        <v>3</v>
      </c>
      <c r="F181" s="257">
        <v>2</v>
      </c>
      <c r="G181" s="257">
        <v>7</v>
      </c>
      <c r="H181" s="101">
        <f t="shared" si="4"/>
        <v>5.0678279188519406</v>
      </c>
      <c r="I181" s="102" t="str">
        <f t="shared" si="5"/>
        <v/>
      </c>
    </row>
    <row r="182" spans="1:9" ht="13" x14ac:dyDescent="0.15">
      <c r="A182" s="257" t="s">
        <v>314</v>
      </c>
      <c r="B182" s="257">
        <v>28</v>
      </c>
      <c r="C182" s="387">
        <v>0.98437056747813423</v>
      </c>
      <c r="D182" s="257">
        <v>185</v>
      </c>
      <c r="E182" s="257">
        <v>24</v>
      </c>
      <c r="F182" s="257">
        <v>17</v>
      </c>
      <c r="G182" s="257">
        <v>4</v>
      </c>
      <c r="H182" s="101">
        <f t="shared" si="4"/>
        <v>5.0590399716347036</v>
      </c>
      <c r="I182" s="102" t="str">
        <f t="shared" si="5"/>
        <v/>
      </c>
    </row>
    <row r="183" spans="1:9" ht="13" x14ac:dyDescent="0.15">
      <c r="A183" s="257" t="s">
        <v>314</v>
      </c>
      <c r="B183" s="257">
        <v>28</v>
      </c>
      <c r="C183" s="387">
        <v>0.98504247001077139</v>
      </c>
      <c r="D183" s="257">
        <v>188</v>
      </c>
      <c r="E183" s="257">
        <v>24</v>
      </c>
      <c r="F183" s="257">
        <v>17</v>
      </c>
      <c r="G183" s="257">
        <v>4</v>
      </c>
      <c r="H183" s="101">
        <f t="shared" si="4"/>
        <v>5.0624931242196718</v>
      </c>
      <c r="I183" s="102" t="str">
        <f t="shared" si="5"/>
        <v/>
      </c>
    </row>
    <row r="184" spans="1:9" ht="13" x14ac:dyDescent="0.15">
      <c r="A184" s="257" t="s">
        <v>314</v>
      </c>
      <c r="B184" s="257">
        <v>28</v>
      </c>
      <c r="C184" s="387">
        <v>0.98502599263234314</v>
      </c>
      <c r="D184" s="257">
        <v>189</v>
      </c>
      <c r="E184" s="257">
        <v>24</v>
      </c>
      <c r="F184" s="257">
        <v>17</v>
      </c>
      <c r="G184" s="257">
        <v>4</v>
      </c>
      <c r="H184" s="101">
        <f t="shared" si="4"/>
        <v>5.0624084409521606</v>
      </c>
      <c r="I184" s="102" t="str">
        <f t="shared" si="5"/>
        <v/>
      </c>
    </row>
    <row r="185" spans="1:9" ht="13" x14ac:dyDescent="0.15">
      <c r="A185" s="257" t="s">
        <v>314</v>
      </c>
      <c r="B185" s="257">
        <v>28</v>
      </c>
      <c r="C185" s="387">
        <v>0.98483592122671348</v>
      </c>
      <c r="D185" s="257">
        <v>192</v>
      </c>
      <c r="E185" s="257">
        <v>24</v>
      </c>
      <c r="F185" s="257">
        <v>17</v>
      </c>
      <c r="G185" s="257">
        <v>4</v>
      </c>
      <c r="H185" s="101">
        <f t="shared" si="4"/>
        <v>5.061431594558826</v>
      </c>
      <c r="I185" s="102" t="str">
        <f t="shared" si="5"/>
        <v/>
      </c>
    </row>
    <row r="186" spans="1:9" ht="13" x14ac:dyDescent="0.15">
      <c r="A186" s="257" t="s">
        <v>315</v>
      </c>
      <c r="B186" s="257">
        <v>29</v>
      </c>
      <c r="C186" s="387">
        <v>0.98351898498794366</v>
      </c>
      <c r="D186" s="257">
        <v>9</v>
      </c>
      <c r="E186" s="257">
        <v>2</v>
      </c>
      <c r="F186" s="257">
        <v>1</v>
      </c>
      <c r="G186" s="257">
        <v>4</v>
      </c>
      <c r="H186" s="101">
        <f t="shared" si="4"/>
        <v>5.0546633781044283</v>
      </c>
      <c r="I186" s="102" t="str">
        <f t="shared" si="5"/>
        <v/>
      </c>
    </row>
    <row r="187" spans="1:9" ht="13" x14ac:dyDescent="0.15">
      <c r="A187" s="257" t="s">
        <v>315</v>
      </c>
      <c r="B187" s="257">
        <v>29</v>
      </c>
      <c r="C187" s="387">
        <v>0.98348427975674757</v>
      </c>
      <c r="D187" s="257">
        <v>12</v>
      </c>
      <c r="E187" s="257">
        <v>2</v>
      </c>
      <c r="F187" s="257">
        <v>1</v>
      </c>
      <c r="G187" s="257">
        <v>4</v>
      </c>
      <c r="H187" s="101">
        <f t="shared" si="4"/>
        <v>5.054485015242264</v>
      </c>
      <c r="I187" s="102" t="str">
        <f t="shared" si="5"/>
        <v/>
      </c>
    </row>
    <row r="188" spans="1:9" ht="13" x14ac:dyDescent="0.15">
      <c r="A188" s="257" t="s">
        <v>315</v>
      </c>
      <c r="B188" s="257">
        <v>29</v>
      </c>
      <c r="C188" s="387">
        <v>0.98433938652239916</v>
      </c>
      <c r="D188" s="257">
        <v>13</v>
      </c>
      <c r="E188" s="257">
        <v>2</v>
      </c>
      <c r="F188" s="257">
        <v>1</v>
      </c>
      <c r="G188" s="257">
        <v>4</v>
      </c>
      <c r="H188" s="101">
        <f t="shared" si="4"/>
        <v>5.0588797213116754</v>
      </c>
      <c r="I188" s="102" t="str">
        <f t="shared" si="5"/>
        <v/>
      </c>
    </row>
    <row r="189" spans="1:9" ht="13" x14ac:dyDescent="0.15">
      <c r="A189" s="257" t="s">
        <v>315</v>
      </c>
      <c r="B189" s="257">
        <v>29</v>
      </c>
      <c r="C189" s="387">
        <v>0.98406628418093445</v>
      </c>
      <c r="D189" s="257">
        <v>16</v>
      </c>
      <c r="E189" s="257">
        <v>2</v>
      </c>
      <c r="F189" s="257">
        <v>1</v>
      </c>
      <c r="G189" s="257">
        <v>4</v>
      </c>
      <c r="H189" s="101">
        <f t="shared" si="4"/>
        <v>5.0574761486049491</v>
      </c>
      <c r="I189" s="102" t="str">
        <f t="shared" si="5"/>
        <v/>
      </c>
    </row>
    <row r="190" spans="1:9" ht="13" x14ac:dyDescent="0.15">
      <c r="A190" s="257" t="s">
        <v>315</v>
      </c>
      <c r="B190" s="257">
        <v>29</v>
      </c>
      <c r="C190" s="387">
        <v>0.98320813523250872</v>
      </c>
      <c r="D190" s="257">
        <v>218</v>
      </c>
      <c r="E190" s="257">
        <v>28</v>
      </c>
      <c r="F190" s="257">
        <v>19</v>
      </c>
      <c r="G190" s="257">
        <v>3</v>
      </c>
      <c r="H190" s="101">
        <f t="shared" si="4"/>
        <v>5.0530658076468438</v>
      </c>
      <c r="I190" s="102" t="str">
        <f t="shared" si="5"/>
        <v/>
      </c>
    </row>
    <row r="191" spans="1:9" ht="13" x14ac:dyDescent="0.15">
      <c r="A191" s="257" t="s">
        <v>315</v>
      </c>
      <c r="B191" s="257">
        <v>29</v>
      </c>
      <c r="C191" s="387">
        <v>0.98289311370846255</v>
      </c>
      <c r="D191" s="257">
        <v>219</v>
      </c>
      <c r="E191" s="257">
        <v>28</v>
      </c>
      <c r="F191" s="257">
        <v>19</v>
      </c>
      <c r="G191" s="257">
        <v>3</v>
      </c>
      <c r="H191" s="101">
        <f t="shared" si="4"/>
        <v>5.0514467969462729</v>
      </c>
      <c r="I191" s="102" t="str">
        <f t="shared" si="5"/>
        <v/>
      </c>
    </row>
    <row r="192" spans="1:9" ht="13" x14ac:dyDescent="0.15">
      <c r="A192" s="257" t="s">
        <v>315</v>
      </c>
      <c r="B192" s="257">
        <v>29</v>
      </c>
      <c r="C192" s="387">
        <v>0.98346434847318298</v>
      </c>
      <c r="D192" s="257">
        <v>222</v>
      </c>
      <c r="E192" s="257">
        <v>28</v>
      </c>
      <c r="F192" s="257">
        <v>19</v>
      </c>
      <c r="G192" s="257">
        <v>3</v>
      </c>
      <c r="H192" s="101">
        <f t="shared" si="4"/>
        <v>5.0543825810944227</v>
      </c>
      <c r="I192" s="102" t="str">
        <f t="shared" si="5"/>
        <v/>
      </c>
    </row>
    <row r="193" spans="1:9" ht="13" x14ac:dyDescent="0.15">
      <c r="A193" s="257" t="s">
        <v>315</v>
      </c>
      <c r="B193" s="257">
        <v>29</v>
      </c>
      <c r="C193" s="387">
        <v>0.98283798844789594</v>
      </c>
      <c r="D193" s="257">
        <v>224</v>
      </c>
      <c r="E193" s="257">
        <v>28</v>
      </c>
      <c r="F193" s="257">
        <v>19</v>
      </c>
      <c r="G193" s="257">
        <v>3</v>
      </c>
      <c r="H193" s="101">
        <f t="shared" si="4"/>
        <v>5.0511634880930147</v>
      </c>
      <c r="I193" s="102" t="str">
        <f t="shared" si="5"/>
        <v/>
      </c>
    </row>
    <row r="194" spans="1:9" ht="13" x14ac:dyDescent="0.15">
      <c r="A194" s="257" t="s">
        <v>316</v>
      </c>
      <c r="B194" s="257">
        <v>30</v>
      </c>
      <c r="C194" s="387">
        <v>0.98441742732569537</v>
      </c>
      <c r="D194" s="257">
        <v>2</v>
      </c>
      <c r="E194" s="257">
        <v>1</v>
      </c>
      <c r="F194" s="257">
        <v>1</v>
      </c>
      <c r="G194" s="257">
        <v>2</v>
      </c>
      <c r="H194" s="101">
        <f t="shared" ref="H194:H257" si="6">IF(ISBLANK(C194),"",C194*$L$13)</f>
        <v>5.0592808015108792</v>
      </c>
      <c r="I194" s="102" t="str">
        <f t="shared" ref="I194:I257" si="7">IF(ISNUMBER(H194),IF(ABS(H194-$L$14)&gt;$M$16,"OUT",""),"")</f>
        <v/>
      </c>
    </row>
    <row r="195" spans="1:9" ht="13" x14ac:dyDescent="0.15">
      <c r="A195" s="257" t="s">
        <v>316</v>
      </c>
      <c r="B195" s="257">
        <v>30</v>
      </c>
      <c r="C195" s="387">
        <v>0.98469147080130714</v>
      </c>
      <c r="D195" s="257">
        <v>3</v>
      </c>
      <c r="E195" s="257">
        <v>1</v>
      </c>
      <c r="F195" s="257">
        <v>1</v>
      </c>
      <c r="G195" s="257">
        <v>2</v>
      </c>
      <c r="H195" s="101">
        <f t="shared" si="6"/>
        <v>5.0606892110498167</v>
      </c>
      <c r="I195" s="102" t="str">
        <f t="shared" si="7"/>
        <v/>
      </c>
    </row>
    <row r="196" spans="1:9" ht="13" x14ac:dyDescent="0.15">
      <c r="A196" s="257" t="s">
        <v>316</v>
      </c>
      <c r="B196" s="257">
        <v>30</v>
      </c>
      <c r="C196" s="387">
        <v>0.98472692346625856</v>
      </c>
      <c r="D196" s="257">
        <v>5</v>
      </c>
      <c r="E196" s="257">
        <v>1</v>
      </c>
      <c r="F196" s="257">
        <v>1</v>
      </c>
      <c r="G196" s="257">
        <v>2</v>
      </c>
      <c r="H196" s="101">
        <f t="shared" si="6"/>
        <v>5.0608714152471137</v>
      </c>
      <c r="I196" s="102" t="str">
        <f t="shared" si="7"/>
        <v/>
      </c>
    </row>
    <row r="197" spans="1:9" ht="13" x14ac:dyDescent="0.15">
      <c r="A197" s="257" t="s">
        <v>316</v>
      </c>
      <c r="B197" s="257">
        <v>30</v>
      </c>
      <c r="C197" s="387">
        <v>0.98472211786513153</v>
      </c>
      <c r="D197" s="257">
        <v>7</v>
      </c>
      <c r="E197" s="257">
        <v>1</v>
      </c>
      <c r="F197" s="257">
        <v>1</v>
      </c>
      <c r="G197" s="257">
        <v>2</v>
      </c>
      <c r="H197" s="101">
        <f t="shared" si="6"/>
        <v>5.0608467175072658</v>
      </c>
      <c r="I197" s="102" t="str">
        <f t="shared" si="7"/>
        <v/>
      </c>
    </row>
    <row r="198" spans="1:9" ht="13" x14ac:dyDescent="0.15">
      <c r="A198" s="257" t="s">
        <v>316</v>
      </c>
      <c r="B198" s="257">
        <v>30</v>
      </c>
      <c r="C198" s="387">
        <v>0.98225317113359589</v>
      </c>
      <c r="D198" s="257">
        <v>194</v>
      </c>
      <c r="E198" s="257">
        <v>25</v>
      </c>
      <c r="F198" s="257">
        <v>18</v>
      </c>
      <c r="G198" s="257">
        <v>5</v>
      </c>
      <c r="H198" s="101">
        <f t="shared" si="6"/>
        <v>5.0481578982603894</v>
      </c>
      <c r="I198" s="102" t="str">
        <f t="shared" si="7"/>
        <v/>
      </c>
    </row>
    <row r="199" spans="1:9" ht="13" x14ac:dyDescent="0.15">
      <c r="A199" s="257" t="s">
        <v>316</v>
      </c>
      <c r="B199" s="257">
        <v>30</v>
      </c>
      <c r="C199" s="387">
        <v>0.98284437249726364</v>
      </c>
      <c r="D199" s="257">
        <v>195</v>
      </c>
      <c r="E199" s="257">
        <v>25</v>
      </c>
      <c r="F199" s="257">
        <v>18</v>
      </c>
      <c r="G199" s="257">
        <v>5</v>
      </c>
      <c r="H199" s="101">
        <f t="shared" si="6"/>
        <v>5.051196298055034</v>
      </c>
      <c r="I199" s="102" t="str">
        <f t="shared" si="7"/>
        <v/>
      </c>
    </row>
    <row r="200" spans="1:9" ht="13" x14ac:dyDescent="0.15">
      <c r="A200" s="257" t="s">
        <v>316</v>
      </c>
      <c r="B200" s="257">
        <v>30</v>
      </c>
      <c r="C200" s="387">
        <v>0.98316136088830408</v>
      </c>
      <c r="D200" s="257">
        <v>197</v>
      </c>
      <c r="E200" s="257">
        <v>25</v>
      </c>
      <c r="F200" s="257">
        <v>18</v>
      </c>
      <c r="G200" s="257">
        <v>5</v>
      </c>
      <c r="H200" s="101">
        <f t="shared" si="6"/>
        <v>5.0528254172036551</v>
      </c>
      <c r="I200" s="102" t="str">
        <f t="shared" si="7"/>
        <v/>
      </c>
    </row>
    <row r="201" spans="1:9" ht="13" x14ac:dyDescent="0.15">
      <c r="A201" s="257" t="s">
        <v>316</v>
      </c>
      <c r="B201" s="257">
        <v>30</v>
      </c>
      <c r="C201" s="387">
        <v>0.98276543170438302</v>
      </c>
      <c r="D201" s="257">
        <v>199</v>
      </c>
      <c r="E201" s="257">
        <v>25</v>
      </c>
      <c r="F201" s="257">
        <v>18</v>
      </c>
      <c r="G201" s="257">
        <v>5</v>
      </c>
      <c r="H201" s="101">
        <f t="shared" si="6"/>
        <v>5.0507905924805581</v>
      </c>
      <c r="I201" s="102" t="str">
        <f t="shared" si="7"/>
        <v/>
      </c>
    </row>
    <row r="202" spans="1:9" ht="13" x14ac:dyDescent="0.15">
      <c r="A202" s="257" t="s">
        <v>317</v>
      </c>
      <c r="B202" s="257">
        <v>31</v>
      </c>
      <c r="C202" s="387">
        <v>0.97694607853346282</v>
      </c>
      <c r="D202" s="257">
        <v>10</v>
      </c>
      <c r="E202" s="257">
        <v>2</v>
      </c>
      <c r="F202" s="257">
        <v>1</v>
      </c>
      <c r="G202" s="257">
        <v>2</v>
      </c>
      <c r="H202" s="101">
        <f t="shared" si="6"/>
        <v>5.0208828105197796</v>
      </c>
      <c r="I202" s="102" t="str">
        <f t="shared" si="7"/>
        <v/>
      </c>
    </row>
    <row r="203" spans="1:9" ht="13" x14ac:dyDescent="0.15">
      <c r="A203" s="257" t="s">
        <v>317</v>
      </c>
      <c r="B203" s="257">
        <v>31</v>
      </c>
      <c r="C203" s="387">
        <v>0.9795042801664664</v>
      </c>
      <c r="D203" s="257">
        <v>11</v>
      </c>
      <c r="E203" s="257">
        <v>2</v>
      </c>
      <c r="F203" s="257">
        <v>1</v>
      </c>
      <c r="G203" s="257">
        <v>2</v>
      </c>
      <c r="H203" s="101">
        <f t="shared" si="6"/>
        <v>5.0340303433132707</v>
      </c>
      <c r="I203" s="102" t="str">
        <f t="shared" si="7"/>
        <v/>
      </c>
    </row>
    <row r="204" spans="1:9" ht="13" x14ac:dyDescent="0.15">
      <c r="A204" s="257" t="s">
        <v>317</v>
      </c>
      <c r="B204" s="257">
        <v>31</v>
      </c>
      <c r="C204" s="387">
        <v>0.97919099700368262</v>
      </c>
      <c r="D204" s="257">
        <v>13</v>
      </c>
      <c r="E204" s="257">
        <v>2</v>
      </c>
      <c r="F204" s="257">
        <v>1</v>
      </c>
      <c r="G204" s="257">
        <v>2</v>
      </c>
      <c r="H204" s="101">
        <f t="shared" si="6"/>
        <v>5.0324202666863114</v>
      </c>
      <c r="I204" s="102" t="str">
        <f t="shared" si="7"/>
        <v/>
      </c>
    </row>
    <row r="205" spans="1:9" ht="13" x14ac:dyDescent="0.15">
      <c r="A205" s="257" t="s">
        <v>317</v>
      </c>
      <c r="B205" s="257">
        <v>31</v>
      </c>
      <c r="C205" s="387">
        <v>0.97876417751133904</v>
      </c>
      <c r="D205" s="257">
        <v>15</v>
      </c>
      <c r="E205" s="257">
        <v>2</v>
      </c>
      <c r="F205" s="257">
        <v>1</v>
      </c>
      <c r="G205" s="257">
        <v>2</v>
      </c>
      <c r="H205" s="101">
        <f t="shared" si="6"/>
        <v>5.0302266853829094</v>
      </c>
      <c r="I205" s="102" t="str">
        <f t="shared" si="7"/>
        <v/>
      </c>
    </row>
    <row r="206" spans="1:9" ht="13" x14ac:dyDescent="0.15">
      <c r="A206" s="257" t="s">
        <v>317</v>
      </c>
      <c r="B206" s="257">
        <v>31</v>
      </c>
      <c r="C206" s="387">
        <v>0.97785191847300101</v>
      </c>
      <c r="D206" s="257">
        <v>225</v>
      </c>
      <c r="E206" s="257">
        <v>29</v>
      </c>
      <c r="F206" s="257">
        <v>20</v>
      </c>
      <c r="G206" s="257">
        <v>2</v>
      </c>
      <c r="H206" s="101">
        <f t="shared" si="6"/>
        <v>5.0255382529044166</v>
      </c>
      <c r="I206" s="102" t="str">
        <f t="shared" si="7"/>
        <v/>
      </c>
    </row>
    <row r="207" spans="1:9" ht="13" x14ac:dyDescent="0.15">
      <c r="A207" s="257" t="s">
        <v>317</v>
      </c>
      <c r="B207" s="257">
        <v>31</v>
      </c>
      <c r="C207" s="387">
        <v>0.9782893303313196</v>
      </c>
      <c r="D207" s="257">
        <v>228</v>
      </c>
      <c r="E207" s="257">
        <v>29</v>
      </c>
      <c r="F207" s="257">
        <v>20</v>
      </c>
      <c r="G207" s="257">
        <v>2</v>
      </c>
      <c r="H207" s="101">
        <f t="shared" si="6"/>
        <v>5.0277862722463293</v>
      </c>
      <c r="I207" s="102" t="str">
        <f t="shared" si="7"/>
        <v/>
      </c>
    </row>
    <row r="208" spans="1:9" ht="13" x14ac:dyDescent="0.15">
      <c r="A208" s="257" t="s">
        <v>317</v>
      </c>
      <c r="B208" s="257">
        <v>31</v>
      </c>
      <c r="C208" s="387">
        <v>0.97826531643178849</v>
      </c>
      <c r="D208" s="257">
        <v>230</v>
      </c>
      <c r="E208" s="257">
        <v>29</v>
      </c>
      <c r="F208" s="257">
        <v>20</v>
      </c>
      <c r="G208" s="257">
        <v>2</v>
      </c>
      <c r="H208" s="101">
        <f t="shared" si="6"/>
        <v>5.0276628560435128</v>
      </c>
      <c r="I208" s="102" t="str">
        <f t="shared" si="7"/>
        <v/>
      </c>
    </row>
    <row r="209" spans="1:9" ht="13" x14ac:dyDescent="0.15">
      <c r="A209" s="257" t="s">
        <v>317</v>
      </c>
      <c r="B209" s="257">
        <v>31</v>
      </c>
      <c r="C209" s="387">
        <v>0.97807686587785891</v>
      </c>
      <c r="D209" s="257">
        <v>231</v>
      </c>
      <c r="E209" s="257">
        <v>29</v>
      </c>
      <c r="F209" s="257">
        <v>20</v>
      </c>
      <c r="G209" s="257">
        <v>2</v>
      </c>
      <c r="H209" s="101">
        <f t="shared" si="6"/>
        <v>5.0266943397992199</v>
      </c>
      <c r="I209" s="102" t="str">
        <f t="shared" si="7"/>
        <v/>
      </c>
    </row>
    <row r="210" spans="1:9" ht="13" x14ac:dyDescent="0.15">
      <c r="A210" s="257" t="s">
        <v>318</v>
      </c>
      <c r="B210" s="257">
        <v>32</v>
      </c>
      <c r="C210" s="387">
        <v>0.98398612957465681</v>
      </c>
      <c r="D210" s="257">
        <v>1</v>
      </c>
      <c r="E210" s="257">
        <v>1</v>
      </c>
      <c r="F210" s="257">
        <v>1</v>
      </c>
      <c r="G210" s="257">
        <v>3</v>
      </c>
      <c r="H210" s="101">
        <f t="shared" si="6"/>
        <v>5.0570642047999774</v>
      </c>
      <c r="I210" s="102" t="str">
        <f t="shared" si="7"/>
        <v/>
      </c>
    </row>
    <row r="211" spans="1:9" ht="13" x14ac:dyDescent="0.15">
      <c r="A211" s="257" t="s">
        <v>318</v>
      </c>
      <c r="B211" s="257">
        <v>32</v>
      </c>
      <c r="C211" s="387">
        <v>0.98350145539244616</v>
      </c>
      <c r="D211" s="257">
        <v>3</v>
      </c>
      <c r="E211" s="257">
        <v>1</v>
      </c>
      <c r="F211" s="257">
        <v>1</v>
      </c>
      <c r="G211" s="257">
        <v>3</v>
      </c>
      <c r="H211" s="101">
        <f t="shared" si="6"/>
        <v>5.0545732871089859</v>
      </c>
      <c r="I211" s="102" t="str">
        <f t="shared" si="7"/>
        <v/>
      </c>
    </row>
    <row r="212" spans="1:9" ht="13" x14ac:dyDescent="0.15">
      <c r="A212" s="257" t="s">
        <v>318</v>
      </c>
      <c r="B212" s="257">
        <v>32</v>
      </c>
      <c r="C212" s="387">
        <v>0.98236103683309439</v>
      </c>
      <c r="D212" s="257">
        <v>6</v>
      </c>
      <c r="E212" s="257">
        <v>1</v>
      </c>
      <c r="F212" s="257">
        <v>1</v>
      </c>
      <c r="G212" s="257">
        <v>3</v>
      </c>
      <c r="H212" s="101">
        <f t="shared" si="6"/>
        <v>5.0487122594972647</v>
      </c>
      <c r="I212" s="102" t="str">
        <f t="shared" si="7"/>
        <v/>
      </c>
    </row>
    <row r="213" spans="1:9" ht="13" x14ac:dyDescent="0.15">
      <c r="A213" s="257" t="s">
        <v>318</v>
      </c>
      <c r="B213" s="257">
        <v>32</v>
      </c>
      <c r="C213" s="387">
        <v>0.98379430161516224</v>
      </c>
      <c r="D213" s="257">
        <v>7</v>
      </c>
      <c r="E213" s="257">
        <v>1</v>
      </c>
      <c r="F213" s="257">
        <v>1</v>
      </c>
      <c r="G213" s="257">
        <v>3</v>
      </c>
      <c r="H213" s="101">
        <f t="shared" si="6"/>
        <v>5.0560783308346009</v>
      </c>
      <c r="I213" s="102" t="str">
        <f t="shared" si="7"/>
        <v/>
      </c>
    </row>
    <row r="214" spans="1:9" ht="13" x14ac:dyDescent="0.15">
      <c r="A214" s="257" t="s">
        <v>318</v>
      </c>
      <c r="B214" s="257">
        <v>32</v>
      </c>
      <c r="C214" s="387">
        <v>0.98156429646558063</v>
      </c>
      <c r="D214" s="257">
        <v>210</v>
      </c>
      <c r="E214" s="257">
        <v>27</v>
      </c>
      <c r="F214" s="257">
        <v>19</v>
      </c>
      <c r="G214" s="257">
        <v>3</v>
      </c>
      <c r="H214" s="101">
        <f t="shared" si="6"/>
        <v>5.044617519671192</v>
      </c>
      <c r="I214" s="102" t="str">
        <f t="shared" si="7"/>
        <v/>
      </c>
    </row>
    <row r="215" spans="1:9" ht="13" x14ac:dyDescent="0.15">
      <c r="A215" s="257" t="s">
        <v>318</v>
      </c>
      <c r="B215" s="257">
        <v>32</v>
      </c>
      <c r="C215" s="387">
        <v>0.98273550503122042</v>
      </c>
      <c r="D215" s="257">
        <v>211</v>
      </c>
      <c r="E215" s="257">
        <v>27</v>
      </c>
      <c r="F215" s="257">
        <v>19</v>
      </c>
      <c r="G215" s="257">
        <v>3</v>
      </c>
      <c r="H215" s="101">
        <f t="shared" si="6"/>
        <v>5.0506367883739038</v>
      </c>
      <c r="I215" s="102" t="str">
        <f t="shared" si="7"/>
        <v/>
      </c>
    </row>
    <row r="216" spans="1:9" ht="13" x14ac:dyDescent="0.15">
      <c r="A216" s="257" t="s">
        <v>318</v>
      </c>
      <c r="B216" s="257">
        <v>32</v>
      </c>
      <c r="C216" s="387">
        <v>0.98219876425531949</v>
      </c>
      <c r="D216" s="257">
        <v>214</v>
      </c>
      <c r="E216" s="257">
        <v>27</v>
      </c>
      <c r="F216" s="257">
        <v>19</v>
      </c>
      <c r="G216" s="257">
        <v>3</v>
      </c>
      <c r="H216" s="101">
        <f t="shared" si="6"/>
        <v>5.0478782814361711</v>
      </c>
      <c r="I216" s="102" t="str">
        <f t="shared" si="7"/>
        <v/>
      </c>
    </row>
    <row r="217" spans="1:9" ht="13" x14ac:dyDescent="0.15">
      <c r="A217" s="257" t="s">
        <v>318</v>
      </c>
      <c r="B217" s="257">
        <v>32</v>
      </c>
      <c r="C217" s="387">
        <v>0.9826738788367505</v>
      </c>
      <c r="D217" s="257">
        <v>216</v>
      </c>
      <c r="E217" s="257">
        <v>27</v>
      </c>
      <c r="F217" s="257">
        <v>19</v>
      </c>
      <c r="G217" s="257">
        <v>3</v>
      </c>
      <c r="H217" s="101">
        <f t="shared" si="6"/>
        <v>5.0503200688462959</v>
      </c>
      <c r="I217" s="102" t="str">
        <f t="shared" si="7"/>
        <v/>
      </c>
    </row>
    <row r="218" spans="1:9" ht="13" x14ac:dyDescent="0.15">
      <c r="A218" s="257" t="s">
        <v>319</v>
      </c>
      <c r="B218" s="257">
        <v>33</v>
      </c>
      <c r="C218" s="387">
        <v>0.97767289742123642</v>
      </c>
      <c r="D218" s="257">
        <v>1</v>
      </c>
      <c r="E218" s="257">
        <v>1</v>
      </c>
      <c r="F218" s="257">
        <v>1</v>
      </c>
      <c r="G218" s="257">
        <v>4</v>
      </c>
      <c r="H218" s="101">
        <f t="shared" si="6"/>
        <v>5.0246181983166798</v>
      </c>
      <c r="I218" s="102" t="str">
        <f t="shared" si="7"/>
        <v/>
      </c>
    </row>
    <row r="219" spans="1:9" ht="13" x14ac:dyDescent="0.15">
      <c r="A219" s="257" t="s">
        <v>319</v>
      </c>
      <c r="B219" s="257">
        <v>33</v>
      </c>
      <c r="C219" s="387">
        <v>0.97743029091824862</v>
      </c>
      <c r="D219" s="257">
        <v>4</v>
      </c>
      <c r="E219" s="257">
        <v>1</v>
      </c>
      <c r="F219" s="257">
        <v>1</v>
      </c>
      <c r="G219" s="257">
        <v>4</v>
      </c>
      <c r="H219" s="101">
        <f t="shared" si="6"/>
        <v>5.0233713548650938</v>
      </c>
      <c r="I219" s="102" t="str">
        <f t="shared" si="7"/>
        <v/>
      </c>
    </row>
    <row r="220" spans="1:9" ht="13" x14ac:dyDescent="0.15">
      <c r="A220" s="257" t="s">
        <v>319</v>
      </c>
      <c r="B220" s="257">
        <v>33</v>
      </c>
      <c r="C220" s="387">
        <v>0.97731031745680086</v>
      </c>
      <c r="D220" s="257">
        <v>5</v>
      </c>
      <c r="E220" s="257">
        <v>1</v>
      </c>
      <c r="F220" s="257">
        <v>1</v>
      </c>
      <c r="G220" s="257">
        <v>4</v>
      </c>
      <c r="H220" s="101">
        <f t="shared" si="6"/>
        <v>5.0227547674161679</v>
      </c>
      <c r="I220" s="102" t="str">
        <f t="shared" si="7"/>
        <v/>
      </c>
    </row>
    <row r="221" spans="1:9" ht="13" x14ac:dyDescent="0.15">
      <c r="A221" s="257" t="s">
        <v>319</v>
      </c>
      <c r="B221" s="257">
        <v>33</v>
      </c>
      <c r="C221" s="387">
        <v>0.97768109520961599</v>
      </c>
      <c r="D221" s="257">
        <v>8</v>
      </c>
      <c r="E221" s="257">
        <v>1</v>
      </c>
      <c r="F221" s="257">
        <v>1</v>
      </c>
      <c r="G221" s="257">
        <v>4</v>
      </c>
      <c r="H221" s="101">
        <f t="shared" si="6"/>
        <v>5.0246603297461041</v>
      </c>
      <c r="I221" s="102" t="str">
        <f t="shared" si="7"/>
        <v/>
      </c>
    </row>
    <row r="222" spans="1:9" ht="13" x14ac:dyDescent="0.15">
      <c r="A222" s="257" t="s">
        <v>319</v>
      </c>
      <c r="B222" s="257">
        <v>33</v>
      </c>
      <c r="C222" s="387">
        <v>0.97464534900793054</v>
      </c>
      <c r="D222" s="257">
        <v>193</v>
      </c>
      <c r="E222" s="257">
        <v>25</v>
      </c>
      <c r="F222" s="257">
        <v>18</v>
      </c>
      <c r="G222" s="257">
        <v>2</v>
      </c>
      <c r="H222" s="101">
        <f t="shared" si="6"/>
        <v>5.0090585209502452</v>
      </c>
      <c r="I222" s="102" t="str">
        <f t="shared" si="7"/>
        <v/>
      </c>
    </row>
    <row r="223" spans="1:9" ht="13" x14ac:dyDescent="0.15">
      <c r="A223" s="257" t="s">
        <v>319</v>
      </c>
      <c r="B223" s="257">
        <v>33</v>
      </c>
      <c r="C223" s="387">
        <v>0.97599736062618125</v>
      </c>
      <c r="D223" s="257">
        <v>196</v>
      </c>
      <c r="E223" s="257">
        <v>25</v>
      </c>
      <c r="F223" s="257">
        <v>18</v>
      </c>
      <c r="G223" s="257">
        <v>2</v>
      </c>
      <c r="H223" s="101">
        <f t="shared" si="6"/>
        <v>5.0160070025940717</v>
      </c>
      <c r="I223" s="102" t="str">
        <f t="shared" si="7"/>
        <v/>
      </c>
    </row>
    <row r="224" spans="1:9" ht="13" x14ac:dyDescent="0.15">
      <c r="A224" s="257" t="s">
        <v>319</v>
      </c>
      <c r="B224" s="257">
        <v>33</v>
      </c>
      <c r="C224" s="387">
        <v>0.97655901223107877</v>
      </c>
      <c r="D224" s="257">
        <v>198</v>
      </c>
      <c r="E224" s="257">
        <v>25</v>
      </c>
      <c r="F224" s="257">
        <v>18</v>
      </c>
      <c r="G224" s="257">
        <v>2</v>
      </c>
      <c r="H224" s="101">
        <f t="shared" si="6"/>
        <v>5.0188935353828255</v>
      </c>
      <c r="I224" s="102" t="str">
        <f t="shared" si="7"/>
        <v/>
      </c>
    </row>
    <row r="225" spans="1:9" ht="13" x14ac:dyDescent="0.15">
      <c r="A225" s="257" t="s">
        <v>319</v>
      </c>
      <c r="B225" s="257">
        <v>33</v>
      </c>
      <c r="C225" s="387">
        <v>0.97604117415032199</v>
      </c>
      <c r="D225" s="257">
        <v>199</v>
      </c>
      <c r="E225" s="257">
        <v>25</v>
      </c>
      <c r="F225" s="257">
        <v>18</v>
      </c>
      <c r="G225" s="257">
        <v>2</v>
      </c>
      <c r="H225" s="101">
        <f t="shared" si="6"/>
        <v>5.0162321763012603</v>
      </c>
      <c r="I225" s="102" t="str">
        <f t="shared" si="7"/>
        <v/>
      </c>
    </row>
    <row r="226" spans="1:9" ht="13" x14ac:dyDescent="0.15">
      <c r="A226" s="257" t="s">
        <v>320</v>
      </c>
      <c r="B226" s="257">
        <v>34</v>
      </c>
      <c r="C226" s="387">
        <v>0.97951305309195857</v>
      </c>
      <c r="D226" s="257">
        <v>2</v>
      </c>
      <c r="E226" s="257">
        <v>1</v>
      </c>
      <c r="F226" s="257">
        <v>1</v>
      </c>
      <c r="G226" s="257">
        <v>7</v>
      </c>
      <c r="H226" s="101">
        <f t="shared" si="6"/>
        <v>5.0340754305824342</v>
      </c>
      <c r="I226" s="102" t="str">
        <f t="shared" si="7"/>
        <v/>
      </c>
    </row>
    <row r="227" spans="1:9" ht="13" x14ac:dyDescent="0.15">
      <c r="A227" s="257" t="s">
        <v>320</v>
      </c>
      <c r="B227" s="257">
        <v>34</v>
      </c>
      <c r="C227" s="387">
        <v>0.98029912241432215</v>
      </c>
      <c r="D227" s="257">
        <v>4</v>
      </c>
      <c r="E227" s="257">
        <v>1</v>
      </c>
      <c r="F227" s="257">
        <v>1</v>
      </c>
      <c r="G227" s="257">
        <v>7</v>
      </c>
      <c r="H227" s="101">
        <f t="shared" si="6"/>
        <v>5.0381153280089714</v>
      </c>
      <c r="I227" s="102" t="str">
        <f t="shared" si="7"/>
        <v/>
      </c>
    </row>
    <row r="228" spans="1:9" ht="13" x14ac:dyDescent="0.15">
      <c r="A228" s="257" t="s">
        <v>320</v>
      </c>
      <c r="B228" s="257">
        <v>34</v>
      </c>
      <c r="C228" s="387">
        <v>0.979434172125069</v>
      </c>
      <c r="D228" s="257">
        <v>6</v>
      </c>
      <c r="E228" s="257">
        <v>1</v>
      </c>
      <c r="F228" s="257">
        <v>1</v>
      </c>
      <c r="G228" s="257">
        <v>7</v>
      </c>
      <c r="H228" s="101">
        <f t="shared" si="6"/>
        <v>5.0336700324755839</v>
      </c>
      <c r="I228" s="102" t="str">
        <f t="shared" si="7"/>
        <v/>
      </c>
    </row>
    <row r="229" spans="1:9" ht="13" x14ac:dyDescent="0.15">
      <c r="A229" s="257" t="s">
        <v>320</v>
      </c>
      <c r="B229" s="257">
        <v>34</v>
      </c>
      <c r="C229" s="387">
        <v>0.97783237953429403</v>
      </c>
      <c r="D229" s="257">
        <v>8</v>
      </c>
      <c r="E229" s="257">
        <v>1</v>
      </c>
      <c r="F229" s="257">
        <v>1</v>
      </c>
      <c r="G229" s="257">
        <v>7</v>
      </c>
      <c r="H229" s="101">
        <f t="shared" si="6"/>
        <v>5.0254378351601359</v>
      </c>
      <c r="I229" s="102" t="str">
        <f t="shared" si="7"/>
        <v/>
      </c>
    </row>
    <row r="230" spans="1:9" ht="13" x14ac:dyDescent="0.15">
      <c r="A230" s="257" t="s">
        <v>320</v>
      </c>
      <c r="B230" s="257">
        <v>34</v>
      </c>
      <c r="C230" s="387">
        <v>0.97594654498127331</v>
      </c>
      <c r="D230" s="257">
        <v>201</v>
      </c>
      <c r="E230" s="257">
        <v>26</v>
      </c>
      <c r="F230" s="257">
        <v>18</v>
      </c>
      <c r="G230" s="257">
        <v>2</v>
      </c>
      <c r="H230" s="101">
        <f t="shared" si="6"/>
        <v>5.0157458424301389</v>
      </c>
      <c r="I230" s="102" t="str">
        <f t="shared" si="7"/>
        <v/>
      </c>
    </row>
    <row r="231" spans="1:9" ht="13" x14ac:dyDescent="0.15">
      <c r="A231" s="257" t="s">
        <v>320</v>
      </c>
      <c r="B231" s="257">
        <v>34</v>
      </c>
      <c r="C231" s="387">
        <v>0.97593007374215823</v>
      </c>
      <c r="D231" s="257">
        <v>204</v>
      </c>
      <c r="E231" s="257">
        <v>26</v>
      </c>
      <c r="F231" s="257">
        <v>18</v>
      </c>
      <c r="G231" s="257">
        <v>2</v>
      </c>
      <c r="H231" s="101">
        <f t="shared" si="6"/>
        <v>5.0156611907148001</v>
      </c>
      <c r="I231" s="102" t="str">
        <f t="shared" si="7"/>
        <v/>
      </c>
    </row>
    <row r="232" spans="1:9" ht="13" x14ac:dyDescent="0.15">
      <c r="A232" s="257" t="s">
        <v>320</v>
      </c>
      <c r="B232" s="257">
        <v>34</v>
      </c>
      <c r="C232" s="387">
        <v>0.97731031302889415</v>
      </c>
      <c r="D232" s="257">
        <v>206</v>
      </c>
      <c r="E232" s="257">
        <v>26</v>
      </c>
      <c r="F232" s="257">
        <v>18</v>
      </c>
      <c r="G232" s="257">
        <v>2</v>
      </c>
      <c r="H232" s="101">
        <f t="shared" si="6"/>
        <v>5.0227547446595375</v>
      </c>
      <c r="I232" s="102" t="str">
        <f t="shared" si="7"/>
        <v/>
      </c>
    </row>
    <row r="233" spans="1:9" ht="13" x14ac:dyDescent="0.15">
      <c r="A233" s="257" t="s">
        <v>320</v>
      </c>
      <c r="B233" s="257">
        <v>34</v>
      </c>
      <c r="C233" s="387">
        <v>0.97616537436507966</v>
      </c>
      <c r="D233" s="257">
        <v>207</v>
      </c>
      <c r="E233" s="257">
        <v>26</v>
      </c>
      <c r="F233" s="257">
        <v>18</v>
      </c>
      <c r="G233" s="257">
        <v>2</v>
      </c>
      <c r="H233" s="101">
        <f t="shared" si="6"/>
        <v>5.016870486579629</v>
      </c>
      <c r="I233" s="102" t="str">
        <f t="shared" si="7"/>
        <v/>
      </c>
    </row>
    <row r="234" spans="1:9" ht="13" x14ac:dyDescent="0.15">
      <c r="A234" s="257" t="s">
        <v>321</v>
      </c>
      <c r="B234" s="257">
        <v>35</v>
      </c>
      <c r="C234" s="387">
        <v>0.97805623859084123</v>
      </c>
      <c r="D234" s="257">
        <v>89</v>
      </c>
      <c r="E234" s="257">
        <v>12</v>
      </c>
      <c r="F234" s="257">
        <v>8</v>
      </c>
      <c r="G234" s="257">
        <v>4</v>
      </c>
      <c r="H234" s="101">
        <f t="shared" si="6"/>
        <v>5.0265883286353583</v>
      </c>
      <c r="I234" s="102" t="str">
        <f t="shared" si="7"/>
        <v/>
      </c>
    </row>
    <row r="235" spans="1:9" ht="13" x14ac:dyDescent="0.15">
      <c r="A235" s="257" t="s">
        <v>321</v>
      </c>
      <c r="B235" s="257">
        <v>35</v>
      </c>
      <c r="C235" s="387">
        <v>0.97833728894756333</v>
      </c>
      <c r="D235" s="257">
        <v>92</v>
      </c>
      <c r="E235" s="257">
        <v>12</v>
      </c>
      <c r="F235" s="257">
        <v>8</v>
      </c>
      <c r="G235" s="257">
        <v>4</v>
      </c>
      <c r="H235" s="101">
        <f t="shared" si="6"/>
        <v>5.0280327490961838</v>
      </c>
      <c r="I235" s="102" t="str">
        <f t="shared" si="7"/>
        <v/>
      </c>
    </row>
    <row r="236" spans="1:9" ht="13" x14ac:dyDescent="0.15">
      <c r="A236" s="257" t="s">
        <v>321</v>
      </c>
      <c r="B236" s="257">
        <v>35</v>
      </c>
      <c r="C236" s="387">
        <v>0.97832738420537713</v>
      </c>
      <c r="D236" s="257">
        <v>93</v>
      </c>
      <c r="E236" s="257">
        <v>12</v>
      </c>
      <c r="F236" s="257">
        <v>8</v>
      </c>
      <c r="G236" s="257">
        <v>4</v>
      </c>
      <c r="H236" s="101">
        <f t="shared" si="6"/>
        <v>5.0279818450075364</v>
      </c>
      <c r="I236" s="102" t="str">
        <f t="shared" si="7"/>
        <v/>
      </c>
    </row>
    <row r="237" spans="1:9" ht="13" x14ac:dyDescent="0.15">
      <c r="A237" s="257" t="s">
        <v>321</v>
      </c>
      <c r="B237" s="257">
        <v>35</v>
      </c>
      <c r="C237" s="387">
        <v>0.97922685902466799</v>
      </c>
      <c r="D237" s="257">
        <v>96</v>
      </c>
      <c r="E237" s="257">
        <v>12</v>
      </c>
      <c r="F237" s="257">
        <v>8</v>
      </c>
      <c r="G237" s="257">
        <v>4</v>
      </c>
      <c r="H237" s="101">
        <f t="shared" si="6"/>
        <v>5.0326045747138188</v>
      </c>
      <c r="I237" s="102" t="str">
        <f t="shared" si="7"/>
        <v/>
      </c>
    </row>
    <row r="238" spans="1:9" ht="13" x14ac:dyDescent="0.15">
      <c r="A238" s="257" t="s">
        <v>321</v>
      </c>
      <c r="B238" s="257">
        <v>35</v>
      </c>
      <c r="C238" s="387">
        <v>0.9768591686495437</v>
      </c>
      <c r="D238" s="257">
        <v>122</v>
      </c>
      <c r="E238" s="257">
        <v>16</v>
      </c>
      <c r="F238" s="257">
        <v>12</v>
      </c>
      <c r="G238" s="257">
        <v>4</v>
      </c>
      <c r="H238" s="101">
        <f t="shared" si="6"/>
        <v>5.0204361488750662</v>
      </c>
      <c r="I238" s="102" t="str">
        <f t="shared" si="7"/>
        <v/>
      </c>
    </row>
    <row r="239" spans="1:9" ht="13" x14ac:dyDescent="0.15">
      <c r="A239" s="257" t="s">
        <v>321</v>
      </c>
      <c r="B239" s="257">
        <v>35</v>
      </c>
      <c r="C239" s="387">
        <v>0.97717840588755578</v>
      </c>
      <c r="D239" s="257">
        <v>124</v>
      </c>
      <c r="E239" s="257">
        <v>16</v>
      </c>
      <c r="F239" s="257">
        <v>12</v>
      </c>
      <c r="G239" s="257">
        <v>4</v>
      </c>
      <c r="H239" s="101">
        <f t="shared" si="6"/>
        <v>5.022076825669858</v>
      </c>
      <c r="I239" s="102" t="str">
        <f t="shared" si="7"/>
        <v/>
      </c>
    </row>
    <row r="240" spans="1:9" ht="13" x14ac:dyDescent="0.15">
      <c r="A240" s="257" t="s">
        <v>321</v>
      </c>
      <c r="B240" s="257">
        <v>35</v>
      </c>
      <c r="C240" s="387">
        <v>0.97736519385085474</v>
      </c>
      <c r="D240" s="257">
        <v>126</v>
      </c>
      <c r="E240" s="257">
        <v>16</v>
      </c>
      <c r="F240" s="257">
        <v>12</v>
      </c>
      <c r="G240" s="257">
        <v>4</v>
      </c>
      <c r="H240" s="101">
        <f t="shared" si="6"/>
        <v>5.0230367972534973</v>
      </c>
      <c r="I240" s="102" t="str">
        <f t="shared" si="7"/>
        <v/>
      </c>
    </row>
    <row r="241" spans="1:9" ht="13" x14ac:dyDescent="0.15">
      <c r="A241" s="257" t="s">
        <v>321</v>
      </c>
      <c r="B241" s="257">
        <v>35</v>
      </c>
      <c r="C241" s="387">
        <v>0.97725666883422968</v>
      </c>
      <c r="D241" s="257">
        <v>128</v>
      </c>
      <c r="E241" s="257">
        <v>16</v>
      </c>
      <c r="F241" s="257">
        <v>12</v>
      </c>
      <c r="G241" s="257">
        <v>4</v>
      </c>
      <c r="H241" s="101">
        <f t="shared" si="6"/>
        <v>5.022479047545036</v>
      </c>
      <c r="I241" s="102" t="str">
        <f t="shared" si="7"/>
        <v/>
      </c>
    </row>
    <row r="242" spans="1:9" ht="13" x14ac:dyDescent="0.15">
      <c r="A242" s="257" t="s">
        <v>322</v>
      </c>
      <c r="B242" s="257">
        <v>36</v>
      </c>
      <c r="C242" s="387">
        <v>0.98231732447939313</v>
      </c>
      <c r="D242" s="257">
        <v>98</v>
      </c>
      <c r="E242" s="257">
        <v>13</v>
      </c>
      <c r="F242" s="257">
        <v>9</v>
      </c>
      <c r="G242" s="257">
        <v>7</v>
      </c>
      <c r="H242" s="101">
        <f t="shared" si="6"/>
        <v>5.0484876057419257</v>
      </c>
      <c r="I242" s="102" t="str">
        <f t="shared" si="7"/>
        <v/>
      </c>
    </row>
    <row r="243" spans="1:9" ht="13" x14ac:dyDescent="0.15">
      <c r="A243" s="257" t="s">
        <v>322</v>
      </c>
      <c r="B243" s="257">
        <v>36</v>
      </c>
      <c r="C243" s="387">
        <v>0.98257070833621807</v>
      </c>
      <c r="D243" s="257">
        <v>100</v>
      </c>
      <c r="E243" s="257">
        <v>13</v>
      </c>
      <c r="F243" s="257">
        <v>9</v>
      </c>
      <c r="G243" s="257">
        <v>7</v>
      </c>
      <c r="H243" s="101">
        <f t="shared" si="6"/>
        <v>5.049789837952229</v>
      </c>
      <c r="I243" s="102" t="str">
        <f t="shared" si="7"/>
        <v/>
      </c>
    </row>
    <row r="244" spans="1:9" ht="13" x14ac:dyDescent="0.15">
      <c r="A244" s="257" t="s">
        <v>322</v>
      </c>
      <c r="B244" s="257">
        <v>36</v>
      </c>
      <c r="C244" s="387">
        <v>0.98324968924954037</v>
      </c>
      <c r="D244" s="257">
        <v>102</v>
      </c>
      <c r="E244" s="257">
        <v>13</v>
      </c>
      <c r="F244" s="257">
        <v>9</v>
      </c>
      <c r="G244" s="257">
        <v>7</v>
      </c>
      <c r="H244" s="101">
        <f t="shared" si="6"/>
        <v>5.0532793689215207</v>
      </c>
      <c r="I244" s="102" t="str">
        <f t="shared" si="7"/>
        <v/>
      </c>
    </row>
    <row r="245" spans="1:9" ht="13" x14ac:dyDescent="0.15">
      <c r="A245" s="257" t="s">
        <v>322</v>
      </c>
      <c r="B245" s="257">
        <v>36</v>
      </c>
      <c r="C245" s="387">
        <v>0.98348145990748048</v>
      </c>
      <c r="D245" s="257">
        <v>104</v>
      </c>
      <c r="E245" s="257">
        <v>13</v>
      </c>
      <c r="F245" s="257">
        <v>9</v>
      </c>
      <c r="G245" s="257">
        <v>7</v>
      </c>
      <c r="H245" s="101">
        <f t="shared" si="6"/>
        <v>5.0544705230066898</v>
      </c>
      <c r="I245" s="102" t="str">
        <f t="shared" si="7"/>
        <v/>
      </c>
    </row>
    <row r="246" spans="1:9" ht="13" x14ac:dyDescent="0.15">
      <c r="A246" s="257" t="s">
        <v>322</v>
      </c>
      <c r="B246" s="257">
        <v>36</v>
      </c>
      <c r="C246" s="387">
        <v>0.98081764673811611</v>
      </c>
      <c r="D246" s="257">
        <v>162</v>
      </c>
      <c r="E246" s="257">
        <v>21</v>
      </c>
      <c r="F246" s="257">
        <v>15</v>
      </c>
      <c r="G246" s="257">
        <v>5</v>
      </c>
      <c r="H246" s="101">
        <f t="shared" si="6"/>
        <v>5.0407802139442124</v>
      </c>
      <c r="I246" s="102" t="str">
        <f t="shared" si="7"/>
        <v/>
      </c>
    </row>
    <row r="247" spans="1:9" ht="13" x14ac:dyDescent="0.15">
      <c r="A247" s="257" t="s">
        <v>322</v>
      </c>
      <c r="B247" s="257">
        <v>36</v>
      </c>
      <c r="C247" s="387">
        <v>0.98133184130480455</v>
      </c>
      <c r="D247" s="257">
        <v>163</v>
      </c>
      <c r="E247" s="257">
        <v>21</v>
      </c>
      <c r="F247" s="257">
        <v>15</v>
      </c>
      <c r="G247" s="257">
        <v>5</v>
      </c>
      <c r="H247" s="101">
        <f t="shared" si="6"/>
        <v>5.0434228476758758</v>
      </c>
      <c r="I247" s="102" t="str">
        <f t="shared" si="7"/>
        <v/>
      </c>
    </row>
    <row r="248" spans="1:9" ht="13" x14ac:dyDescent="0.15">
      <c r="A248" s="257" t="s">
        <v>322</v>
      </c>
      <c r="B248" s="257">
        <v>36</v>
      </c>
      <c r="C248" s="387">
        <v>0.98078220301351893</v>
      </c>
      <c r="D248" s="257">
        <v>165</v>
      </c>
      <c r="E248" s="257">
        <v>21</v>
      </c>
      <c r="F248" s="257">
        <v>15</v>
      </c>
      <c r="G248" s="257">
        <v>5</v>
      </c>
      <c r="H248" s="101">
        <f t="shared" si="6"/>
        <v>5.0405980556946623</v>
      </c>
      <c r="I248" s="102" t="str">
        <f t="shared" si="7"/>
        <v/>
      </c>
    </row>
    <row r="249" spans="1:9" ht="13" x14ac:dyDescent="0.15">
      <c r="A249" s="257" t="s">
        <v>322</v>
      </c>
      <c r="B249" s="257">
        <v>36</v>
      </c>
      <c r="C249" s="387">
        <v>0.98182048824163981</v>
      </c>
      <c r="D249" s="257">
        <v>167</v>
      </c>
      <c r="E249" s="257">
        <v>21</v>
      </c>
      <c r="F249" s="257">
        <v>15</v>
      </c>
      <c r="G249" s="257">
        <v>5</v>
      </c>
      <c r="H249" s="101">
        <f t="shared" si="6"/>
        <v>5.0459341828042712</v>
      </c>
      <c r="I249" s="102" t="str">
        <f t="shared" si="7"/>
        <v/>
      </c>
    </row>
    <row r="250" spans="1:9" ht="13" x14ac:dyDescent="0.15">
      <c r="A250" s="257" t="s">
        <v>323</v>
      </c>
      <c r="B250" s="257">
        <v>37</v>
      </c>
      <c r="C250" s="387">
        <v>0.97140954175416672</v>
      </c>
      <c r="D250" s="257">
        <v>73</v>
      </c>
      <c r="E250" s="257">
        <v>10</v>
      </c>
      <c r="F250" s="257">
        <v>7</v>
      </c>
      <c r="G250" s="257">
        <v>4</v>
      </c>
      <c r="H250" s="101">
        <f t="shared" si="6"/>
        <v>4.9924285253183811</v>
      </c>
      <c r="I250" s="102" t="str">
        <f t="shared" si="7"/>
        <v/>
      </c>
    </row>
    <row r="251" spans="1:9" ht="13" x14ac:dyDescent="0.15">
      <c r="A251" s="257" t="s">
        <v>323</v>
      </c>
      <c r="B251" s="257">
        <v>37</v>
      </c>
      <c r="C251" s="387">
        <v>0.97289393096566756</v>
      </c>
      <c r="D251" s="257">
        <v>76</v>
      </c>
      <c r="E251" s="257">
        <v>10</v>
      </c>
      <c r="F251" s="257">
        <v>7</v>
      </c>
      <c r="G251" s="257">
        <v>4</v>
      </c>
      <c r="H251" s="101">
        <f t="shared" si="6"/>
        <v>5.0000573437761346</v>
      </c>
      <c r="I251" s="102" t="str">
        <f t="shared" si="7"/>
        <v/>
      </c>
    </row>
    <row r="252" spans="1:9" ht="13" x14ac:dyDescent="0.15">
      <c r="A252" s="257" t="s">
        <v>323</v>
      </c>
      <c r="B252" s="257">
        <v>37</v>
      </c>
      <c r="C252" s="387">
        <v>0.97360037166259383</v>
      </c>
      <c r="D252" s="257">
        <v>77</v>
      </c>
      <c r="E252" s="257">
        <v>10</v>
      </c>
      <c r="F252" s="257">
        <v>7</v>
      </c>
      <c r="G252" s="257">
        <v>4</v>
      </c>
      <c r="H252" s="101">
        <f t="shared" si="6"/>
        <v>5.003688000605397</v>
      </c>
      <c r="I252" s="102" t="str">
        <f t="shared" si="7"/>
        <v/>
      </c>
    </row>
    <row r="253" spans="1:9" ht="13" x14ac:dyDescent="0.15">
      <c r="A253" s="257" t="s">
        <v>323</v>
      </c>
      <c r="B253" s="257">
        <v>37</v>
      </c>
      <c r="C253" s="387">
        <v>0.97296330794824115</v>
      </c>
      <c r="D253" s="257">
        <v>80</v>
      </c>
      <c r="E253" s="257">
        <v>10</v>
      </c>
      <c r="F253" s="257">
        <v>7</v>
      </c>
      <c r="G253" s="257">
        <v>4</v>
      </c>
      <c r="H253" s="101">
        <f t="shared" si="6"/>
        <v>5.0004138974354442</v>
      </c>
      <c r="I253" s="102" t="str">
        <f t="shared" si="7"/>
        <v/>
      </c>
    </row>
    <row r="254" spans="1:9" ht="13" x14ac:dyDescent="0.15">
      <c r="A254" s="257" t="s">
        <v>323</v>
      </c>
      <c r="B254" s="257">
        <v>37</v>
      </c>
      <c r="C254" s="387">
        <v>0.97150411441641915</v>
      </c>
      <c r="D254" s="257">
        <v>169</v>
      </c>
      <c r="E254" s="257">
        <v>22</v>
      </c>
      <c r="F254" s="257">
        <v>16</v>
      </c>
      <c r="G254" s="257">
        <v>2</v>
      </c>
      <c r="H254" s="101">
        <f t="shared" si="6"/>
        <v>4.9929145687804333</v>
      </c>
      <c r="I254" s="102" t="str">
        <f t="shared" si="7"/>
        <v/>
      </c>
    </row>
    <row r="255" spans="1:9" ht="13" x14ac:dyDescent="0.15">
      <c r="A255" s="257" t="s">
        <v>323</v>
      </c>
      <c r="B255" s="257">
        <v>37</v>
      </c>
      <c r="C255" s="387">
        <v>0.9716219784953759</v>
      </c>
      <c r="D255" s="257">
        <v>172</v>
      </c>
      <c r="E255" s="257">
        <v>22</v>
      </c>
      <c r="F255" s="257">
        <v>16</v>
      </c>
      <c r="G255" s="257">
        <v>2</v>
      </c>
      <c r="H255" s="101">
        <f t="shared" si="6"/>
        <v>4.9935203153421064</v>
      </c>
      <c r="I255" s="102" t="str">
        <f t="shared" si="7"/>
        <v/>
      </c>
    </row>
    <row r="256" spans="1:9" ht="13" x14ac:dyDescent="0.15">
      <c r="A256" s="257" t="s">
        <v>323</v>
      </c>
      <c r="B256" s="257">
        <v>37</v>
      </c>
      <c r="C256" s="387">
        <v>0.9721284375592637</v>
      </c>
      <c r="D256" s="257">
        <v>174</v>
      </c>
      <c r="E256" s="257">
        <v>22</v>
      </c>
      <c r="F256" s="257">
        <v>16</v>
      </c>
      <c r="G256" s="257">
        <v>2</v>
      </c>
      <c r="H256" s="101">
        <f t="shared" si="6"/>
        <v>4.9961231934988248</v>
      </c>
      <c r="I256" s="102" t="str">
        <f t="shared" si="7"/>
        <v/>
      </c>
    </row>
    <row r="257" spans="1:9" ht="13" x14ac:dyDescent="0.15">
      <c r="A257" s="257" t="s">
        <v>323</v>
      </c>
      <c r="B257" s="257">
        <v>37</v>
      </c>
      <c r="C257" s="387">
        <v>0.97171582705305737</v>
      </c>
      <c r="D257" s="257">
        <v>175</v>
      </c>
      <c r="E257" s="257">
        <v>22</v>
      </c>
      <c r="F257" s="257">
        <v>16</v>
      </c>
      <c r="G257" s="257">
        <v>2</v>
      </c>
      <c r="H257" s="101">
        <f t="shared" si="6"/>
        <v>4.9940026373662274</v>
      </c>
      <c r="I257" s="102" t="str">
        <f t="shared" si="7"/>
        <v/>
      </c>
    </row>
    <row r="258" spans="1:9" ht="13" x14ac:dyDescent="0.15">
      <c r="A258" s="257" t="s">
        <v>324</v>
      </c>
      <c r="B258" s="257">
        <v>38</v>
      </c>
      <c r="C258" s="387">
        <v>0.9894976864573064</v>
      </c>
      <c r="D258" s="257">
        <v>81</v>
      </c>
      <c r="E258" s="257">
        <v>11</v>
      </c>
      <c r="F258" s="257">
        <v>7</v>
      </c>
      <c r="G258" s="257">
        <v>3</v>
      </c>
      <c r="H258" s="101">
        <f t="shared" ref="H258:H321" si="8">IF(ISBLANK(C258),"",C258*$L$13)</f>
        <v>5.0853901091864699</v>
      </c>
      <c r="I258" s="102" t="str">
        <f t="shared" ref="I258:I321" si="9">IF(ISNUMBER(H258),IF(ABS(H258-$L$14)&gt;$M$16,"OUT",""),"")</f>
        <v/>
      </c>
    </row>
    <row r="259" spans="1:9" ht="13" x14ac:dyDescent="0.15">
      <c r="A259" s="257" t="s">
        <v>324</v>
      </c>
      <c r="B259" s="257">
        <v>38</v>
      </c>
      <c r="C259" s="387">
        <v>0.99000544495837428</v>
      </c>
      <c r="D259" s="257">
        <v>83</v>
      </c>
      <c r="E259" s="257">
        <v>11</v>
      </c>
      <c r="F259" s="257">
        <v>7</v>
      </c>
      <c r="G259" s="257">
        <v>3</v>
      </c>
      <c r="H259" s="101">
        <f t="shared" si="8"/>
        <v>5.0879996656255866</v>
      </c>
      <c r="I259" s="102" t="str">
        <f t="shared" si="9"/>
        <v/>
      </c>
    </row>
    <row r="260" spans="1:9" ht="13" x14ac:dyDescent="0.15">
      <c r="A260" s="257" t="s">
        <v>324</v>
      </c>
      <c r="B260" s="257">
        <v>38</v>
      </c>
      <c r="C260" s="387">
        <v>0.98959093303063739</v>
      </c>
      <c r="D260" s="257">
        <v>86</v>
      </c>
      <c r="E260" s="257">
        <v>11</v>
      </c>
      <c r="F260" s="257">
        <v>7</v>
      </c>
      <c r="G260" s="257">
        <v>3</v>
      </c>
      <c r="H260" s="101">
        <f t="shared" si="8"/>
        <v>5.0858693373930874</v>
      </c>
      <c r="I260" s="102" t="str">
        <f t="shared" si="9"/>
        <v/>
      </c>
    </row>
    <row r="261" spans="1:9" ht="13" x14ac:dyDescent="0.15">
      <c r="A261" s="257" t="s">
        <v>324</v>
      </c>
      <c r="B261" s="257">
        <v>38</v>
      </c>
      <c r="C261" s="387">
        <v>0.99076384849707977</v>
      </c>
      <c r="D261" s="257">
        <v>87</v>
      </c>
      <c r="E261" s="257">
        <v>11</v>
      </c>
      <c r="F261" s="257">
        <v>7</v>
      </c>
      <c r="G261" s="257">
        <v>3</v>
      </c>
      <c r="H261" s="101">
        <f t="shared" si="8"/>
        <v>5.0918973784826154</v>
      </c>
      <c r="I261" s="102" t="str">
        <f t="shared" si="9"/>
        <v/>
      </c>
    </row>
    <row r="262" spans="1:9" ht="13" x14ac:dyDescent="0.15">
      <c r="A262" s="257" t="s">
        <v>324</v>
      </c>
      <c r="B262" s="257">
        <v>38</v>
      </c>
      <c r="C262" s="387">
        <v>0.98857031744898416</v>
      </c>
      <c r="D262" s="257">
        <v>154</v>
      </c>
      <c r="E262" s="257">
        <v>20</v>
      </c>
      <c r="F262" s="257">
        <v>14</v>
      </c>
      <c r="G262" s="257">
        <v>5</v>
      </c>
      <c r="H262" s="101">
        <f t="shared" si="8"/>
        <v>5.0806240210520217</v>
      </c>
      <c r="I262" s="102" t="str">
        <f t="shared" si="9"/>
        <v/>
      </c>
    </row>
    <row r="263" spans="1:9" ht="13" x14ac:dyDescent="0.15">
      <c r="A263" s="257" t="s">
        <v>324</v>
      </c>
      <c r="B263" s="257">
        <v>38</v>
      </c>
      <c r="C263" s="387">
        <v>0.98997451352723143</v>
      </c>
      <c r="D263" s="257">
        <v>155</v>
      </c>
      <c r="E263" s="257">
        <v>20</v>
      </c>
      <c r="F263" s="257">
        <v>14</v>
      </c>
      <c r="G263" s="257">
        <v>5</v>
      </c>
      <c r="H263" s="101">
        <f t="shared" si="8"/>
        <v>5.0878406977005985</v>
      </c>
      <c r="I263" s="102" t="str">
        <f t="shared" si="9"/>
        <v/>
      </c>
    </row>
    <row r="264" spans="1:9" ht="13" x14ac:dyDescent="0.15">
      <c r="A264" s="257" t="s">
        <v>324</v>
      </c>
      <c r="B264" s="257">
        <v>38</v>
      </c>
      <c r="C264" s="387">
        <v>0.98924139346114748</v>
      </c>
      <c r="D264" s="257">
        <v>157</v>
      </c>
      <c r="E264" s="257">
        <v>20</v>
      </c>
      <c r="F264" s="257">
        <v>14</v>
      </c>
      <c r="G264" s="257">
        <v>5</v>
      </c>
      <c r="H264" s="101">
        <f t="shared" si="8"/>
        <v>5.0840729258463178</v>
      </c>
      <c r="I264" s="102" t="str">
        <f t="shared" si="9"/>
        <v/>
      </c>
    </row>
    <row r="265" spans="1:9" ht="13" x14ac:dyDescent="0.15">
      <c r="A265" s="257" t="s">
        <v>324</v>
      </c>
      <c r="B265" s="257">
        <v>38</v>
      </c>
      <c r="C265" s="387">
        <v>0.98909118139579888</v>
      </c>
      <c r="D265" s="257">
        <v>159</v>
      </c>
      <c r="E265" s="257">
        <v>20</v>
      </c>
      <c r="F265" s="257">
        <v>14</v>
      </c>
      <c r="G265" s="257">
        <v>5</v>
      </c>
      <c r="H265" s="101">
        <f t="shared" si="8"/>
        <v>5.0833009311647137</v>
      </c>
      <c r="I265" s="102" t="str">
        <f t="shared" si="9"/>
        <v/>
      </c>
    </row>
    <row r="266" spans="1:9" ht="13" x14ac:dyDescent="0.15">
      <c r="A266" s="257" t="s">
        <v>325</v>
      </c>
      <c r="B266" s="257">
        <v>39</v>
      </c>
      <c r="C266" s="387">
        <v>0.98137200497202171</v>
      </c>
      <c r="D266" s="257">
        <v>74</v>
      </c>
      <c r="E266" s="257">
        <v>10</v>
      </c>
      <c r="F266" s="257">
        <v>7</v>
      </c>
      <c r="G266" s="257">
        <v>2</v>
      </c>
      <c r="H266" s="101">
        <f t="shared" si="8"/>
        <v>5.0436292634349122</v>
      </c>
      <c r="I266" s="102" t="str">
        <f t="shared" si="9"/>
        <v/>
      </c>
    </row>
    <row r="267" spans="1:9" ht="13" x14ac:dyDescent="0.15">
      <c r="A267" s="257" t="s">
        <v>325</v>
      </c>
      <c r="B267" s="257">
        <v>39</v>
      </c>
      <c r="C267" s="387">
        <v>0.98317344143093777</v>
      </c>
      <c r="D267" s="257">
        <v>75</v>
      </c>
      <c r="E267" s="257">
        <v>10</v>
      </c>
      <c r="F267" s="257">
        <v>7</v>
      </c>
      <c r="G267" s="257">
        <v>2</v>
      </c>
      <c r="H267" s="101">
        <f t="shared" si="8"/>
        <v>5.0528875035256986</v>
      </c>
      <c r="I267" s="102" t="str">
        <f t="shared" si="9"/>
        <v/>
      </c>
    </row>
    <row r="268" spans="1:9" ht="13" x14ac:dyDescent="0.15">
      <c r="A268" s="257" t="s">
        <v>325</v>
      </c>
      <c r="B268" s="257">
        <v>39</v>
      </c>
      <c r="C268" s="387">
        <v>0.98274994238212698</v>
      </c>
      <c r="D268" s="257">
        <v>77</v>
      </c>
      <c r="E268" s="257">
        <v>10</v>
      </c>
      <c r="F268" s="257">
        <v>7</v>
      </c>
      <c r="G268" s="257">
        <v>2</v>
      </c>
      <c r="H268" s="101">
        <f t="shared" si="8"/>
        <v>5.0507109871946874</v>
      </c>
      <c r="I268" s="102" t="str">
        <f t="shared" si="9"/>
        <v/>
      </c>
    </row>
    <row r="269" spans="1:9" ht="13" x14ac:dyDescent="0.15">
      <c r="A269" s="257" t="s">
        <v>325</v>
      </c>
      <c r="B269" s="257">
        <v>39</v>
      </c>
      <c r="C269" s="387">
        <v>0.98219675973536125</v>
      </c>
      <c r="D269" s="257">
        <v>79</v>
      </c>
      <c r="E269" s="257">
        <v>10</v>
      </c>
      <c r="F269" s="257">
        <v>7</v>
      </c>
      <c r="G269" s="257">
        <v>2</v>
      </c>
      <c r="H269" s="101">
        <f t="shared" si="8"/>
        <v>5.0478679794757833</v>
      </c>
      <c r="I269" s="102" t="str">
        <f t="shared" si="9"/>
        <v/>
      </c>
    </row>
    <row r="270" spans="1:9" ht="13" x14ac:dyDescent="0.15">
      <c r="A270" s="257" t="s">
        <v>325</v>
      </c>
      <c r="B270" s="257">
        <v>39</v>
      </c>
      <c r="C270" s="387">
        <v>0.98179298720856811</v>
      </c>
      <c r="D270" s="257">
        <v>129</v>
      </c>
      <c r="E270" s="257">
        <v>17</v>
      </c>
      <c r="F270" s="257">
        <v>13</v>
      </c>
      <c r="G270" s="257">
        <v>2</v>
      </c>
      <c r="H270" s="101">
        <f t="shared" si="8"/>
        <v>5.0457928449482168</v>
      </c>
      <c r="I270" s="102" t="str">
        <f t="shared" si="9"/>
        <v/>
      </c>
    </row>
    <row r="271" spans="1:9" ht="13" x14ac:dyDescent="0.15">
      <c r="A271" s="257" t="s">
        <v>325</v>
      </c>
      <c r="B271" s="257">
        <v>39</v>
      </c>
      <c r="C271" s="387">
        <v>0.98161675214195543</v>
      </c>
      <c r="D271" s="257">
        <v>131</v>
      </c>
      <c r="E271" s="257">
        <v>17</v>
      </c>
      <c r="F271" s="257">
        <v>13</v>
      </c>
      <c r="G271" s="257">
        <v>2</v>
      </c>
      <c r="H271" s="101">
        <f t="shared" si="8"/>
        <v>5.0448871085559945</v>
      </c>
      <c r="I271" s="102" t="str">
        <f t="shared" si="9"/>
        <v/>
      </c>
    </row>
    <row r="272" spans="1:9" ht="13" x14ac:dyDescent="0.15">
      <c r="A272" s="257" t="s">
        <v>325</v>
      </c>
      <c r="B272" s="257">
        <v>39</v>
      </c>
      <c r="C272" s="387">
        <v>0.98090015192932145</v>
      </c>
      <c r="D272" s="257">
        <v>134</v>
      </c>
      <c r="E272" s="257">
        <v>17</v>
      </c>
      <c r="F272" s="257">
        <v>13</v>
      </c>
      <c r="G272" s="257">
        <v>2</v>
      </c>
      <c r="H272" s="101">
        <f t="shared" si="8"/>
        <v>5.0412042382638802</v>
      </c>
      <c r="I272" s="102" t="str">
        <f t="shared" si="9"/>
        <v/>
      </c>
    </row>
    <row r="273" spans="1:9" ht="13" x14ac:dyDescent="0.15">
      <c r="A273" s="257" t="s">
        <v>325</v>
      </c>
      <c r="B273" s="257">
        <v>39</v>
      </c>
      <c r="C273" s="387">
        <v>0.98144184277879765</v>
      </c>
      <c r="D273" s="257">
        <v>135</v>
      </c>
      <c r="E273" s="257">
        <v>17</v>
      </c>
      <c r="F273" s="257">
        <v>13</v>
      </c>
      <c r="G273" s="257">
        <v>2</v>
      </c>
      <c r="H273" s="101">
        <f t="shared" si="8"/>
        <v>5.0439881854381534</v>
      </c>
      <c r="I273" s="102" t="str">
        <f t="shared" si="9"/>
        <v/>
      </c>
    </row>
    <row r="274" spans="1:9" ht="13" x14ac:dyDescent="0.15">
      <c r="A274" s="257" t="s">
        <v>326</v>
      </c>
      <c r="B274" s="257">
        <v>40</v>
      </c>
      <c r="C274" s="387">
        <v>0.98491414269394018</v>
      </c>
      <c r="D274" s="257">
        <v>58</v>
      </c>
      <c r="E274" s="257">
        <v>8</v>
      </c>
      <c r="F274" s="257">
        <v>6</v>
      </c>
      <c r="G274" s="257">
        <v>7</v>
      </c>
      <c r="H274" s="101">
        <f t="shared" si="8"/>
        <v>5.0618336032559714</v>
      </c>
      <c r="I274" s="102" t="str">
        <f t="shared" si="9"/>
        <v/>
      </c>
    </row>
    <row r="275" spans="1:9" ht="13" x14ac:dyDescent="0.15">
      <c r="A275" s="257" t="s">
        <v>326</v>
      </c>
      <c r="B275" s="257">
        <v>40</v>
      </c>
      <c r="C275" s="387">
        <v>0.98544431965013524</v>
      </c>
      <c r="D275" s="257">
        <v>60</v>
      </c>
      <c r="E275" s="257">
        <v>8</v>
      </c>
      <c r="F275" s="257">
        <v>6</v>
      </c>
      <c r="G275" s="257">
        <v>7</v>
      </c>
      <c r="H275" s="101">
        <f t="shared" si="8"/>
        <v>5.0645583763262412</v>
      </c>
      <c r="I275" s="102" t="str">
        <f t="shared" si="9"/>
        <v/>
      </c>
    </row>
    <row r="276" spans="1:9" ht="13" x14ac:dyDescent="0.15">
      <c r="A276" s="257" t="s">
        <v>326</v>
      </c>
      <c r="B276" s="257">
        <v>40</v>
      </c>
      <c r="C276" s="387">
        <v>0.98542491971346258</v>
      </c>
      <c r="D276" s="257">
        <v>62</v>
      </c>
      <c r="E276" s="257">
        <v>8</v>
      </c>
      <c r="F276" s="257">
        <v>6</v>
      </c>
      <c r="G276" s="257">
        <v>7</v>
      </c>
      <c r="H276" s="101">
        <f t="shared" si="8"/>
        <v>5.0644586729641974</v>
      </c>
      <c r="I276" s="102" t="str">
        <f t="shared" si="9"/>
        <v/>
      </c>
    </row>
    <row r="277" spans="1:9" ht="13" x14ac:dyDescent="0.15">
      <c r="A277" s="257" t="s">
        <v>326</v>
      </c>
      <c r="B277" s="257">
        <v>40</v>
      </c>
      <c r="C277" s="387">
        <v>0.98573275784802172</v>
      </c>
      <c r="D277" s="257">
        <v>64</v>
      </c>
      <c r="E277" s="257">
        <v>8</v>
      </c>
      <c r="F277" s="257">
        <v>6</v>
      </c>
      <c r="G277" s="257">
        <v>7</v>
      </c>
      <c r="H277" s="101">
        <f t="shared" si="8"/>
        <v>5.0660407656018496</v>
      </c>
      <c r="I277" s="102" t="str">
        <f t="shared" si="9"/>
        <v/>
      </c>
    </row>
    <row r="278" spans="1:9" ht="13" x14ac:dyDescent="0.15">
      <c r="A278" s="257" t="s">
        <v>326</v>
      </c>
      <c r="B278" s="257">
        <v>40</v>
      </c>
      <c r="C278" s="387">
        <v>0.98442922213951711</v>
      </c>
      <c r="D278" s="257">
        <v>177</v>
      </c>
      <c r="E278" s="257">
        <v>23</v>
      </c>
      <c r="F278" s="257">
        <v>16</v>
      </c>
      <c r="G278" s="257">
        <v>4</v>
      </c>
      <c r="H278" s="101">
        <f t="shared" si="8"/>
        <v>5.0593414193681712</v>
      </c>
      <c r="I278" s="102" t="str">
        <f t="shared" si="9"/>
        <v/>
      </c>
    </row>
    <row r="279" spans="1:9" ht="13" x14ac:dyDescent="0.15">
      <c r="A279" s="257" t="s">
        <v>326</v>
      </c>
      <c r="B279" s="257">
        <v>40</v>
      </c>
      <c r="C279" s="387">
        <v>0.98433251960893486</v>
      </c>
      <c r="D279" s="257">
        <v>180</v>
      </c>
      <c r="E279" s="257">
        <v>23</v>
      </c>
      <c r="F279" s="257">
        <v>16</v>
      </c>
      <c r="G279" s="257">
        <v>4</v>
      </c>
      <c r="H279" s="101">
        <f t="shared" si="8"/>
        <v>5.0588444297346564</v>
      </c>
      <c r="I279" s="102" t="str">
        <f t="shared" si="9"/>
        <v/>
      </c>
    </row>
    <row r="280" spans="1:9" ht="13" x14ac:dyDescent="0.15">
      <c r="A280" s="257" t="s">
        <v>326</v>
      </c>
      <c r="B280" s="257">
        <v>40</v>
      </c>
      <c r="C280" s="387">
        <v>0.98524082834056115</v>
      </c>
      <c r="D280" s="257">
        <v>181</v>
      </c>
      <c r="E280" s="257">
        <v>23</v>
      </c>
      <c r="F280" s="257">
        <v>16</v>
      </c>
      <c r="G280" s="257">
        <v>4</v>
      </c>
      <c r="H280" s="101">
        <f t="shared" si="8"/>
        <v>5.0635125601437716</v>
      </c>
      <c r="I280" s="102" t="str">
        <f t="shared" si="9"/>
        <v/>
      </c>
    </row>
    <row r="281" spans="1:9" ht="13" x14ac:dyDescent="0.15">
      <c r="A281" s="257" t="s">
        <v>326</v>
      </c>
      <c r="B281" s="257">
        <v>40</v>
      </c>
      <c r="C281" s="387">
        <v>0.98431241202558062</v>
      </c>
      <c r="D281" s="257">
        <v>184</v>
      </c>
      <c r="E281" s="257">
        <v>23</v>
      </c>
      <c r="F281" s="257">
        <v>16</v>
      </c>
      <c r="G281" s="257">
        <v>4</v>
      </c>
      <c r="H281" s="101">
        <f t="shared" si="8"/>
        <v>5.0587410895177882</v>
      </c>
      <c r="I281" s="102" t="str">
        <f t="shared" si="9"/>
        <v/>
      </c>
    </row>
    <row r="282" spans="1:9" ht="13" x14ac:dyDescent="0.15">
      <c r="A282" s="257" t="s">
        <v>327</v>
      </c>
      <c r="B282" s="257">
        <v>41</v>
      </c>
      <c r="C282" s="387">
        <v>0.98498373466608802</v>
      </c>
      <c r="D282" s="257">
        <v>81</v>
      </c>
      <c r="E282" s="257">
        <v>11</v>
      </c>
      <c r="F282" s="257">
        <v>7</v>
      </c>
      <c r="G282" s="257">
        <v>4</v>
      </c>
      <c r="H282" s="101">
        <f t="shared" si="8"/>
        <v>5.0621912618252463</v>
      </c>
      <c r="I282" s="102" t="str">
        <f t="shared" si="9"/>
        <v/>
      </c>
    </row>
    <row r="283" spans="1:9" ht="13" x14ac:dyDescent="0.15">
      <c r="A283" s="257" t="s">
        <v>327</v>
      </c>
      <c r="B283" s="257">
        <v>41</v>
      </c>
      <c r="C283" s="387">
        <v>0.98513863043037075</v>
      </c>
      <c r="D283" s="257">
        <v>84</v>
      </c>
      <c r="E283" s="257">
        <v>11</v>
      </c>
      <c r="F283" s="257">
        <v>7</v>
      </c>
      <c r="G283" s="257">
        <v>4</v>
      </c>
      <c r="H283" s="101">
        <f t="shared" si="8"/>
        <v>5.0629873277467938</v>
      </c>
      <c r="I283" s="102" t="str">
        <f t="shared" si="9"/>
        <v/>
      </c>
    </row>
    <row r="284" spans="1:9" ht="13" x14ac:dyDescent="0.15">
      <c r="A284" s="257" t="s">
        <v>327</v>
      </c>
      <c r="B284" s="257">
        <v>41</v>
      </c>
      <c r="C284" s="387">
        <v>0.98536367075448095</v>
      </c>
      <c r="D284" s="257">
        <v>85</v>
      </c>
      <c r="E284" s="257">
        <v>11</v>
      </c>
      <c r="F284" s="257">
        <v>7</v>
      </c>
      <c r="G284" s="257">
        <v>4</v>
      </c>
      <c r="H284" s="101">
        <f t="shared" si="8"/>
        <v>5.0641438921875812</v>
      </c>
      <c r="I284" s="102" t="str">
        <f t="shared" si="9"/>
        <v/>
      </c>
    </row>
    <row r="285" spans="1:9" ht="13" x14ac:dyDescent="0.15">
      <c r="A285" s="257" t="s">
        <v>327</v>
      </c>
      <c r="B285" s="257">
        <v>41</v>
      </c>
      <c r="C285" s="387">
        <v>0.98481205053506937</v>
      </c>
      <c r="D285" s="257">
        <v>88</v>
      </c>
      <c r="E285" s="257">
        <v>11</v>
      </c>
      <c r="F285" s="257">
        <v>7</v>
      </c>
      <c r="G285" s="257">
        <v>4</v>
      </c>
      <c r="H285" s="101">
        <f t="shared" si="8"/>
        <v>5.0613089143536598</v>
      </c>
      <c r="I285" s="102" t="str">
        <f t="shared" si="9"/>
        <v/>
      </c>
    </row>
    <row r="286" spans="1:9" ht="13" x14ac:dyDescent="0.15">
      <c r="A286" s="257" t="s">
        <v>327</v>
      </c>
      <c r="B286" s="257">
        <v>41</v>
      </c>
      <c r="C286" s="387">
        <v>0.98432917096065486</v>
      </c>
      <c r="D286" s="257">
        <v>146</v>
      </c>
      <c r="E286" s="257">
        <v>19</v>
      </c>
      <c r="F286" s="257">
        <v>14</v>
      </c>
      <c r="G286" s="257">
        <v>3</v>
      </c>
      <c r="H286" s="101">
        <f t="shared" si="8"/>
        <v>5.0588272198077657</v>
      </c>
      <c r="I286" s="102" t="str">
        <f t="shared" si="9"/>
        <v/>
      </c>
    </row>
    <row r="287" spans="1:9" ht="13" x14ac:dyDescent="0.15">
      <c r="A287" s="257" t="s">
        <v>327</v>
      </c>
      <c r="B287" s="257">
        <v>41</v>
      </c>
      <c r="C287" s="387">
        <v>0.98475048208387805</v>
      </c>
      <c r="D287" s="257">
        <v>147</v>
      </c>
      <c r="E287" s="257">
        <v>19</v>
      </c>
      <c r="F287" s="257">
        <v>14</v>
      </c>
      <c r="G287" s="257">
        <v>3</v>
      </c>
      <c r="H287" s="101">
        <f t="shared" si="8"/>
        <v>5.0609924915898556</v>
      </c>
      <c r="I287" s="102" t="str">
        <f t="shared" si="9"/>
        <v/>
      </c>
    </row>
    <row r="288" spans="1:9" ht="13" x14ac:dyDescent="0.15">
      <c r="A288" s="257" t="s">
        <v>327</v>
      </c>
      <c r="B288" s="257">
        <v>41</v>
      </c>
      <c r="C288" s="387">
        <v>0.98490477865881632</v>
      </c>
      <c r="D288" s="257">
        <v>150</v>
      </c>
      <c r="E288" s="257">
        <v>19</v>
      </c>
      <c r="F288" s="257">
        <v>14</v>
      </c>
      <c r="G288" s="257">
        <v>3</v>
      </c>
      <c r="H288" s="101">
        <f t="shared" si="8"/>
        <v>5.0617854780584572</v>
      </c>
      <c r="I288" s="102" t="str">
        <f t="shared" si="9"/>
        <v/>
      </c>
    </row>
    <row r="289" spans="1:9" ht="13" x14ac:dyDescent="0.15">
      <c r="A289" s="257" t="s">
        <v>327</v>
      </c>
      <c r="B289" s="257">
        <v>41</v>
      </c>
      <c r="C289" s="387">
        <v>0.98516144840137809</v>
      </c>
      <c r="D289" s="257">
        <v>152</v>
      </c>
      <c r="E289" s="257">
        <v>19</v>
      </c>
      <c r="F289" s="257">
        <v>14</v>
      </c>
      <c r="G289" s="257">
        <v>3</v>
      </c>
      <c r="H289" s="101">
        <f t="shared" si="8"/>
        <v>5.0631045976360118</v>
      </c>
      <c r="I289" s="102" t="str">
        <f t="shared" si="9"/>
        <v/>
      </c>
    </row>
    <row r="290" spans="1:9" ht="13" x14ac:dyDescent="0.15">
      <c r="A290" s="257" t="s">
        <v>328</v>
      </c>
      <c r="B290" s="257">
        <v>42</v>
      </c>
      <c r="C290" s="387">
        <v>0.97805817894491587</v>
      </c>
      <c r="D290" s="257">
        <v>73</v>
      </c>
      <c r="E290" s="257">
        <v>10</v>
      </c>
      <c r="F290" s="257">
        <v>7</v>
      </c>
      <c r="G290" s="257">
        <v>3</v>
      </c>
      <c r="H290" s="101">
        <f t="shared" si="8"/>
        <v>5.026598300823828</v>
      </c>
      <c r="I290" s="102" t="str">
        <f t="shared" si="9"/>
        <v/>
      </c>
    </row>
    <row r="291" spans="1:9" ht="13" x14ac:dyDescent="0.15">
      <c r="A291" s="257" t="s">
        <v>328</v>
      </c>
      <c r="B291" s="257">
        <v>42</v>
      </c>
      <c r="C291" s="387">
        <v>0.97850768494096441</v>
      </c>
      <c r="D291" s="257">
        <v>75</v>
      </c>
      <c r="E291" s="257">
        <v>10</v>
      </c>
      <c r="F291" s="257">
        <v>7</v>
      </c>
      <c r="G291" s="257">
        <v>3</v>
      </c>
      <c r="H291" s="101">
        <f t="shared" si="8"/>
        <v>5.0289084763579517</v>
      </c>
      <c r="I291" s="102" t="str">
        <f t="shared" si="9"/>
        <v/>
      </c>
    </row>
    <row r="292" spans="1:9" ht="13" x14ac:dyDescent="0.15">
      <c r="A292" s="257" t="s">
        <v>328</v>
      </c>
      <c r="B292" s="257">
        <v>42</v>
      </c>
      <c r="C292" s="387">
        <v>0.97721374071005596</v>
      </c>
      <c r="D292" s="257">
        <v>78</v>
      </c>
      <c r="E292" s="257">
        <v>10</v>
      </c>
      <c r="F292" s="257">
        <v>7</v>
      </c>
      <c r="G292" s="257">
        <v>3</v>
      </c>
      <c r="H292" s="101">
        <f t="shared" si="8"/>
        <v>5.0222584242317456</v>
      </c>
      <c r="I292" s="102" t="str">
        <f t="shared" si="9"/>
        <v/>
      </c>
    </row>
    <row r="293" spans="1:9" ht="13" x14ac:dyDescent="0.15">
      <c r="A293" s="257" t="s">
        <v>328</v>
      </c>
      <c r="B293" s="257">
        <v>42</v>
      </c>
      <c r="C293" s="387">
        <v>0.97849274544099696</v>
      </c>
      <c r="D293" s="257">
        <v>79</v>
      </c>
      <c r="E293" s="257">
        <v>10</v>
      </c>
      <c r="F293" s="257">
        <v>7</v>
      </c>
      <c r="G293" s="257">
        <v>3</v>
      </c>
      <c r="H293" s="101">
        <f t="shared" si="8"/>
        <v>5.0288316968096911</v>
      </c>
      <c r="I293" s="102" t="str">
        <f t="shared" si="9"/>
        <v/>
      </c>
    </row>
    <row r="294" spans="1:9" ht="13" x14ac:dyDescent="0.15">
      <c r="A294" s="257" t="s">
        <v>328</v>
      </c>
      <c r="B294" s="257">
        <v>42</v>
      </c>
      <c r="C294" s="387">
        <v>0.98284959739888411</v>
      </c>
      <c r="D294" s="257">
        <v>153</v>
      </c>
      <c r="E294" s="257">
        <v>20</v>
      </c>
      <c r="F294" s="257">
        <v>14</v>
      </c>
      <c r="G294" s="257">
        <v>2</v>
      </c>
      <c r="H294" s="101">
        <f t="shared" si="8"/>
        <v>5.0512231507333025</v>
      </c>
      <c r="I294" s="102" t="str">
        <f t="shared" si="9"/>
        <v/>
      </c>
    </row>
    <row r="295" spans="1:9" ht="13" x14ac:dyDescent="0.15">
      <c r="A295" s="257" t="s">
        <v>328</v>
      </c>
      <c r="B295" s="257">
        <v>42</v>
      </c>
      <c r="C295" s="387">
        <v>0.98196978393831191</v>
      </c>
      <c r="D295" s="257">
        <v>156</v>
      </c>
      <c r="E295" s="257">
        <v>20</v>
      </c>
      <c r="F295" s="257">
        <v>14</v>
      </c>
      <c r="G295" s="257">
        <v>2</v>
      </c>
      <c r="H295" s="101">
        <f t="shared" si="8"/>
        <v>5.0467014679324649</v>
      </c>
      <c r="I295" s="102" t="str">
        <f t="shared" si="9"/>
        <v/>
      </c>
    </row>
    <row r="296" spans="1:9" ht="13" x14ac:dyDescent="0.15">
      <c r="A296" s="257" t="s">
        <v>328</v>
      </c>
      <c r="B296" s="257">
        <v>42</v>
      </c>
      <c r="C296" s="387">
        <v>0.98307237636736278</v>
      </c>
      <c r="D296" s="257">
        <v>158</v>
      </c>
      <c r="E296" s="257">
        <v>20</v>
      </c>
      <c r="F296" s="257">
        <v>14</v>
      </c>
      <c r="G296" s="257">
        <v>2</v>
      </c>
      <c r="H296" s="101">
        <f t="shared" si="8"/>
        <v>5.0523680932413466</v>
      </c>
      <c r="I296" s="102" t="str">
        <f t="shared" si="9"/>
        <v/>
      </c>
    </row>
    <row r="297" spans="1:9" ht="13" x14ac:dyDescent="0.15">
      <c r="A297" s="257" t="s">
        <v>328</v>
      </c>
      <c r="B297" s="257">
        <v>42</v>
      </c>
      <c r="C297" s="387">
        <v>0.98359223706404864</v>
      </c>
      <c r="D297" s="257">
        <v>159</v>
      </c>
      <c r="E297" s="257">
        <v>20</v>
      </c>
      <c r="F297" s="257">
        <v>14</v>
      </c>
      <c r="G297" s="257">
        <v>2</v>
      </c>
      <c r="H297" s="101">
        <f t="shared" si="8"/>
        <v>5.0550398472851041</v>
      </c>
      <c r="I297" s="102" t="str">
        <f t="shared" si="9"/>
        <v/>
      </c>
    </row>
    <row r="298" spans="1:9" ht="13" x14ac:dyDescent="0.15">
      <c r="A298" s="257" t="s">
        <v>329</v>
      </c>
      <c r="B298" s="257">
        <v>43</v>
      </c>
      <c r="C298" s="387">
        <v>0.97528952246262079</v>
      </c>
      <c r="D298" s="257">
        <v>97</v>
      </c>
      <c r="E298" s="257">
        <v>13</v>
      </c>
      <c r="F298" s="257">
        <v>9</v>
      </c>
      <c r="G298" s="257">
        <v>4</v>
      </c>
      <c r="H298" s="101">
        <f t="shared" si="8"/>
        <v>5.0123691636732319</v>
      </c>
      <c r="I298" s="102" t="str">
        <f t="shared" si="9"/>
        <v/>
      </c>
    </row>
    <row r="299" spans="1:9" ht="13" x14ac:dyDescent="0.15">
      <c r="A299" s="257" t="s">
        <v>329</v>
      </c>
      <c r="B299" s="257">
        <v>43</v>
      </c>
      <c r="C299" s="387">
        <v>0.97099482116061564</v>
      </c>
      <c r="D299" s="257">
        <v>100</v>
      </c>
      <c r="E299" s="257">
        <v>13</v>
      </c>
      <c r="F299" s="257">
        <v>9</v>
      </c>
      <c r="G299" s="257">
        <v>4</v>
      </c>
      <c r="H299" s="101">
        <f t="shared" si="8"/>
        <v>4.9902971246760295</v>
      </c>
      <c r="I299" s="102" t="str">
        <f t="shared" si="9"/>
        <v>OUT</v>
      </c>
    </row>
    <row r="300" spans="1:9" ht="13" x14ac:dyDescent="0.15">
      <c r="A300" s="257" t="s">
        <v>329</v>
      </c>
      <c r="B300" s="257">
        <v>43</v>
      </c>
      <c r="C300" s="387">
        <v>0.97227716998387581</v>
      </c>
      <c r="D300" s="257">
        <v>101</v>
      </c>
      <c r="E300" s="257">
        <v>13</v>
      </c>
      <c r="F300" s="257">
        <v>9</v>
      </c>
      <c r="G300" s="257">
        <v>4</v>
      </c>
      <c r="H300" s="101">
        <f t="shared" si="8"/>
        <v>4.9968875837661182</v>
      </c>
      <c r="I300" s="102" t="str">
        <f t="shared" si="9"/>
        <v/>
      </c>
    </row>
    <row r="301" spans="1:9" ht="13" x14ac:dyDescent="0.15">
      <c r="A301" s="257" t="s">
        <v>329</v>
      </c>
      <c r="B301" s="257">
        <v>43</v>
      </c>
      <c r="C301" s="387">
        <v>0.97161222222420007</v>
      </c>
      <c r="D301" s="257">
        <v>104</v>
      </c>
      <c r="E301" s="257">
        <v>13</v>
      </c>
      <c r="F301" s="257">
        <v>9</v>
      </c>
      <c r="G301" s="257">
        <v>4</v>
      </c>
      <c r="H301" s="101">
        <f t="shared" si="8"/>
        <v>4.9934701743002234</v>
      </c>
      <c r="I301" s="102" t="str">
        <f t="shared" si="9"/>
        <v/>
      </c>
    </row>
    <row r="302" spans="1:9" ht="13" x14ac:dyDescent="0.15">
      <c r="A302" s="257" t="s">
        <v>329</v>
      </c>
      <c r="B302" s="257">
        <v>43</v>
      </c>
      <c r="C302" s="387">
        <v>0.9883354268671779</v>
      </c>
      <c r="D302" s="257">
        <v>137</v>
      </c>
      <c r="E302" s="257">
        <v>18</v>
      </c>
      <c r="F302" s="257">
        <v>13</v>
      </c>
      <c r="G302" s="257">
        <v>2</v>
      </c>
      <c r="H302" s="101">
        <f t="shared" si="8"/>
        <v>5.0794168325382865</v>
      </c>
      <c r="I302" s="102" t="str">
        <f t="shared" si="9"/>
        <v/>
      </c>
    </row>
    <row r="303" spans="1:9" ht="13" x14ac:dyDescent="0.15">
      <c r="A303" s="257" t="s">
        <v>329</v>
      </c>
      <c r="B303" s="257">
        <v>43</v>
      </c>
      <c r="C303" s="387">
        <v>0.98806013618599375</v>
      </c>
      <c r="D303" s="257">
        <v>139</v>
      </c>
      <c r="E303" s="257">
        <v>18</v>
      </c>
      <c r="F303" s="257">
        <v>13</v>
      </c>
      <c r="G303" s="257">
        <v>2</v>
      </c>
      <c r="H303" s="101">
        <f t="shared" si="8"/>
        <v>5.078002013154264</v>
      </c>
      <c r="I303" s="102" t="str">
        <f t="shared" si="9"/>
        <v/>
      </c>
    </row>
    <row r="304" spans="1:9" ht="13" x14ac:dyDescent="0.15">
      <c r="A304" s="257" t="s">
        <v>329</v>
      </c>
      <c r="B304" s="257">
        <v>43</v>
      </c>
      <c r="C304" s="387">
        <v>0.987928912377108</v>
      </c>
      <c r="D304" s="257">
        <v>141</v>
      </c>
      <c r="E304" s="257">
        <v>18</v>
      </c>
      <c r="F304" s="257">
        <v>13</v>
      </c>
      <c r="G304" s="257">
        <v>2</v>
      </c>
      <c r="H304" s="101">
        <f t="shared" si="8"/>
        <v>5.0773276060597041</v>
      </c>
      <c r="I304" s="102" t="str">
        <f t="shared" si="9"/>
        <v/>
      </c>
    </row>
    <row r="305" spans="1:9" ht="13" x14ac:dyDescent="0.15">
      <c r="A305" s="257" t="s">
        <v>329</v>
      </c>
      <c r="B305" s="257">
        <v>43</v>
      </c>
      <c r="C305" s="387">
        <v>0.98780050307691136</v>
      </c>
      <c r="D305" s="257">
        <v>143</v>
      </c>
      <c r="E305" s="257">
        <v>18</v>
      </c>
      <c r="F305" s="257">
        <v>13</v>
      </c>
      <c r="G305" s="257">
        <v>2</v>
      </c>
      <c r="H305" s="101">
        <f t="shared" si="8"/>
        <v>5.0766676637535371</v>
      </c>
      <c r="I305" s="102" t="str">
        <f t="shared" si="9"/>
        <v/>
      </c>
    </row>
    <row r="306" spans="1:9" ht="13" x14ac:dyDescent="0.15">
      <c r="A306" s="257" t="s">
        <v>330</v>
      </c>
      <c r="B306" s="257">
        <v>44</v>
      </c>
      <c r="C306" s="387">
        <v>0.97223388799691202</v>
      </c>
      <c r="D306" s="257">
        <v>90</v>
      </c>
      <c r="E306" s="257">
        <v>12</v>
      </c>
      <c r="F306" s="257">
        <v>8</v>
      </c>
      <c r="G306" s="257">
        <v>2</v>
      </c>
      <c r="H306" s="101">
        <f t="shared" si="8"/>
        <v>4.996665141822672</v>
      </c>
      <c r="I306" s="102" t="str">
        <f t="shared" si="9"/>
        <v/>
      </c>
    </row>
    <row r="307" spans="1:9" ht="13" x14ac:dyDescent="0.15">
      <c r="A307" s="257" t="s">
        <v>330</v>
      </c>
      <c r="B307" s="257">
        <v>44</v>
      </c>
      <c r="C307" s="387">
        <v>0.972937028451622</v>
      </c>
      <c r="D307" s="257">
        <v>91</v>
      </c>
      <c r="E307" s="257">
        <v>12</v>
      </c>
      <c r="F307" s="257">
        <v>8</v>
      </c>
      <c r="G307" s="257">
        <v>2</v>
      </c>
      <c r="H307" s="101">
        <f t="shared" si="8"/>
        <v>5.0002788375014893</v>
      </c>
      <c r="I307" s="102" t="str">
        <f t="shared" si="9"/>
        <v/>
      </c>
    </row>
    <row r="308" spans="1:9" ht="13" x14ac:dyDescent="0.15">
      <c r="A308" s="257" t="s">
        <v>330</v>
      </c>
      <c r="B308" s="257">
        <v>44</v>
      </c>
      <c r="C308" s="387">
        <v>0.97241759676066686</v>
      </c>
      <c r="D308" s="257">
        <v>93</v>
      </c>
      <c r="E308" s="257">
        <v>12</v>
      </c>
      <c r="F308" s="257">
        <v>8</v>
      </c>
      <c r="G308" s="257">
        <v>2</v>
      </c>
      <c r="H308" s="101">
        <f t="shared" si="8"/>
        <v>4.997609288274913</v>
      </c>
      <c r="I308" s="102" t="str">
        <f t="shared" si="9"/>
        <v/>
      </c>
    </row>
    <row r="309" spans="1:9" ht="13" x14ac:dyDescent="0.15">
      <c r="A309" s="257" t="s">
        <v>330</v>
      </c>
      <c r="B309" s="257">
        <v>44</v>
      </c>
      <c r="C309" s="387">
        <v>0.97239525573695862</v>
      </c>
      <c r="D309" s="257">
        <v>95</v>
      </c>
      <c r="E309" s="257">
        <v>12</v>
      </c>
      <c r="F309" s="257">
        <v>8</v>
      </c>
      <c r="G309" s="257">
        <v>2</v>
      </c>
      <c r="H309" s="101">
        <f t="shared" si="8"/>
        <v>4.9974944695921106</v>
      </c>
      <c r="I309" s="102" t="str">
        <f t="shared" si="9"/>
        <v/>
      </c>
    </row>
    <row r="310" spans="1:9" ht="13" x14ac:dyDescent="0.15">
      <c r="A310" s="257" t="s">
        <v>330</v>
      </c>
      <c r="B310" s="257">
        <v>44</v>
      </c>
      <c r="C310" s="387">
        <v>0.96941189904694758</v>
      </c>
      <c r="D310" s="257">
        <v>161</v>
      </c>
      <c r="E310" s="257">
        <v>21</v>
      </c>
      <c r="F310" s="257">
        <v>15</v>
      </c>
      <c r="G310" s="257">
        <v>4</v>
      </c>
      <c r="H310" s="101">
        <f t="shared" si="8"/>
        <v>4.9821619096364875</v>
      </c>
      <c r="I310" s="102" t="str">
        <f t="shared" si="9"/>
        <v>OUT</v>
      </c>
    </row>
    <row r="311" spans="1:9" ht="13" x14ac:dyDescent="0.15">
      <c r="A311" s="257" t="s">
        <v>330</v>
      </c>
      <c r="B311" s="257">
        <v>44</v>
      </c>
      <c r="C311" s="387">
        <v>0.97017133840147662</v>
      </c>
      <c r="D311" s="257">
        <v>164</v>
      </c>
      <c r="E311" s="257">
        <v>21</v>
      </c>
      <c r="F311" s="257">
        <v>15</v>
      </c>
      <c r="G311" s="257">
        <v>4</v>
      </c>
      <c r="H311" s="101">
        <f t="shared" si="8"/>
        <v>4.9860649459294537</v>
      </c>
      <c r="I311" s="102" t="str">
        <f t="shared" si="9"/>
        <v>OUT</v>
      </c>
    </row>
    <row r="312" spans="1:9" ht="13" x14ac:dyDescent="0.15">
      <c r="A312" s="257" t="s">
        <v>330</v>
      </c>
      <c r="B312" s="257">
        <v>44</v>
      </c>
      <c r="C312" s="387">
        <v>0.9700142305911359</v>
      </c>
      <c r="D312" s="257">
        <v>165</v>
      </c>
      <c r="E312" s="257">
        <v>21</v>
      </c>
      <c r="F312" s="257">
        <v>15</v>
      </c>
      <c r="G312" s="257">
        <v>4</v>
      </c>
      <c r="H312" s="101">
        <f t="shared" si="8"/>
        <v>4.9852575114950755</v>
      </c>
      <c r="I312" s="102" t="str">
        <f t="shared" si="9"/>
        <v>OUT</v>
      </c>
    </row>
    <row r="313" spans="1:9" ht="13" x14ac:dyDescent="0.15">
      <c r="A313" s="257" t="s">
        <v>330</v>
      </c>
      <c r="B313" s="257">
        <v>44</v>
      </c>
      <c r="C313" s="387">
        <v>0.97045448096392639</v>
      </c>
      <c r="D313" s="257">
        <v>168</v>
      </c>
      <c r="E313" s="257">
        <v>21</v>
      </c>
      <c r="F313" s="257">
        <v>15</v>
      </c>
      <c r="G313" s="257">
        <v>4</v>
      </c>
      <c r="H313" s="101">
        <f t="shared" si="8"/>
        <v>4.9875201189998695</v>
      </c>
      <c r="I313" s="102" t="str">
        <f t="shared" si="9"/>
        <v>OUT</v>
      </c>
    </row>
    <row r="314" spans="1:9" ht="13" x14ac:dyDescent="0.15">
      <c r="A314" s="257" t="s">
        <v>331</v>
      </c>
      <c r="B314" s="257">
        <v>45</v>
      </c>
      <c r="C314" s="387">
        <v>0.98329459663015417</v>
      </c>
      <c r="D314" s="257">
        <v>66</v>
      </c>
      <c r="E314" s="257">
        <v>9</v>
      </c>
      <c r="F314" s="257">
        <v>6</v>
      </c>
      <c r="G314" s="257">
        <v>7</v>
      </c>
      <c r="H314" s="101">
        <f t="shared" si="8"/>
        <v>5.0535101643567488</v>
      </c>
      <c r="I314" s="102" t="str">
        <f t="shared" si="9"/>
        <v/>
      </c>
    </row>
    <row r="315" spans="1:9" ht="13" x14ac:dyDescent="0.15">
      <c r="A315" s="257" t="s">
        <v>331</v>
      </c>
      <c r="B315" s="257">
        <v>45</v>
      </c>
      <c r="C315" s="387">
        <v>0.98338920592504575</v>
      </c>
      <c r="D315" s="257">
        <v>68</v>
      </c>
      <c r="E315" s="257">
        <v>9</v>
      </c>
      <c r="F315" s="257">
        <v>6</v>
      </c>
      <c r="G315" s="257">
        <v>7</v>
      </c>
      <c r="H315" s="101">
        <f t="shared" si="8"/>
        <v>5.0539963960873164</v>
      </c>
      <c r="I315" s="102" t="str">
        <f t="shared" si="9"/>
        <v/>
      </c>
    </row>
    <row r="316" spans="1:9" ht="13" x14ac:dyDescent="0.15">
      <c r="A316" s="257" t="s">
        <v>331</v>
      </c>
      <c r="B316" s="257">
        <v>45</v>
      </c>
      <c r="C316" s="387">
        <v>0.98429621288444014</v>
      </c>
      <c r="D316" s="257">
        <v>70</v>
      </c>
      <c r="E316" s="257">
        <v>9</v>
      </c>
      <c r="F316" s="257">
        <v>6</v>
      </c>
      <c r="G316" s="257">
        <v>7</v>
      </c>
      <c r="H316" s="101">
        <f t="shared" si="8"/>
        <v>5.0586578362133485</v>
      </c>
      <c r="I316" s="102" t="str">
        <f t="shared" si="9"/>
        <v/>
      </c>
    </row>
    <row r="317" spans="1:9" ht="13" x14ac:dyDescent="0.15">
      <c r="A317" s="257" t="s">
        <v>331</v>
      </c>
      <c r="B317" s="257">
        <v>45</v>
      </c>
      <c r="C317" s="387">
        <v>0.98397808265245457</v>
      </c>
      <c r="D317" s="257">
        <v>72</v>
      </c>
      <c r="E317" s="257">
        <v>9</v>
      </c>
      <c r="F317" s="257">
        <v>6</v>
      </c>
      <c r="G317" s="257">
        <v>7</v>
      </c>
      <c r="H317" s="101">
        <f t="shared" si="8"/>
        <v>5.0570228487269553</v>
      </c>
      <c r="I317" s="102" t="str">
        <f t="shared" si="9"/>
        <v/>
      </c>
    </row>
    <row r="318" spans="1:9" ht="13" x14ac:dyDescent="0.15">
      <c r="A318" s="257" t="s">
        <v>331</v>
      </c>
      <c r="B318" s="257">
        <v>45</v>
      </c>
      <c r="C318" s="387">
        <v>0.98480031199591633</v>
      </c>
      <c r="D318" s="257">
        <v>185</v>
      </c>
      <c r="E318" s="257">
        <v>24</v>
      </c>
      <c r="F318" s="257">
        <v>17</v>
      </c>
      <c r="G318" s="257">
        <v>2</v>
      </c>
      <c r="H318" s="101">
        <f t="shared" si="8"/>
        <v>5.0612485857124492</v>
      </c>
      <c r="I318" s="102" t="str">
        <f t="shared" si="9"/>
        <v/>
      </c>
    </row>
    <row r="319" spans="1:9" ht="13" x14ac:dyDescent="0.15">
      <c r="A319" s="257" t="s">
        <v>331</v>
      </c>
      <c r="B319" s="257">
        <v>45</v>
      </c>
      <c r="C319" s="387">
        <v>0.98376711293069619</v>
      </c>
      <c r="D319" s="257">
        <v>188</v>
      </c>
      <c r="E319" s="257">
        <v>24</v>
      </c>
      <c r="F319" s="257">
        <v>17</v>
      </c>
      <c r="G319" s="257">
        <v>2</v>
      </c>
      <c r="H319" s="101">
        <f t="shared" si="8"/>
        <v>5.0559385982521423</v>
      </c>
      <c r="I319" s="102" t="str">
        <f t="shared" si="9"/>
        <v/>
      </c>
    </row>
    <row r="320" spans="1:9" ht="13" x14ac:dyDescent="0.15">
      <c r="A320" s="257" t="s">
        <v>331</v>
      </c>
      <c r="B320" s="257">
        <v>45</v>
      </c>
      <c r="C320" s="387">
        <v>0.98443593717747424</v>
      </c>
      <c r="D320" s="257">
        <v>190</v>
      </c>
      <c r="E320" s="257">
        <v>24</v>
      </c>
      <c r="F320" s="257">
        <v>17</v>
      </c>
      <c r="G320" s="257">
        <v>2</v>
      </c>
      <c r="H320" s="101">
        <f t="shared" si="8"/>
        <v>5.0593759304014734</v>
      </c>
      <c r="I320" s="102" t="str">
        <f t="shared" si="9"/>
        <v/>
      </c>
    </row>
    <row r="321" spans="1:9" ht="13" x14ac:dyDescent="0.15">
      <c r="A321" s="257" t="s">
        <v>331</v>
      </c>
      <c r="B321" s="257">
        <v>45</v>
      </c>
      <c r="C321" s="387">
        <v>0.98474650693685151</v>
      </c>
      <c r="D321" s="257">
        <v>191</v>
      </c>
      <c r="E321" s="257">
        <v>24</v>
      </c>
      <c r="F321" s="257">
        <v>17</v>
      </c>
      <c r="G321" s="257">
        <v>2</v>
      </c>
      <c r="H321" s="101">
        <f t="shared" si="8"/>
        <v>5.0609720618570249</v>
      </c>
      <c r="I321" s="102" t="str">
        <f t="shared" si="9"/>
        <v/>
      </c>
    </row>
    <row r="322" spans="1:9" ht="13" x14ac:dyDescent="0.15">
      <c r="A322" s="257" t="s">
        <v>332</v>
      </c>
      <c r="B322" s="257">
        <v>46</v>
      </c>
      <c r="C322" s="387">
        <v>0.96878907918076296</v>
      </c>
      <c r="D322" s="257">
        <v>90</v>
      </c>
      <c r="E322" s="257">
        <v>12</v>
      </c>
      <c r="F322" s="257">
        <v>8</v>
      </c>
      <c r="G322" s="257">
        <v>7</v>
      </c>
      <c r="H322" s="101">
        <f t="shared" ref="H322:H385" si="10">IF(ISBLANK(C322),"",C322*$L$13)</f>
        <v>4.9789610108060511</v>
      </c>
      <c r="I322" s="102" t="str">
        <f t="shared" ref="I322:I385" si="11">IF(ISNUMBER(H322),IF(ABS(H322-$L$14)&gt;$M$16,"OUT",""),"")</f>
        <v>OUT</v>
      </c>
    </row>
    <row r="323" spans="1:9" ht="13" x14ac:dyDescent="0.15">
      <c r="A323" s="257" t="s">
        <v>332</v>
      </c>
      <c r="B323" s="257">
        <v>46</v>
      </c>
      <c r="C323" s="387">
        <v>0.96865824001081702</v>
      </c>
      <c r="D323" s="257">
        <v>92</v>
      </c>
      <c r="E323" s="257">
        <v>12</v>
      </c>
      <c r="F323" s="257">
        <v>8</v>
      </c>
      <c r="G323" s="257">
        <v>7</v>
      </c>
      <c r="H323" s="101">
        <f t="shared" si="10"/>
        <v>4.9782885805115251</v>
      </c>
      <c r="I323" s="102" t="str">
        <f t="shared" si="11"/>
        <v>OUT</v>
      </c>
    </row>
    <row r="324" spans="1:9" ht="13" x14ac:dyDescent="0.15">
      <c r="A324" s="257" t="s">
        <v>332</v>
      </c>
      <c r="B324" s="257">
        <v>46</v>
      </c>
      <c r="C324" s="387">
        <v>0.96860511385645487</v>
      </c>
      <c r="D324" s="257">
        <v>94</v>
      </c>
      <c r="E324" s="257">
        <v>12</v>
      </c>
      <c r="F324" s="257">
        <v>8</v>
      </c>
      <c r="G324" s="257">
        <v>7</v>
      </c>
      <c r="H324" s="101">
        <f t="shared" si="10"/>
        <v>4.9780155457953965</v>
      </c>
      <c r="I324" s="102" t="str">
        <f t="shared" si="11"/>
        <v>OUT</v>
      </c>
    </row>
    <row r="325" spans="1:9" ht="13" x14ac:dyDescent="0.15">
      <c r="A325" s="257" t="s">
        <v>332</v>
      </c>
      <c r="B325" s="257">
        <v>46</v>
      </c>
      <c r="C325" s="387">
        <v>0.96956543789412186</v>
      </c>
      <c r="D325" s="257">
        <v>96</v>
      </c>
      <c r="E325" s="257">
        <v>12</v>
      </c>
      <c r="F325" s="257">
        <v>8</v>
      </c>
      <c r="G325" s="257">
        <v>7</v>
      </c>
      <c r="H325" s="101">
        <f t="shared" si="10"/>
        <v>4.9829510018652838</v>
      </c>
      <c r="I325" s="102" t="str">
        <f t="shared" si="11"/>
        <v>OUT</v>
      </c>
    </row>
    <row r="326" spans="1:9" ht="13" x14ac:dyDescent="0.15">
      <c r="A326" s="257" t="s">
        <v>332</v>
      </c>
      <c r="B326" s="257">
        <v>46</v>
      </c>
      <c r="C326" s="387">
        <v>0.96624911640046485</v>
      </c>
      <c r="D326" s="257">
        <v>121</v>
      </c>
      <c r="E326" s="257">
        <v>16</v>
      </c>
      <c r="F326" s="257">
        <v>12</v>
      </c>
      <c r="G326" s="257">
        <v>5</v>
      </c>
      <c r="H326" s="101">
        <f t="shared" si="10"/>
        <v>4.9659072141399117</v>
      </c>
      <c r="I326" s="102" t="str">
        <f t="shared" si="11"/>
        <v>OUT</v>
      </c>
    </row>
    <row r="327" spans="1:9" ht="13" x14ac:dyDescent="0.15">
      <c r="A327" s="257" t="s">
        <v>332</v>
      </c>
      <c r="B327" s="257">
        <v>46</v>
      </c>
      <c r="C327" s="387">
        <v>0.96686964465222169</v>
      </c>
      <c r="D327" s="257">
        <v>123</v>
      </c>
      <c r="E327" s="257">
        <v>16</v>
      </c>
      <c r="F327" s="257">
        <v>12</v>
      </c>
      <c r="G327" s="257">
        <v>5</v>
      </c>
      <c r="H327" s="101">
        <f t="shared" si="10"/>
        <v>4.9690963355265954</v>
      </c>
      <c r="I327" s="102" t="str">
        <f t="shared" si="11"/>
        <v>OUT</v>
      </c>
    </row>
    <row r="328" spans="1:9" ht="13" x14ac:dyDescent="0.15">
      <c r="A328" s="257" t="s">
        <v>332</v>
      </c>
      <c r="B328" s="257">
        <v>46</v>
      </c>
      <c r="C328" s="387">
        <v>0.96691914910352883</v>
      </c>
      <c r="D328" s="257">
        <v>125</v>
      </c>
      <c r="E328" s="257">
        <v>16</v>
      </c>
      <c r="F328" s="257">
        <v>12</v>
      </c>
      <c r="G328" s="257">
        <v>5</v>
      </c>
      <c r="H328" s="101">
        <f t="shared" si="10"/>
        <v>4.9693507569875885</v>
      </c>
      <c r="I328" s="102" t="str">
        <f t="shared" si="11"/>
        <v>OUT</v>
      </c>
    </row>
    <row r="329" spans="1:9" ht="13" x14ac:dyDescent="0.15">
      <c r="A329" s="257" t="s">
        <v>332</v>
      </c>
      <c r="B329" s="257">
        <v>46</v>
      </c>
      <c r="C329" s="387">
        <v>0.96750258463521399</v>
      </c>
      <c r="D329" s="257">
        <v>127</v>
      </c>
      <c r="E329" s="257">
        <v>16</v>
      </c>
      <c r="F329" s="257">
        <v>12</v>
      </c>
      <c r="G329" s="257">
        <v>5</v>
      </c>
      <c r="H329" s="101">
        <f t="shared" si="10"/>
        <v>4.9723492453345415</v>
      </c>
      <c r="I329" s="102" t="str">
        <f t="shared" si="11"/>
        <v>OUT</v>
      </c>
    </row>
    <row r="330" spans="1:9" ht="13" x14ac:dyDescent="0.15">
      <c r="A330" s="257" t="s">
        <v>333</v>
      </c>
      <c r="B330" s="257">
        <v>47</v>
      </c>
      <c r="C330" s="387">
        <v>0.9811789042113942</v>
      </c>
      <c r="D330" s="257">
        <v>98</v>
      </c>
      <c r="E330" s="257">
        <v>13</v>
      </c>
      <c r="F330" s="257">
        <v>9</v>
      </c>
      <c r="G330" s="257">
        <v>2</v>
      </c>
      <c r="H330" s="101">
        <f t="shared" si="10"/>
        <v>5.0426368480795141</v>
      </c>
      <c r="I330" s="102" t="str">
        <f t="shared" si="11"/>
        <v/>
      </c>
    </row>
    <row r="331" spans="1:9" ht="13" x14ac:dyDescent="0.15">
      <c r="A331" s="257" t="s">
        <v>333</v>
      </c>
      <c r="B331" s="257">
        <v>47</v>
      </c>
      <c r="C331" s="387">
        <v>0.98265290285438156</v>
      </c>
      <c r="D331" s="257">
        <v>99</v>
      </c>
      <c r="E331" s="257">
        <v>13</v>
      </c>
      <c r="F331" s="257">
        <v>9</v>
      </c>
      <c r="G331" s="257">
        <v>2</v>
      </c>
      <c r="H331" s="101">
        <f t="shared" si="10"/>
        <v>5.050212265609634</v>
      </c>
      <c r="I331" s="102" t="str">
        <f t="shared" si="11"/>
        <v/>
      </c>
    </row>
    <row r="332" spans="1:9" ht="13" x14ac:dyDescent="0.15">
      <c r="A332" s="257" t="s">
        <v>333</v>
      </c>
      <c r="B332" s="257">
        <v>47</v>
      </c>
      <c r="C332" s="387">
        <v>0.98179684821386293</v>
      </c>
      <c r="D332" s="257">
        <v>101</v>
      </c>
      <c r="E332" s="257">
        <v>13</v>
      </c>
      <c r="F332" s="257">
        <v>9</v>
      </c>
      <c r="G332" s="257">
        <v>2</v>
      </c>
      <c r="H332" s="101">
        <f t="shared" si="10"/>
        <v>5.0458126880649887</v>
      </c>
      <c r="I332" s="102" t="str">
        <f t="shared" si="11"/>
        <v/>
      </c>
    </row>
    <row r="333" spans="1:9" ht="13" x14ac:dyDescent="0.15">
      <c r="A333" s="257" t="s">
        <v>333</v>
      </c>
      <c r="B333" s="257">
        <v>47</v>
      </c>
      <c r="C333" s="387">
        <v>0.98186594547543493</v>
      </c>
      <c r="D333" s="257">
        <v>103</v>
      </c>
      <c r="E333" s="257">
        <v>13</v>
      </c>
      <c r="F333" s="257">
        <v>9</v>
      </c>
      <c r="G333" s="257">
        <v>2</v>
      </c>
      <c r="H333" s="101">
        <f t="shared" si="10"/>
        <v>5.0461678041358793</v>
      </c>
      <c r="I333" s="102" t="str">
        <f t="shared" si="11"/>
        <v/>
      </c>
    </row>
    <row r="334" spans="1:9" ht="13" x14ac:dyDescent="0.15">
      <c r="A334" s="257" t="s">
        <v>333</v>
      </c>
      <c r="B334" s="257">
        <v>47</v>
      </c>
      <c r="C334" s="387">
        <v>0.98918053128241257</v>
      </c>
      <c r="D334" s="257">
        <v>138</v>
      </c>
      <c r="E334" s="257">
        <v>18</v>
      </c>
      <c r="F334" s="257">
        <v>13</v>
      </c>
      <c r="G334" s="257">
        <v>5</v>
      </c>
      <c r="H334" s="101">
        <f t="shared" si="10"/>
        <v>5.0837601328746942</v>
      </c>
      <c r="I334" s="102" t="str">
        <f t="shared" si="11"/>
        <v/>
      </c>
    </row>
    <row r="335" spans="1:9" ht="13" x14ac:dyDescent="0.15">
      <c r="A335" s="257" t="s">
        <v>333</v>
      </c>
      <c r="B335" s="257">
        <v>47</v>
      </c>
      <c r="C335" s="387">
        <v>0.98848803934290175</v>
      </c>
      <c r="D335" s="257">
        <v>140</v>
      </c>
      <c r="E335" s="257">
        <v>18</v>
      </c>
      <c r="F335" s="257">
        <v>13</v>
      </c>
      <c r="G335" s="257">
        <v>5</v>
      </c>
      <c r="H335" s="101">
        <f t="shared" si="10"/>
        <v>5.0802011638057634</v>
      </c>
      <c r="I335" s="102" t="str">
        <f t="shared" si="11"/>
        <v/>
      </c>
    </row>
    <row r="336" spans="1:9" ht="13" x14ac:dyDescent="0.15">
      <c r="A336" s="257" t="s">
        <v>333</v>
      </c>
      <c r="B336" s="257">
        <v>47</v>
      </c>
      <c r="C336" s="387">
        <v>0.98927240037186603</v>
      </c>
      <c r="D336" s="257">
        <v>141</v>
      </c>
      <c r="E336" s="257">
        <v>18</v>
      </c>
      <c r="F336" s="257">
        <v>13</v>
      </c>
      <c r="G336" s="257">
        <v>5</v>
      </c>
      <c r="H336" s="101">
        <f t="shared" si="10"/>
        <v>5.0842322816884211</v>
      </c>
      <c r="I336" s="102" t="str">
        <f t="shared" si="11"/>
        <v/>
      </c>
    </row>
    <row r="337" spans="1:9" ht="13" x14ac:dyDescent="0.15">
      <c r="A337" s="257" t="s">
        <v>333</v>
      </c>
      <c r="B337" s="257">
        <v>47</v>
      </c>
      <c r="C337" s="387">
        <v>0.9888848230561772</v>
      </c>
      <c r="D337" s="257">
        <v>143</v>
      </c>
      <c r="E337" s="257">
        <v>18</v>
      </c>
      <c r="F337" s="257">
        <v>13</v>
      </c>
      <c r="G337" s="257">
        <v>5</v>
      </c>
      <c r="H337" s="101">
        <f t="shared" si="10"/>
        <v>5.0822403802674021</v>
      </c>
      <c r="I337" s="102" t="str">
        <f t="shared" si="11"/>
        <v/>
      </c>
    </row>
    <row r="338" spans="1:9" ht="13" x14ac:dyDescent="0.15">
      <c r="A338" s="257" t="s">
        <v>334</v>
      </c>
      <c r="B338" s="257">
        <v>48</v>
      </c>
      <c r="C338" s="387">
        <v>0.98558638117042396</v>
      </c>
      <c r="D338" s="257">
        <v>66</v>
      </c>
      <c r="E338" s="257">
        <v>9</v>
      </c>
      <c r="F338" s="257">
        <v>6</v>
      </c>
      <c r="G338" s="257">
        <v>2</v>
      </c>
      <c r="H338" s="101">
        <f t="shared" si="10"/>
        <v>5.0652884823791</v>
      </c>
      <c r="I338" s="102" t="str">
        <f t="shared" si="11"/>
        <v/>
      </c>
    </row>
    <row r="339" spans="1:9" ht="13" x14ac:dyDescent="0.15">
      <c r="A339" s="257" t="s">
        <v>334</v>
      </c>
      <c r="B339" s="257">
        <v>48</v>
      </c>
      <c r="C339" s="387">
        <v>0.98902838882739152</v>
      </c>
      <c r="D339" s="257">
        <v>67</v>
      </c>
      <c r="E339" s="257">
        <v>9</v>
      </c>
      <c r="F339" s="257">
        <v>6</v>
      </c>
      <c r="G339" s="257">
        <v>2</v>
      </c>
      <c r="H339" s="101">
        <f t="shared" si="10"/>
        <v>5.0829782172153237</v>
      </c>
      <c r="I339" s="102" t="str">
        <f t="shared" si="11"/>
        <v/>
      </c>
    </row>
    <row r="340" spans="1:9" ht="13" x14ac:dyDescent="0.15">
      <c r="A340" s="257" t="s">
        <v>334</v>
      </c>
      <c r="B340" s="257">
        <v>48</v>
      </c>
      <c r="C340" s="387">
        <v>0.98836388631626892</v>
      </c>
      <c r="D340" s="257">
        <v>69</v>
      </c>
      <c r="E340" s="257">
        <v>9</v>
      </c>
      <c r="F340" s="257">
        <v>6</v>
      </c>
      <c r="G340" s="257">
        <v>2</v>
      </c>
      <c r="H340" s="101">
        <f t="shared" si="10"/>
        <v>5.0795630960444083</v>
      </c>
      <c r="I340" s="102" t="str">
        <f t="shared" si="11"/>
        <v/>
      </c>
    </row>
    <row r="341" spans="1:9" ht="13" x14ac:dyDescent="0.15">
      <c r="A341" s="257" t="s">
        <v>334</v>
      </c>
      <c r="B341" s="257">
        <v>48</v>
      </c>
      <c r="C341" s="387">
        <v>0.98841970497391007</v>
      </c>
      <c r="D341" s="257">
        <v>71</v>
      </c>
      <c r="E341" s="257">
        <v>9</v>
      </c>
      <c r="F341" s="257">
        <v>6</v>
      </c>
      <c r="G341" s="257">
        <v>2</v>
      </c>
      <c r="H341" s="101">
        <f t="shared" si="10"/>
        <v>5.0798499685185545</v>
      </c>
      <c r="I341" s="102" t="str">
        <f t="shared" si="11"/>
        <v/>
      </c>
    </row>
    <row r="342" spans="1:9" ht="13" x14ac:dyDescent="0.15">
      <c r="A342" s="257" t="s">
        <v>334</v>
      </c>
      <c r="B342" s="257">
        <v>48</v>
      </c>
      <c r="C342" s="387">
        <v>0.98672328659713726</v>
      </c>
      <c r="D342" s="257">
        <v>130</v>
      </c>
      <c r="E342" s="257">
        <v>17</v>
      </c>
      <c r="F342" s="257">
        <v>13</v>
      </c>
      <c r="G342" s="257">
        <v>4</v>
      </c>
      <c r="H342" s="101">
        <f t="shared" si="10"/>
        <v>5.0711314547187198</v>
      </c>
      <c r="I342" s="102" t="str">
        <f t="shared" si="11"/>
        <v/>
      </c>
    </row>
    <row r="343" spans="1:9" ht="13" x14ac:dyDescent="0.15">
      <c r="A343" s="257" t="s">
        <v>334</v>
      </c>
      <c r="B343" s="257">
        <v>48</v>
      </c>
      <c r="C343" s="387">
        <v>0.98709556285703937</v>
      </c>
      <c r="D343" s="257">
        <v>132</v>
      </c>
      <c r="E343" s="257">
        <v>17</v>
      </c>
      <c r="F343" s="257">
        <v>13</v>
      </c>
      <c r="G343" s="257">
        <v>4</v>
      </c>
      <c r="H343" s="101">
        <f t="shared" si="10"/>
        <v>5.0730447184240344</v>
      </c>
      <c r="I343" s="102" t="str">
        <f t="shared" si="11"/>
        <v/>
      </c>
    </row>
    <row r="344" spans="1:9" ht="13" x14ac:dyDescent="0.15">
      <c r="A344" s="257" t="s">
        <v>334</v>
      </c>
      <c r="B344" s="257">
        <v>48</v>
      </c>
      <c r="C344" s="387">
        <v>0.98776166006172739</v>
      </c>
      <c r="D344" s="257">
        <v>133</v>
      </c>
      <c r="E344" s="257">
        <v>17</v>
      </c>
      <c r="F344" s="257">
        <v>13</v>
      </c>
      <c r="G344" s="257">
        <v>4</v>
      </c>
      <c r="H344" s="101">
        <f t="shared" si="10"/>
        <v>5.0764680353077809</v>
      </c>
      <c r="I344" s="102" t="str">
        <f t="shared" si="11"/>
        <v/>
      </c>
    </row>
    <row r="345" spans="1:9" ht="13" x14ac:dyDescent="0.15">
      <c r="A345" s="257" t="s">
        <v>334</v>
      </c>
      <c r="B345" s="257">
        <v>48</v>
      </c>
      <c r="C345" s="387">
        <v>0.98672835886318444</v>
      </c>
      <c r="D345" s="257">
        <v>136</v>
      </c>
      <c r="E345" s="257">
        <v>17</v>
      </c>
      <c r="F345" s="257">
        <v>13</v>
      </c>
      <c r="G345" s="257">
        <v>4</v>
      </c>
      <c r="H345" s="101">
        <f t="shared" si="10"/>
        <v>5.0711575229470149</v>
      </c>
      <c r="I345" s="102" t="str">
        <f t="shared" si="11"/>
        <v/>
      </c>
    </row>
    <row r="346" spans="1:9" ht="13" x14ac:dyDescent="0.15">
      <c r="A346" s="257" t="s">
        <v>335</v>
      </c>
      <c r="B346" s="257">
        <v>49</v>
      </c>
      <c r="C346" s="387">
        <v>0.97359356149062504</v>
      </c>
      <c r="D346" s="257">
        <v>82</v>
      </c>
      <c r="E346" s="257">
        <v>11</v>
      </c>
      <c r="F346" s="257">
        <v>7</v>
      </c>
      <c r="G346" s="257">
        <v>7</v>
      </c>
      <c r="H346" s="101">
        <f t="shared" si="10"/>
        <v>5.003653000643653</v>
      </c>
      <c r="I346" s="102" t="str">
        <f t="shared" si="11"/>
        <v/>
      </c>
    </row>
    <row r="347" spans="1:9" ht="13" x14ac:dyDescent="0.15">
      <c r="A347" s="257" t="s">
        <v>335</v>
      </c>
      <c r="B347" s="257">
        <v>49</v>
      </c>
      <c r="C347" s="387">
        <v>0.97429655786136005</v>
      </c>
      <c r="D347" s="257">
        <v>84</v>
      </c>
      <c r="E347" s="257">
        <v>11</v>
      </c>
      <c r="F347" s="257">
        <v>7</v>
      </c>
      <c r="G347" s="257">
        <v>7</v>
      </c>
      <c r="H347" s="101">
        <f t="shared" si="10"/>
        <v>5.0072659558222847</v>
      </c>
      <c r="I347" s="102" t="str">
        <f t="shared" si="11"/>
        <v/>
      </c>
    </row>
    <row r="348" spans="1:9" ht="13" x14ac:dyDescent="0.15">
      <c r="A348" s="257" t="s">
        <v>335</v>
      </c>
      <c r="B348" s="257">
        <v>49</v>
      </c>
      <c r="C348" s="387">
        <v>0.97350978731948834</v>
      </c>
      <c r="D348" s="257">
        <v>86</v>
      </c>
      <c r="E348" s="257">
        <v>11</v>
      </c>
      <c r="F348" s="257">
        <v>7</v>
      </c>
      <c r="G348" s="257">
        <v>7</v>
      </c>
      <c r="H348" s="101">
        <f t="shared" si="10"/>
        <v>5.0032224545725157</v>
      </c>
      <c r="I348" s="102" t="str">
        <f t="shared" si="11"/>
        <v/>
      </c>
    </row>
    <row r="349" spans="1:9" ht="13" x14ac:dyDescent="0.15">
      <c r="A349" s="257" t="s">
        <v>335</v>
      </c>
      <c r="B349" s="257">
        <v>49</v>
      </c>
      <c r="C349" s="387">
        <v>0.9739423174770494</v>
      </c>
      <c r="D349" s="257">
        <v>88</v>
      </c>
      <c r="E349" s="257">
        <v>11</v>
      </c>
      <c r="F349" s="257">
        <v>7</v>
      </c>
      <c r="G349" s="257">
        <v>7</v>
      </c>
      <c r="H349" s="101">
        <f t="shared" si="10"/>
        <v>5.0054453850707779</v>
      </c>
      <c r="I349" s="102" t="str">
        <f t="shared" si="11"/>
        <v/>
      </c>
    </row>
    <row r="350" spans="1:9" ht="13" x14ac:dyDescent="0.15">
      <c r="A350" s="257" t="s">
        <v>335</v>
      </c>
      <c r="B350" s="257">
        <v>49</v>
      </c>
      <c r="C350" s="387">
        <v>0.97242558558238024</v>
      </c>
      <c r="D350" s="257">
        <v>154</v>
      </c>
      <c r="E350" s="257">
        <v>20</v>
      </c>
      <c r="F350" s="257">
        <v>14</v>
      </c>
      <c r="G350" s="257">
        <v>3</v>
      </c>
      <c r="H350" s="101">
        <f t="shared" si="10"/>
        <v>4.9976503457482968</v>
      </c>
      <c r="I350" s="102" t="str">
        <f t="shared" si="11"/>
        <v/>
      </c>
    </row>
    <row r="351" spans="1:9" ht="13" x14ac:dyDescent="0.15">
      <c r="A351" s="257" t="s">
        <v>335</v>
      </c>
      <c r="B351" s="257">
        <v>49</v>
      </c>
      <c r="C351" s="387">
        <v>0.97395264087807487</v>
      </c>
      <c r="D351" s="257">
        <v>155</v>
      </c>
      <c r="E351" s="257">
        <v>20</v>
      </c>
      <c r="F351" s="257">
        <v>14</v>
      </c>
      <c r="G351" s="257">
        <v>3</v>
      </c>
      <c r="H351" s="101">
        <f t="shared" si="10"/>
        <v>5.0054984408001504</v>
      </c>
      <c r="I351" s="102" t="str">
        <f t="shared" si="11"/>
        <v/>
      </c>
    </row>
    <row r="352" spans="1:9" ht="13" x14ac:dyDescent="0.15">
      <c r="A352" s="257" t="s">
        <v>335</v>
      </c>
      <c r="B352" s="257">
        <v>49</v>
      </c>
      <c r="C352" s="387">
        <v>0.97287857483759155</v>
      </c>
      <c r="D352" s="257">
        <v>158</v>
      </c>
      <c r="E352" s="257">
        <v>20</v>
      </c>
      <c r="F352" s="257">
        <v>14</v>
      </c>
      <c r="G352" s="257">
        <v>3</v>
      </c>
      <c r="H352" s="101">
        <f t="shared" si="10"/>
        <v>4.9999784230238156</v>
      </c>
      <c r="I352" s="102" t="str">
        <f t="shared" si="11"/>
        <v/>
      </c>
    </row>
    <row r="353" spans="1:9" ht="13" x14ac:dyDescent="0.15">
      <c r="A353" s="257" t="s">
        <v>335</v>
      </c>
      <c r="B353" s="257">
        <v>49</v>
      </c>
      <c r="C353" s="387">
        <v>0.97307166334608108</v>
      </c>
      <c r="D353" s="257">
        <v>160</v>
      </c>
      <c r="E353" s="257">
        <v>20</v>
      </c>
      <c r="F353" s="257">
        <v>14</v>
      </c>
      <c r="G353" s="257">
        <v>3</v>
      </c>
      <c r="H353" s="101">
        <f t="shared" si="10"/>
        <v>5.0009707754110009</v>
      </c>
      <c r="I353" s="102" t="str">
        <f t="shared" si="11"/>
        <v/>
      </c>
    </row>
    <row r="354" spans="1:9" ht="13" x14ac:dyDescent="0.15">
      <c r="A354" s="257" t="s">
        <v>336</v>
      </c>
      <c r="B354" s="257">
        <v>50</v>
      </c>
      <c r="C354" s="387">
        <v>0.98603428401663162</v>
      </c>
      <c r="D354" s="257">
        <v>89</v>
      </c>
      <c r="E354" s="257">
        <v>12</v>
      </c>
      <c r="F354" s="257">
        <v>8</v>
      </c>
      <c r="G354" s="257">
        <v>3</v>
      </c>
      <c r="H354" s="101">
        <f t="shared" si="10"/>
        <v>5.0675904187405036</v>
      </c>
      <c r="I354" s="102" t="str">
        <f t="shared" si="11"/>
        <v/>
      </c>
    </row>
    <row r="355" spans="1:9" ht="13" x14ac:dyDescent="0.15">
      <c r="A355" s="257" t="s">
        <v>336</v>
      </c>
      <c r="B355" s="257">
        <v>50</v>
      </c>
      <c r="C355" s="387">
        <v>0.98508329500378833</v>
      </c>
      <c r="D355" s="257">
        <v>91</v>
      </c>
      <c r="E355" s="257">
        <v>12</v>
      </c>
      <c r="F355" s="257">
        <v>8</v>
      </c>
      <c r="G355" s="257">
        <v>3</v>
      </c>
      <c r="H355" s="101">
        <f t="shared" si="10"/>
        <v>5.0627029387735991</v>
      </c>
      <c r="I355" s="102" t="str">
        <f t="shared" si="11"/>
        <v/>
      </c>
    </row>
    <row r="356" spans="1:9" ht="13" x14ac:dyDescent="0.15">
      <c r="A356" s="257" t="s">
        <v>336</v>
      </c>
      <c r="B356" s="257">
        <v>50</v>
      </c>
      <c r="C356" s="387">
        <v>0.98458533618476141</v>
      </c>
      <c r="D356" s="257">
        <v>94</v>
      </c>
      <c r="E356" s="257">
        <v>12</v>
      </c>
      <c r="F356" s="257">
        <v>8</v>
      </c>
      <c r="G356" s="257">
        <v>3</v>
      </c>
      <c r="H356" s="101">
        <f t="shared" si="10"/>
        <v>5.0601437464806613</v>
      </c>
      <c r="I356" s="102" t="str">
        <f t="shared" si="11"/>
        <v/>
      </c>
    </row>
    <row r="357" spans="1:9" ht="13" x14ac:dyDescent="0.15">
      <c r="A357" s="257" t="s">
        <v>336</v>
      </c>
      <c r="B357" s="257">
        <v>50</v>
      </c>
      <c r="C357" s="387">
        <v>0.98481132592558085</v>
      </c>
      <c r="D357" s="257">
        <v>95</v>
      </c>
      <c r="E357" s="257">
        <v>12</v>
      </c>
      <c r="F357" s="257">
        <v>8</v>
      </c>
      <c r="G357" s="257">
        <v>3</v>
      </c>
      <c r="H357" s="101">
        <f t="shared" si="10"/>
        <v>5.0613051903207733</v>
      </c>
      <c r="I357" s="102" t="str">
        <f t="shared" si="11"/>
        <v/>
      </c>
    </row>
    <row r="358" spans="1:9" ht="13" x14ac:dyDescent="0.15">
      <c r="A358" s="257" t="s">
        <v>336</v>
      </c>
      <c r="B358" s="257">
        <v>50</v>
      </c>
      <c r="C358" s="387">
        <v>0.9836623646446695</v>
      </c>
      <c r="D358" s="257">
        <v>225</v>
      </c>
      <c r="E358" s="257">
        <v>29</v>
      </c>
      <c r="F358" s="257">
        <v>20</v>
      </c>
      <c r="G358" s="257">
        <v>4</v>
      </c>
      <c r="H358" s="101">
        <f t="shared" si="10"/>
        <v>5.055400258541999</v>
      </c>
      <c r="I358" s="102" t="str">
        <f t="shared" si="11"/>
        <v/>
      </c>
    </row>
    <row r="359" spans="1:9" ht="13" x14ac:dyDescent="0.15">
      <c r="A359" s="257" t="s">
        <v>336</v>
      </c>
      <c r="B359" s="257">
        <v>50</v>
      </c>
      <c r="C359" s="387">
        <v>0.98237401078975584</v>
      </c>
      <c r="D359" s="257">
        <v>228</v>
      </c>
      <c r="E359" s="257">
        <v>29</v>
      </c>
      <c r="F359" s="257">
        <v>20</v>
      </c>
      <c r="G359" s="257">
        <v>4</v>
      </c>
      <c r="H359" s="101">
        <f t="shared" si="10"/>
        <v>5.0487789374003933</v>
      </c>
      <c r="I359" s="102" t="str">
        <f t="shared" si="11"/>
        <v/>
      </c>
    </row>
    <row r="360" spans="1:9" ht="13" x14ac:dyDescent="0.15">
      <c r="A360" s="257" t="s">
        <v>336</v>
      </c>
      <c r="B360" s="257">
        <v>50</v>
      </c>
      <c r="C360" s="387">
        <v>0.98356241497135322</v>
      </c>
      <c r="D360" s="257">
        <v>229</v>
      </c>
      <c r="E360" s="257">
        <v>29</v>
      </c>
      <c r="F360" s="257">
        <v>20</v>
      </c>
      <c r="G360" s="257">
        <v>4</v>
      </c>
      <c r="H360" s="101">
        <f t="shared" si="10"/>
        <v>5.054886580655678</v>
      </c>
      <c r="I360" s="102" t="str">
        <f t="shared" si="11"/>
        <v/>
      </c>
    </row>
    <row r="361" spans="1:9" ht="13" x14ac:dyDescent="0.15">
      <c r="A361" s="257" t="s">
        <v>336</v>
      </c>
      <c r="B361" s="257">
        <v>50</v>
      </c>
      <c r="C361" s="387">
        <v>0.98352598561434934</v>
      </c>
      <c r="D361" s="257">
        <v>232</v>
      </c>
      <c r="E361" s="257">
        <v>29</v>
      </c>
      <c r="F361" s="257">
        <v>20</v>
      </c>
      <c r="G361" s="257">
        <v>4</v>
      </c>
      <c r="H361" s="101">
        <f t="shared" si="10"/>
        <v>5.0546993568811036</v>
      </c>
      <c r="I361" s="102" t="str">
        <f t="shared" si="11"/>
        <v/>
      </c>
    </row>
    <row r="362" spans="1:9" ht="13" x14ac:dyDescent="0.15">
      <c r="A362" s="257" t="s">
        <v>337</v>
      </c>
      <c r="B362" s="257">
        <v>51</v>
      </c>
      <c r="C362" s="387">
        <v>0.98308760394364092</v>
      </c>
      <c r="D362" s="257">
        <v>65</v>
      </c>
      <c r="E362" s="257">
        <v>9</v>
      </c>
      <c r="F362" s="257">
        <v>6</v>
      </c>
      <c r="G362" s="257">
        <v>3</v>
      </c>
      <c r="H362" s="101">
        <f t="shared" si="10"/>
        <v>5.052446353319012</v>
      </c>
      <c r="I362" s="102" t="str">
        <f t="shared" si="11"/>
        <v/>
      </c>
    </row>
    <row r="363" spans="1:9" ht="13" x14ac:dyDescent="0.15">
      <c r="A363" s="257" t="s">
        <v>337</v>
      </c>
      <c r="B363" s="257">
        <v>51</v>
      </c>
      <c r="C363" s="387">
        <v>0.98339589670662686</v>
      </c>
      <c r="D363" s="257">
        <v>67</v>
      </c>
      <c r="E363" s="257">
        <v>9</v>
      </c>
      <c r="F363" s="257">
        <v>6</v>
      </c>
      <c r="G363" s="257">
        <v>3</v>
      </c>
      <c r="H363" s="101">
        <f t="shared" si="10"/>
        <v>5.0540307824582413</v>
      </c>
      <c r="I363" s="102" t="str">
        <f t="shared" si="11"/>
        <v/>
      </c>
    </row>
    <row r="364" spans="1:9" ht="13" x14ac:dyDescent="0.15">
      <c r="A364" s="257" t="s">
        <v>337</v>
      </c>
      <c r="B364" s="257">
        <v>51</v>
      </c>
      <c r="C364" s="387">
        <v>0.98246904459808315</v>
      </c>
      <c r="D364" s="257">
        <v>70</v>
      </c>
      <c r="E364" s="257">
        <v>9</v>
      </c>
      <c r="F364" s="257">
        <v>6</v>
      </c>
      <c r="G364" s="257">
        <v>3</v>
      </c>
      <c r="H364" s="101">
        <f t="shared" si="10"/>
        <v>5.049267350860597</v>
      </c>
      <c r="I364" s="102" t="str">
        <f t="shared" si="11"/>
        <v/>
      </c>
    </row>
    <row r="365" spans="1:9" ht="13" x14ac:dyDescent="0.15">
      <c r="A365" s="257" t="s">
        <v>337</v>
      </c>
      <c r="B365" s="257">
        <v>51</v>
      </c>
      <c r="C365" s="387">
        <v>0.98403636623596058</v>
      </c>
      <c r="D365" s="257">
        <v>71</v>
      </c>
      <c r="E365" s="257">
        <v>9</v>
      </c>
      <c r="F365" s="257">
        <v>6</v>
      </c>
      <c r="G365" s="257">
        <v>3</v>
      </c>
      <c r="H365" s="101">
        <f t="shared" si="10"/>
        <v>5.0573223893556456</v>
      </c>
      <c r="I365" s="102" t="str">
        <f t="shared" si="11"/>
        <v/>
      </c>
    </row>
    <row r="366" spans="1:9" ht="13" x14ac:dyDescent="0.15">
      <c r="A366" s="257" t="s">
        <v>337</v>
      </c>
      <c r="B366" s="257">
        <v>51</v>
      </c>
      <c r="C366" s="387">
        <v>0.981392971454499</v>
      </c>
      <c r="D366" s="257">
        <v>130</v>
      </c>
      <c r="E366" s="257">
        <v>17</v>
      </c>
      <c r="F366" s="257">
        <v>13</v>
      </c>
      <c r="G366" s="257">
        <v>5</v>
      </c>
      <c r="H366" s="101">
        <f t="shared" si="10"/>
        <v>5.0437370178481604</v>
      </c>
      <c r="I366" s="102" t="str">
        <f t="shared" si="11"/>
        <v/>
      </c>
    </row>
    <row r="367" spans="1:9" ht="13" x14ac:dyDescent="0.15">
      <c r="A367" s="257" t="s">
        <v>337</v>
      </c>
      <c r="B367" s="257">
        <v>51</v>
      </c>
      <c r="C367" s="387">
        <v>0.98260235239578531</v>
      </c>
      <c r="D367" s="257">
        <v>131</v>
      </c>
      <c r="E367" s="257">
        <v>17</v>
      </c>
      <c r="F367" s="257">
        <v>13</v>
      </c>
      <c r="G367" s="257">
        <v>5</v>
      </c>
      <c r="H367" s="101">
        <f t="shared" si="10"/>
        <v>5.0499524683350385</v>
      </c>
      <c r="I367" s="102" t="str">
        <f t="shared" si="11"/>
        <v/>
      </c>
    </row>
    <row r="368" spans="1:9" ht="13" x14ac:dyDescent="0.15">
      <c r="A368" s="257" t="s">
        <v>337</v>
      </c>
      <c r="B368" s="257">
        <v>51</v>
      </c>
      <c r="C368" s="387">
        <v>0.98152894088492115</v>
      </c>
      <c r="D368" s="257">
        <v>134</v>
      </c>
      <c r="E368" s="257">
        <v>17</v>
      </c>
      <c r="F368" s="257">
        <v>13</v>
      </c>
      <c r="G368" s="257">
        <v>5</v>
      </c>
      <c r="H368" s="101">
        <f t="shared" si="10"/>
        <v>5.0444358144255395</v>
      </c>
      <c r="I368" s="102" t="str">
        <f t="shared" si="11"/>
        <v/>
      </c>
    </row>
    <row r="369" spans="1:9" ht="13" x14ac:dyDescent="0.15">
      <c r="A369" s="257" t="s">
        <v>337</v>
      </c>
      <c r="B369" s="257">
        <v>51</v>
      </c>
      <c r="C369" s="387">
        <v>0.98260441917993779</v>
      </c>
      <c r="D369" s="257">
        <v>136</v>
      </c>
      <c r="E369" s="257">
        <v>17</v>
      </c>
      <c r="F369" s="257">
        <v>13</v>
      </c>
      <c r="G369" s="257">
        <v>5</v>
      </c>
      <c r="H369" s="101">
        <f t="shared" si="10"/>
        <v>5.0499630902938675</v>
      </c>
      <c r="I369" s="102" t="str">
        <f t="shared" si="11"/>
        <v/>
      </c>
    </row>
    <row r="370" spans="1:9" ht="13" x14ac:dyDescent="0.15">
      <c r="A370" s="257" t="s">
        <v>338</v>
      </c>
      <c r="B370" s="257">
        <v>52</v>
      </c>
      <c r="C370" s="387">
        <v>0.97291199603071554</v>
      </c>
      <c r="D370" s="257">
        <v>74</v>
      </c>
      <c r="E370" s="257">
        <v>10</v>
      </c>
      <c r="F370" s="257">
        <v>7</v>
      </c>
      <c r="G370" s="257">
        <v>7</v>
      </c>
      <c r="H370" s="101">
        <f t="shared" si="10"/>
        <v>5.0001501867452234</v>
      </c>
      <c r="I370" s="102" t="str">
        <f t="shared" si="11"/>
        <v/>
      </c>
    </row>
    <row r="371" spans="1:9" ht="13" x14ac:dyDescent="0.15">
      <c r="A371" s="257" t="s">
        <v>338</v>
      </c>
      <c r="B371" s="257">
        <v>52</v>
      </c>
      <c r="C371" s="387">
        <v>0.97191332148938148</v>
      </c>
      <c r="D371" s="257">
        <v>76</v>
      </c>
      <c r="E371" s="257">
        <v>10</v>
      </c>
      <c r="F371" s="257">
        <v>7</v>
      </c>
      <c r="G371" s="257">
        <v>7</v>
      </c>
      <c r="H371" s="101">
        <f t="shared" si="10"/>
        <v>4.9950176334261958</v>
      </c>
      <c r="I371" s="102" t="str">
        <f t="shared" si="11"/>
        <v/>
      </c>
    </row>
    <row r="372" spans="1:9" ht="13" x14ac:dyDescent="0.15">
      <c r="A372" s="257" t="s">
        <v>338</v>
      </c>
      <c r="B372" s="257">
        <v>52</v>
      </c>
      <c r="C372" s="387">
        <v>0.97338089584327159</v>
      </c>
      <c r="D372" s="257">
        <v>78</v>
      </c>
      <c r="E372" s="257">
        <v>10</v>
      </c>
      <c r="F372" s="257">
        <v>7</v>
      </c>
      <c r="G372" s="257">
        <v>7</v>
      </c>
      <c r="H372" s="101">
        <f t="shared" si="10"/>
        <v>5.0025600341876251</v>
      </c>
      <c r="I372" s="102" t="str">
        <f t="shared" si="11"/>
        <v/>
      </c>
    </row>
    <row r="373" spans="1:9" ht="13" x14ac:dyDescent="0.15">
      <c r="A373" s="257" t="s">
        <v>338</v>
      </c>
      <c r="B373" s="257">
        <v>52</v>
      </c>
      <c r="C373" s="387">
        <v>0.97249073943982978</v>
      </c>
      <c r="D373" s="257">
        <v>80</v>
      </c>
      <c r="E373" s="257">
        <v>10</v>
      </c>
      <c r="F373" s="257">
        <v>7</v>
      </c>
      <c r="G373" s="257">
        <v>7</v>
      </c>
      <c r="H373" s="101">
        <f t="shared" si="10"/>
        <v>4.9979851952247376</v>
      </c>
      <c r="I373" s="102" t="str">
        <f t="shared" si="11"/>
        <v/>
      </c>
    </row>
    <row r="374" spans="1:9" ht="13" x14ac:dyDescent="0.15">
      <c r="A374" s="257" t="s">
        <v>338</v>
      </c>
      <c r="B374" s="257">
        <v>52</v>
      </c>
      <c r="C374" s="387">
        <v>0.98191631050371164</v>
      </c>
      <c r="D374" s="257">
        <v>169</v>
      </c>
      <c r="E374" s="257">
        <v>22</v>
      </c>
      <c r="F374" s="257">
        <v>16</v>
      </c>
      <c r="G374" s="257">
        <v>4</v>
      </c>
      <c r="H374" s="101">
        <f t="shared" si="10"/>
        <v>5.0464266484163183</v>
      </c>
      <c r="I374" s="102" t="str">
        <f t="shared" si="11"/>
        <v/>
      </c>
    </row>
    <row r="375" spans="1:9" ht="13" x14ac:dyDescent="0.15">
      <c r="A375" s="257" t="s">
        <v>338</v>
      </c>
      <c r="B375" s="257">
        <v>52</v>
      </c>
      <c r="C375" s="387">
        <v>0.98214228674910298</v>
      </c>
      <c r="D375" s="257">
        <v>172</v>
      </c>
      <c r="E375" s="257">
        <v>22</v>
      </c>
      <c r="F375" s="257">
        <v>16</v>
      </c>
      <c r="G375" s="257">
        <v>4</v>
      </c>
      <c r="H375" s="101">
        <f t="shared" si="10"/>
        <v>5.0475880228984948</v>
      </c>
      <c r="I375" s="102" t="str">
        <f t="shared" si="11"/>
        <v/>
      </c>
    </row>
    <row r="376" spans="1:9" ht="13" x14ac:dyDescent="0.15">
      <c r="A376" s="257" t="s">
        <v>338</v>
      </c>
      <c r="B376" s="257">
        <v>52</v>
      </c>
      <c r="C376" s="387">
        <v>0.98321084416914206</v>
      </c>
      <c r="D376" s="257">
        <v>173</v>
      </c>
      <c r="E376" s="257">
        <v>22</v>
      </c>
      <c r="F376" s="257">
        <v>16</v>
      </c>
      <c r="G376" s="257">
        <v>4</v>
      </c>
      <c r="H376" s="101">
        <f t="shared" si="10"/>
        <v>5.0530797298618735</v>
      </c>
      <c r="I376" s="102" t="str">
        <f t="shared" si="11"/>
        <v/>
      </c>
    </row>
    <row r="377" spans="1:9" ht="13" x14ac:dyDescent="0.15">
      <c r="A377" s="257" t="s">
        <v>338</v>
      </c>
      <c r="B377" s="257">
        <v>52</v>
      </c>
      <c r="C377" s="387">
        <v>0.98205000217575233</v>
      </c>
      <c r="D377" s="257">
        <v>176</v>
      </c>
      <c r="E377" s="257">
        <v>22</v>
      </c>
      <c r="F377" s="257">
        <v>16</v>
      </c>
      <c r="G377" s="257">
        <v>4</v>
      </c>
      <c r="H377" s="101">
        <f t="shared" si="10"/>
        <v>5.0471137387612286</v>
      </c>
      <c r="I377" s="102" t="str">
        <f t="shared" si="11"/>
        <v/>
      </c>
    </row>
    <row r="378" spans="1:9" ht="13" x14ac:dyDescent="0.15">
      <c r="A378" s="257" t="s">
        <v>339</v>
      </c>
      <c r="B378" s="257">
        <v>53</v>
      </c>
      <c r="C378" s="387">
        <v>0.98175544704234341</v>
      </c>
      <c r="D378" s="257">
        <v>82</v>
      </c>
      <c r="E378" s="257">
        <v>11</v>
      </c>
      <c r="F378" s="257">
        <v>7</v>
      </c>
      <c r="G378" s="257">
        <v>2</v>
      </c>
      <c r="H378" s="101">
        <f t="shared" si="10"/>
        <v>5.0455999123192381</v>
      </c>
      <c r="I378" s="102" t="str">
        <f t="shared" si="11"/>
        <v/>
      </c>
    </row>
    <row r="379" spans="1:9" ht="13" x14ac:dyDescent="0.15">
      <c r="A379" s="257" t="s">
        <v>339</v>
      </c>
      <c r="B379" s="257">
        <v>53</v>
      </c>
      <c r="C379" s="387">
        <v>0.98265382524391087</v>
      </c>
      <c r="D379" s="257">
        <v>83</v>
      </c>
      <c r="E379" s="257">
        <v>11</v>
      </c>
      <c r="F379" s="257">
        <v>7</v>
      </c>
      <c r="G379" s="257">
        <v>2</v>
      </c>
      <c r="H379" s="101">
        <f t="shared" si="10"/>
        <v>5.0502170061064069</v>
      </c>
      <c r="I379" s="102" t="str">
        <f t="shared" si="11"/>
        <v/>
      </c>
    </row>
    <row r="380" spans="1:9" ht="13" x14ac:dyDescent="0.15">
      <c r="A380" s="257" t="s">
        <v>339</v>
      </c>
      <c r="B380" s="257">
        <v>53</v>
      </c>
      <c r="C380" s="387">
        <v>0.98220116475302244</v>
      </c>
      <c r="D380" s="257">
        <v>85</v>
      </c>
      <c r="E380" s="257">
        <v>11</v>
      </c>
      <c r="F380" s="257">
        <v>7</v>
      </c>
      <c r="G380" s="257">
        <v>2</v>
      </c>
      <c r="H380" s="101">
        <f t="shared" si="10"/>
        <v>5.047890618470853</v>
      </c>
      <c r="I380" s="102" t="str">
        <f t="shared" si="11"/>
        <v/>
      </c>
    </row>
    <row r="381" spans="1:9" ht="13" x14ac:dyDescent="0.15">
      <c r="A381" s="257" t="s">
        <v>339</v>
      </c>
      <c r="B381" s="257">
        <v>53</v>
      </c>
      <c r="C381" s="387">
        <v>0.9827073612369065</v>
      </c>
      <c r="D381" s="257">
        <v>87</v>
      </c>
      <c r="E381" s="257">
        <v>11</v>
      </c>
      <c r="F381" s="257">
        <v>7</v>
      </c>
      <c r="G381" s="257">
        <v>2</v>
      </c>
      <c r="H381" s="101">
        <f t="shared" si="10"/>
        <v>5.050492147133002</v>
      </c>
      <c r="I381" s="102" t="str">
        <f t="shared" si="11"/>
        <v/>
      </c>
    </row>
    <row r="382" spans="1:9" ht="13" x14ac:dyDescent="0.15">
      <c r="A382" s="257" t="s">
        <v>339</v>
      </c>
      <c r="B382" s="257">
        <v>53</v>
      </c>
      <c r="C382" s="387">
        <v>0.98027474440169449</v>
      </c>
      <c r="D382" s="257">
        <v>145</v>
      </c>
      <c r="E382" s="257">
        <v>19</v>
      </c>
      <c r="F382" s="257">
        <v>14</v>
      </c>
      <c r="G382" s="257">
        <v>2</v>
      </c>
      <c r="H382" s="101">
        <f t="shared" si="10"/>
        <v>5.0379900404959272</v>
      </c>
      <c r="I382" s="102" t="str">
        <f t="shared" si="11"/>
        <v/>
      </c>
    </row>
    <row r="383" spans="1:9" ht="13" x14ac:dyDescent="0.15">
      <c r="A383" s="257" t="s">
        <v>339</v>
      </c>
      <c r="B383" s="257">
        <v>53</v>
      </c>
      <c r="C383" s="387">
        <v>0.9799095692989459</v>
      </c>
      <c r="D383" s="257">
        <v>148</v>
      </c>
      <c r="E383" s="257">
        <v>19</v>
      </c>
      <c r="F383" s="257">
        <v>14</v>
      </c>
      <c r="G383" s="257">
        <v>2</v>
      </c>
      <c r="H383" s="101">
        <f t="shared" si="10"/>
        <v>5.0361132722315292</v>
      </c>
      <c r="I383" s="102" t="str">
        <f t="shared" si="11"/>
        <v/>
      </c>
    </row>
    <row r="384" spans="1:9" ht="13" x14ac:dyDescent="0.15">
      <c r="A384" s="257" t="s">
        <v>339</v>
      </c>
      <c r="B384" s="257">
        <v>53</v>
      </c>
      <c r="C384" s="387">
        <v>0.98073914660168904</v>
      </c>
      <c r="D384" s="257">
        <v>150</v>
      </c>
      <c r="E384" s="257">
        <v>19</v>
      </c>
      <c r="F384" s="257">
        <v>14</v>
      </c>
      <c r="G384" s="257">
        <v>2</v>
      </c>
      <c r="H384" s="101">
        <f t="shared" si="10"/>
        <v>5.0403767730642395</v>
      </c>
      <c r="I384" s="102" t="str">
        <f t="shared" si="11"/>
        <v/>
      </c>
    </row>
    <row r="385" spans="1:9" ht="13" x14ac:dyDescent="0.15">
      <c r="A385" s="257" t="s">
        <v>339</v>
      </c>
      <c r="B385" s="257">
        <v>53</v>
      </c>
      <c r="C385" s="387">
        <v>0.98025672594186497</v>
      </c>
      <c r="D385" s="257">
        <v>151</v>
      </c>
      <c r="E385" s="257">
        <v>19</v>
      </c>
      <c r="F385" s="257">
        <v>14</v>
      </c>
      <c r="G385" s="257">
        <v>2</v>
      </c>
      <c r="H385" s="101">
        <f t="shared" si="10"/>
        <v>5.0378974370480831</v>
      </c>
      <c r="I385" s="102" t="str">
        <f t="shared" si="11"/>
        <v/>
      </c>
    </row>
    <row r="386" spans="1:9" ht="13" x14ac:dyDescent="0.15">
      <c r="A386" s="257" t="s">
        <v>340</v>
      </c>
      <c r="B386" s="257">
        <v>54</v>
      </c>
      <c r="C386" s="387">
        <v>0.98536482268037717</v>
      </c>
      <c r="D386" s="257">
        <v>57</v>
      </c>
      <c r="E386" s="257">
        <v>8</v>
      </c>
      <c r="F386" s="257">
        <v>6</v>
      </c>
      <c r="G386" s="257">
        <v>4</v>
      </c>
      <c r="H386" s="101">
        <f t="shared" ref="H386:H449" si="12">IF(ISBLANK(C386),"",C386*$L$13)</f>
        <v>5.064149812355601</v>
      </c>
      <c r="I386" s="102" t="str">
        <f t="shared" ref="I386:I449" si="13">IF(ISNUMBER(H386),IF(ABS(H386-$L$14)&gt;$M$16,"OUT",""),"")</f>
        <v/>
      </c>
    </row>
    <row r="387" spans="1:9" ht="13" x14ac:dyDescent="0.15">
      <c r="A387" s="257" t="s">
        <v>340</v>
      </c>
      <c r="B387" s="257">
        <v>54</v>
      </c>
      <c r="C387" s="387">
        <v>0.98540440730910339</v>
      </c>
      <c r="D387" s="257">
        <v>60</v>
      </c>
      <c r="E387" s="257">
        <v>8</v>
      </c>
      <c r="F387" s="257">
        <v>6</v>
      </c>
      <c r="G387" s="257">
        <v>4</v>
      </c>
      <c r="H387" s="101">
        <f t="shared" si="12"/>
        <v>5.0643532522242891</v>
      </c>
      <c r="I387" s="102" t="str">
        <f t="shared" si="13"/>
        <v/>
      </c>
    </row>
    <row r="388" spans="1:9" ht="13" x14ac:dyDescent="0.15">
      <c r="A388" s="257" t="s">
        <v>340</v>
      </c>
      <c r="B388" s="257">
        <v>54</v>
      </c>
      <c r="C388" s="387">
        <v>0.98572975459638867</v>
      </c>
      <c r="D388" s="257">
        <v>61</v>
      </c>
      <c r="E388" s="257">
        <v>8</v>
      </c>
      <c r="F388" s="257">
        <v>6</v>
      </c>
      <c r="G388" s="257">
        <v>4</v>
      </c>
      <c r="H388" s="101">
        <f t="shared" si="12"/>
        <v>5.0660253307945133</v>
      </c>
      <c r="I388" s="102" t="str">
        <f t="shared" si="13"/>
        <v/>
      </c>
    </row>
    <row r="389" spans="1:9" ht="13" x14ac:dyDescent="0.15">
      <c r="A389" s="257" t="s">
        <v>340</v>
      </c>
      <c r="B389" s="257">
        <v>54</v>
      </c>
      <c r="C389" s="387">
        <v>0.98577170174069062</v>
      </c>
      <c r="D389" s="257">
        <v>64</v>
      </c>
      <c r="E389" s="257">
        <v>8</v>
      </c>
      <c r="F389" s="257">
        <v>6</v>
      </c>
      <c r="G389" s="257">
        <v>4</v>
      </c>
      <c r="H389" s="101">
        <f t="shared" si="12"/>
        <v>5.0662409124938552</v>
      </c>
      <c r="I389" s="102" t="str">
        <f t="shared" si="13"/>
        <v/>
      </c>
    </row>
    <row r="390" spans="1:9" ht="13" x14ac:dyDescent="0.15">
      <c r="A390" s="257" t="s">
        <v>340</v>
      </c>
      <c r="B390" s="257">
        <v>54</v>
      </c>
      <c r="C390" s="387">
        <v>0.98397482528544977</v>
      </c>
      <c r="D390" s="257">
        <v>177</v>
      </c>
      <c r="E390" s="257">
        <v>23</v>
      </c>
      <c r="F390" s="257">
        <v>16</v>
      </c>
      <c r="G390" s="257">
        <v>2</v>
      </c>
      <c r="H390" s="101">
        <f t="shared" si="12"/>
        <v>5.0570061079278865</v>
      </c>
      <c r="I390" s="102" t="str">
        <f t="shared" si="13"/>
        <v/>
      </c>
    </row>
    <row r="391" spans="1:9" ht="13" x14ac:dyDescent="0.15">
      <c r="A391" s="257" t="s">
        <v>340</v>
      </c>
      <c r="B391" s="257">
        <v>54</v>
      </c>
      <c r="C391" s="387">
        <v>0.98310528272656261</v>
      </c>
      <c r="D391" s="257">
        <v>180</v>
      </c>
      <c r="E391" s="257">
        <v>23</v>
      </c>
      <c r="F391" s="257">
        <v>16</v>
      </c>
      <c r="G391" s="257">
        <v>2</v>
      </c>
      <c r="H391" s="101">
        <f t="shared" si="12"/>
        <v>5.0525372110431315</v>
      </c>
      <c r="I391" s="102" t="str">
        <f t="shared" si="13"/>
        <v/>
      </c>
    </row>
    <row r="392" spans="1:9" ht="13" x14ac:dyDescent="0.15">
      <c r="A392" s="257" t="s">
        <v>340</v>
      </c>
      <c r="B392" s="257">
        <v>54</v>
      </c>
      <c r="C392" s="387">
        <v>0.98166748486713962</v>
      </c>
      <c r="D392" s="257">
        <v>182</v>
      </c>
      <c r="E392" s="257">
        <v>23</v>
      </c>
      <c r="F392" s="257">
        <v>16</v>
      </c>
      <c r="G392" s="257">
        <v>2</v>
      </c>
      <c r="H392" s="101">
        <f t="shared" si="12"/>
        <v>5.0451478425651741</v>
      </c>
      <c r="I392" s="102" t="str">
        <f t="shared" si="13"/>
        <v/>
      </c>
    </row>
    <row r="393" spans="1:9" ht="13" x14ac:dyDescent="0.15">
      <c r="A393" s="257" t="s">
        <v>340</v>
      </c>
      <c r="B393" s="257">
        <v>54</v>
      </c>
      <c r="C393" s="387">
        <v>0.98246245519835906</v>
      </c>
      <c r="D393" s="257">
        <v>183</v>
      </c>
      <c r="E393" s="257">
        <v>23</v>
      </c>
      <c r="F393" s="257">
        <v>16</v>
      </c>
      <c r="G393" s="257">
        <v>2</v>
      </c>
      <c r="H393" s="101">
        <f t="shared" si="12"/>
        <v>5.0492334855280738</v>
      </c>
      <c r="I393" s="102" t="str">
        <f t="shared" si="13"/>
        <v/>
      </c>
    </row>
    <row r="394" spans="1:9" ht="13" x14ac:dyDescent="0.15">
      <c r="A394" s="257" t="s">
        <v>341</v>
      </c>
      <c r="B394" s="257">
        <v>55</v>
      </c>
      <c r="C394" s="387">
        <v>0.98029652850201143</v>
      </c>
      <c r="D394" s="257">
        <v>65</v>
      </c>
      <c r="E394" s="257">
        <v>9</v>
      </c>
      <c r="F394" s="257">
        <v>6</v>
      </c>
      <c r="G394" s="257">
        <v>4</v>
      </c>
      <c r="H394" s="101">
        <f t="shared" si="12"/>
        <v>5.0381019969459579</v>
      </c>
      <c r="I394" s="102" t="str">
        <f t="shared" si="13"/>
        <v/>
      </c>
    </row>
    <row r="395" spans="1:9" ht="13" x14ac:dyDescent="0.15">
      <c r="A395" s="257" t="s">
        <v>341</v>
      </c>
      <c r="B395" s="257">
        <v>55</v>
      </c>
      <c r="C395" s="387">
        <v>0.97947018494363047</v>
      </c>
      <c r="D395" s="257">
        <v>68</v>
      </c>
      <c r="E395" s="257">
        <v>9</v>
      </c>
      <c r="F395" s="257">
        <v>6</v>
      </c>
      <c r="G395" s="257">
        <v>4</v>
      </c>
      <c r="H395" s="101">
        <f t="shared" si="12"/>
        <v>5.0338551155069267</v>
      </c>
      <c r="I395" s="102" t="str">
        <f t="shared" si="13"/>
        <v/>
      </c>
    </row>
    <row r="396" spans="1:9" ht="13" x14ac:dyDescent="0.15">
      <c r="A396" s="257" t="s">
        <v>341</v>
      </c>
      <c r="B396" s="257">
        <v>55</v>
      </c>
      <c r="C396" s="387">
        <v>0.9812975821661617</v>
      </c>
      <c r="D396" s="257">
        <v>69</v>
      </c>
      <c r="E396" s="257">
        <v>9</v>
      </c>
      <c r="F396" s="257">
        <v>6</v>
      </c>
      <c r="G396" s="257">
        <v>4</v>
      </c>
      <c r="H396" s="101">
        <f t="shared" si="12"/>
        <v>5.0432467774463161</v>
      </c>
      <c r="I396" s="102" t="str">
        <f t="shared" si="13"/>
        <v/>
      </c>
    </row>
    <row r="397" spans="1:9" ht="13" x14ac:dyDescent="0.15">
      <c r="A397" s="257" t="s">
        <v>341</v>
      </c>
      <c r="B397" s="257">
        <v>55</v>
      </c>
      <c r="C397" s="387">
        <v>0.98032691966919938</v>
      </c>
      <c r="D397" s="257">
        <v>72</v>
      </c>
      <c r="E397" s="257">
        <v>9</v>
      </c>
      <c r="F397" s="257">
        <v>6</v>
      </c>
      <c r="G397" s="257">
        <v>4</v>
      </c>
      <c r="H397" s="101">
        <f t="shared" si="12"/>
        <v>5.0382581882571049</v>
      </c>
      <c r="I397" s="102" t="str">
        <f t="shared" si="13"/>
        <v/>
      </c>
    </row>
    <row r="398" spans="1:9" ht="13" x14ac:dyDescent="0.15">
      <c r="A398" s="257" t="s">
        <v>341</v>
      </c>
      <c r="B398" s="257">
        <v>55</v>
      </c>
      <c r="C398" s="387">
        <v>0.97944896826769412</v>
      </c>
      <c r="D398" s="257">
        <v>178</v>
      </c>
      <c r="E398" s="257">
        <v>23</v>
      </c>
      <c r="F398" s="257">
        <v>16</v>
      </c>
      <c r="G398" s="257">
        <v>5</v>
      </c>
      <c r="H398" s="101">
        <f t="shared" si="12"/>
        <v>5.0337460752580876</v>
      </c>
      <c r="I398" s="102" t="str">
        <f t="shared" si="13"/>
        <v/>
      </c>
    </row>
    <row r="399" spans="1:9" ht="13" x14ac:dyDescent="0.15">
      <c r="A399" s="257" t="s">
        <v>341</v>
      </c>
      <c r="B399" s="257">
        <v>55</v>
      </c>
      <c r="C399" s="387">
        <v>0.9801477478142443</v>
      </c>
      <c r="D399" s="257">
        <v>179</v>
      </c>
      <c r="E399" s="257">
        <v>23</v>
      </c>
      <c r="F399" s="257">
        <v>16</v>
      </c>
      <c r="G399" s="257">
        <v>5</v>
      </c>
      <c r="H399" s="101">
        <f t="shared" si="12"/>
        <v>5.0373373586366785</v>
      </c>
      <c r="I399" s="102" t="str">
        <f t="shared" si="13"/>
        <v/>
      </c>
    </row>
    <row r="400" spans="1:9" ht="13" x14ac:dyDescent="0.15">
      <c r="A400" s="257" t="s">
        <v>341</v>
      </c>
      <c r="B400" s="257">
        <v>55</v>
      </c>
      <c r="C400" s="387">
        <v>0.98024905323185496</v>
      </c>
      <c r="D400" s="257">
        <v>181</v>
      </c>
      <c r="E400" s="257">
        <v>23</v>
      </c>
      <c r="F400" s="257">
        <v>16</v>
      </c>
      <c r="G400" s="257">
        <v>5</v>
      </c>
      <c r="H400" s="101">
        <f t="shared" si="12"/>
        <v>5.0378580041882302</v>
      </c>
      <c r="I400" s="102" t="str">
        <f t="shared" si="13"/>
        <v/>
      </c>
    </row>
    <row r="401" spans="1:9" ht="13" x14ac:dyDescent="0.15">
      <c r="A401" s="257" t="s">
        <v>341</v>
      </c>
      <c r="B401" s="257">
        <v>55</v>
      </c>
      <c r="C401" s="387">
        <v>0.97863890626355698</v>
      </c>
      <c r="D401" s="257">
        <v>183</v>
      </c>
      <c r="E401" s="257">
        <v>23</v>
      </c>
      <c r="F401" s="257">
        <v>16</v>
      </c>
      <c r="G401" s="257">
        <v>5</v>
      </c>
      <c r="H401" s="101">
        <f t="shared" si="12"/>
        <v>5.0295828706745427</v>
      </c>
      <c r="I401" s="102" t="str">
        <f t="shared" si="13"/>
        <v/>
      </c>
    </row>
    <row r="402" spans="1:9" ht="13" x14ac:dyDescent="0.15">
      <c r="A402" s="257" t="s">
        <v>342</v>
      </c>
      <c r="B402" s="257">
        <v>56</v>
      </c>
      <c r="C402" s="387">
        <v>0.9871983958286854</v>
      </c>
      <c r="D402" s="257">
        <v>105</v>
      </c>
      <c r="E402" s="257">
        <v>14</v>
      </c>
      <c r="F402" s="257">
        <v>10</v>
      </c>
      <c r="G402" s="257">
        <v>3</v>
      </c>
      <c r="H402" s="101">
        <f t="shared" si="12"/>
        <v>5.0735732146338428</v>
      </c>
      <c r="I402" s="102" t="str">
        <f t="shared" si="13"/>
        <v/>
      </c>
    </row>
    <row r="403" spans="1:9" ht="13" x14ac:dyDescent="0.15">
      <c r="A403" s="257" t="s">
        <v>342</v>
      </c>
      <c r="B403" s="257">
        <v>56</v>
      </c>
      <c r="C403" s="387">
        <v>0.98742358927374962</v>
      </c>
      <c r="D403" s="257">
        <v>107</v>
      </c>
      <c r="E403" s="257">
        <v>14</v>
      </c>
      <c r="F403" s="257">
        <v>10</v>
      </c>
      <c r="G403" s="257">
        <v>3</v>
      </c>
      <c r="H403" s="101">
        <f t="shared" si="12"/>
        <v>5.074730566019154</v>
      </c>
      <c r="I403" s="102" t="str">
        <f t="shared" si="13"/>
        <v/>
      </c>
    </row>
    <row r="404" spans="1:9" ht="13" x14ac:dyDescent="0.15">
      <c r="A404" s="257" t="s">
        <v>342</v>
      </c>
      <c r="B404" s="257">
        <v>56</v>
      </c>
      <c r="C404" s="387">
        <v>0.98621570468214814</v>
      </c>
      <c r="D404" s="257">
        <v>110</v>
      </c>
      <c r="E404" s="257">
        <v>14</v>
      </c>
      <c r="F404" s="257">
        <v>10</v>
      </c>
      <c r="G404" s="257">
        <v>3</v>
      </c>
      <c r="H404" s="101">
        <f t="shared" si="12"/>
        <v>5.0685228058199749</v>
      </c>
      <c r="I404" s="102" t="str">
        <f t="shared" si="13"/>
        <v/>
      </c>
    </row>
    <row r="405" spans="1:9" ht="13" x14ac:dyDescent="0.15">
      <c r="A405" s="257" t="s">
        <v>342</v>
      </c>
      <c r="B405" s="257">
        <v>56</v>
      </c>
      <c r="C405" s="387">
        <v>0.98781347891259963</v>
      </c>
      <c r="D405" s="257">
        <v>111</v>
      </c>
      <c r="E405" s="257">
        <v>14</v>
      </c>
      <c r="F405" s="257">
        <v>10</v>
      </c>
      <c r="G405" s="257">
        <v>3</v>
      </c>
      <c r="H405" s="101">
        <f t="shared" si="12"/>
        <v>5.0767343513136707</v>
      </c>
      <c r="I405" s="102" t="str">
        <f t="shared" si="13"/>
        <v/>
      </c>
    </row>
    <row r="406" spans="1:9" ht="13" x14ac:dyDescent="0.15">
      <c r="A406" s="257" t="s">
        <v>342</v>
      </c>
      <c r="B406" s="257">
        <v>56</v>
      </c>
      <c r="C406" s="387">
        <v>0.98526891976640907</v>
      </c>
      <c r="D406" s="257">
        <v>161</v>
      </c>
      <c r="E406" s="257">
        <v>21</v>
      </c>
      <c r="F406" s="257">
        <v>15</v>
      </c>
      <c r="G406" s="257">
        <v>2</v>
      </c>
      <c r="H406" s="101">
        <f t="shared" si="12"/>
        <v>5.0636569322439948</v>
      </c>
      <c r="I406" s="102" t="str">
        <f t="shared" si="13"/>
        <v/>
      </c>
    </row>
    <row r="407" spans="1:9" ht="13" x14ac:dyDescent="0.15">
      <c r="A407" s="257" t="s">
        <v>342</v>
      </c>
      <c r="B407" s="257">
        <v>56</v>
      </c>
      <c r="C407" s="387">
        <v>0.98563314932289015</v>
      </c>
      <c r="D407" s="257">
        <v>164</v>
      </c>
      <c r="E407" s="257">
        <v>21</v>
      </c>
      <c r="F407" s="257">
        <v>15</v>
      </c>
      <c r="G407" s="257">
        <v>2</v>
      </c>
      <c r="H407" s="101">
        <f t="shared" si="12"/>
        <v>5.0655288410006829</v>
      </c>
      <c r="I407" s="102" t="str">
        <f t="shared" si="13"/>
        <v/>
      </c>
    </row>
    <row r="408" spans="1:9" ht="13" x14ac:dyDescent="0.15">
      <c r="A408" s="257" t="s">
        <v>342</v>
      </c>
      <c r="B408" s="257">
        <v>56</v>
      </c>
      <c r="C408" s="387">
        <v>0.98541742305248758</v>
      </c>
      <c r="D408" s="257">
        <v>166</v>
      </c>
      <c r="E408" s="257">
        <v>21</v>
      </c>
      <c r="F408" s="257">
        <v>15</v>
      </c>
      <c r="G408" s="257">
        <v>2</v>
      </c>
      <c r="H408" s="101">
        <f t="shared" si="12"/>
        <v>5.064420144884652</v>
      </c>
      <c r="I408" s="102" t="str">
        <f t="shared" si="13"/>
        <v/>
      </c>
    </row>
    <row r="409" spans="1:9" ht="13" x14ac:dyDescent="0.15">
      <c r="A409" s="257" t="s">
        <v>342</v>
      </c>
      <c r="B409" s="257">
        <v>56</v>
      </c>
      <c r="C409" s="387">
        <v>0.98650126152207918</v>
      </c>
      <c r="D409" s="257">
        <v>167</v>
      </c>
      <c r="E409" s="257">
        <v>21</v>
      </c>
      <c r="F409" s="257">
        <v>15</v>
      </c>
      <c r="G409" s="257">
        <v>2</v>
      </c>
      <c r="H409" s="101">
        <f t="shared" si="12"/>
        <v>5.0699903867443883</v>
      </c>
      <c r="I409" s="102" t="str">
        <f t="shared" si="13"/>
        <v/>
      </c>
    </row>
    <row r="410" spans="1:9" ht="13" x14ac:dyDescent="0.15">
      <c r="A410" s="257" t="s">
        <v>343</v>
      </c>
      <c r="B410" s="257">
        <v>57</v>
      </c>
      <c r="C410" s="387">
        <v>0.98829756025139004</v>
      </c>
      <c r="D410" s="257">
        <v>113</v>
      </c>
      <c r="E410" s="257">
        <v>15</v>
      </c>
      <c r="F410" s="257">
        <v>11</v>
      </c>
      <c r="G410" s="257">
        <v>4</v>
      </c>
      <c r="H410" s="101">
        <f t="shared" si="12"/>
        <v>5.0792222221657397</v>
      </c>
      <c r="I410" s="102" t="str">
        <f t="shared" si="13"/>
        <v/>
      </c>
    </row>
    <row r="411" spans="1:9" ht="13" x14ac:dyDescent="0.15">
      <c r="A411" s="257" t="s">
        <v>343</v>
      </c>
      <c r="B411" s="257">
        <v>57</v>
      </c>
      <c r="C411" s="387">
        <v>0.98814692185543873</v>
      </c>
      <c r="D411" s="257">
        <v>116</v>
      </c>
      <c r="E411" s="257">
        <v>15</v>
      </c>
      <c r="F411" s="257">
        <v>11</v>
      </c>
      <c r="G411" s="257">
        <v>4</v>
      </c>
      <c r="H411" s="101">
        <f t="shared" si="12"/>
        <v>5.0784480364154145</v>
      </c>
      <c r="I411" s="102" t="str">
        <f t="shared" si="13"/>
        <v/>
      </c>
    </row>
    <row r="412" spans="1:9" ht="13" x14ac:dyDescent="0.15">
      <c r="A412" s="257" t="s">
        <v>343</v>
      </c>
      <c r="B412" s="257">
        <v>57</v>
      </c>
      <c r="C412" s="387">
        <v>0.98757312525679775</v>
      </c>
      <c r="D412" s="257">
        <v>117</v>
      </c>
      <c r="E412" s="257">
        <v>15</v>
      </c>
      <c r="F412" s="257">
        <v>11</v>
      </c>
      <c r="G412" s="257">
        <v>4</v>
      </c>
      <c r="H412" s="101">
        <f t="shared" si="12"/>
        <v>5.0754990860668183</v>
      </c>
      <c r="I412" s="102" t="str">
        <f t="shared" si="13"/>
        <v/>
      </c>
    </row>
    <row r="413" spans="1:9" ht="13" x14ac:dyDescent="0.15">
      <c r="A413" s="257" t="s">
        <v>343</v>
      </c>
      <c r="B413" s="257">
        <v>57</v>
      </c>
      <c r="C413" s="387">
        <v>0.98759006624272927</v>
      </c>
      <c r="D413" s="257">
        <v>120</v>
      </c>
      <c r="E413" s="257">
        <v>15</v>
      </c>
      <c r="F413" s="257">
        <v>11</v>
      </c>
      <c r="G413" s="257">
        <v>4</v>
      </c>
      <c r="H413" s="101">
        <f t="shared" si="12"/>
        <v>5.0755861519826615</v>
      </c>
      <c r="I413" s="102" t="str">
        <f t="shared" si="13"/>
        <v/>
      </c>
    </row>
    <row r="414" spans="1:9" ht="13" x14ac:dyDescent="0.15">
      <c r="A414" s="257" t="s">
        <v>343</v>
      </c>
      <c r="B414" s="257">
        <v>57</v>
      </c>
      <c r="C414" s="387">
        <v>0.98637871606183125</v>
      </c>
      <c r="D414" s="257">
        <v>121</v>
      </c>
      <c r="E414" s="257">
        <v>16</v>
      </c>
      <c r="F414" s="257">
        <v>12</v>
      </c>
      <c r="G414" s="257">
        <v>2</v>
      </c>
      <c r="H414" s="101">
        <f t="shared" si="12"/>
        <v>5.0693605808539859</v>
      </c>
      <c r="I414" s="102" t="str">
        <f t="shared" si="13"/>
        <v/>
      </c>
    </row>
    <row r="415" spans="1:9" ht="13" x14ac:dyDescent="0.15">
      <c r="A415" s="257" t="s">
        <v>343</v>
      </c>
      <c r="B415" s="257">
        <v>57</v>
      </c>
      <c r="C415" s="387">
        <v>0.98681486715222622</v>
      </c>
      <c r="D415" s="257">
        <v>124</v>
      </c>
      <c r="E415" s="257">
        <v>16</v>
      </c>
      <c r="F415" s="257">
        <v>12</v>
      </c>
      <c r="G415" s="257">
        <v>2</v>
      </c>
      <c r="H415" s="101">
        <f t="shared" si="12"/>
        <v>5.0716021206489366</v>
      </c>
      <c r="I415" s="102" t="str">
        <f t="shared" si="13"/>
        <v/>
      </c>
    </row>
    <row r="416" spans="1:9" ht="13" x14ac:dyDescent="0.15">
      <c r="A416" s="257" t="s">
        <v>343</v>
      </c>
      <c r="B416" s="257">
        <v>57</v>
      </c>
      <c r="C416" s="387">
        <v>0.98721065540504294</v>
      </c>
      <c r="D416" s="257">
        <v>125</v>
      </c>
      <c r="E416" s="257">
        <v>16</v>
      </c>
      <c r="F416" s="257">
        <v>12</v>
      </c>
      <c r="G416" s="257">
        <v>2</v>
      </c>
      <c r="H416" s="101">
        <f t="shared" si="12"/>
        <v>5.073636221075601</v>
      </c>
      <c r="I416" s="102" t="str">
        <f t="shared" si="13"/>
        <v/>
      </c>
    </row>
    <row r="417" spans="1:9" ht="13" x14ac:dyDescent="0.15">
      <c r="A417" s="257" t="s">
        <v>343</v>
      </c>
      <c r="B417" s="257">
        <v>57</v>
      </c>
      <c r="C417" s="387">
        <v>0.98724420288228087</v>
      </c>
      <c r="D417" s="257">
        <v>127</v>
      </c>
      <c r="E417" s="257">
        <v>16</v>
      </c>
      <c r="F417" s="257">
        <v>12</v>
      </c>
      <c r="G417" s="257">
        <v>2</v>
      </c>
      <c r="H417" s="101">
        <f t="shared" si="12"/>
        <v>5.0738086338172055</v>
      </c>
      <c r="I417" s="102" t="str">
        <f t="shared" si="13"/>
        <v/>
      </c>
    </row>
    <row r="418" spans="1:9" ht="13" x14ac:dyDescent="0.15">
      <c r="A418" s="257" t="s">
        <v>344</v>
      </c>
      <c r="B418" s="257">
        <v>58</v>
      </c>
      <c r="C418" s="387">
        <v>0.97507493438769488</v>
      </c>
      <c r="D418" s="257">
        <v>106</v>
      </c>
      <c r="E418" s="257">
        <v>14</v>
      </c>
      <c r="F418" s="257">
        <v>10</v>
      </c>
      <c r="G418" s="257">
        <v>2</v>
      </c>
      <c r="H418" s="101">
        <f t="shared" si="12"/>
        <v>5.0112663171595786</v>
      </c>
      <c r="I418" s="102" t="str">
        <f t="shared" si="13"/>
        <v/>
      </c>
    </row>
    <row r="419" spans="1:9" ht="13" x14ac:dyDescent="0.15">
      <c r="A419" s="257" t="s">
        <v>344</v>
      </c>
      <c r="B419" s="257">
        <v>58</v>
      </c>
      <c r="C419" s="387">
        <v>0.97645027682426733</v>
      </c>
      <c r="D419" s="257">
        <v>107</v>
      </c>
      <c r="E419" s="257">
        <v>14</v>
      </c>
      <c r="F419" s="257">
        <v>10</v>
      </c>
      <c r="G419" s="257">
        <v>2</v>
      </c>
      <c r="H419" s="101">
        <f t="shared" si="12"/>
        <v>5.0183347044023332</v>
      </c>
      <c r="I419" s="102" t="str">
        <f t="shared" si="13"/>
        <v/>
      </c>
    </row>
    <row r="420" spans="1:9" ht="13" x14ac:dyDescent="0.15">
      <c r="A420" s="257" t="s">
        <v>344</v>
      </c>
      <c r="B420" s="257">
        <v>58</v>
      </c>
      <c r="C420" s="387">
        <v>0.97485504260130773</v>
      </c>
      <c r="D420" s="257">
        <v>109</v>
      </c>
      <c r="E420" s="257">
        <v>14</v>
      </c>
      <c r="F420" s="257">
        <v>10</v>
      </c>
      <c r="G420" s="257">
        <v>2</v>
      </c>
      <c r="H420" s="101">
        <f t="shared" si="12"/>
        <v>5.0101362129350928</v>
      </c>
      <c r="I420" s="102" t="str">
        <f t="shared" si="13"/>
        <v/>
      </c>
    </row>
    <row r="421" spans="1:9" ht="13" x14ac:dyDescent="0.15">
      <c r="A421" s="257" t="s">
        <v>344</v>
      </c>
      <c r="B421" s="257">
        <v>58</v>
      </c>
      <c r="C421" s="387">
        <v>0.97594750910051975</v>
      </c>
      <c r="D421" s="257">
        <v>111</v>
      </c>
      <c r="E421" s="257">
        <v>14</v>
      </c>
      <c r="F421" s="257">
        <v>10</v>
      </c>
      <c r="G421" s="257">
        <v>2</v>
      </c>
      <c r="H421" s="101">
        <f t="shared" si="12"/>
        <v>5.0157507973911732</v>
      </c>
      <c r="I421" s="102" t="str">
        <f t="shared" si="13"/>
        <v/>
      </c>
    </row>
    <row r="422" spans="1:9" ht="13" x14ac:dyDescent="0.15">
      <c r="A422" s="257" t="s">
        <v>344</v>
      </c>
      <c r="B422" s="257">
        <v>58</v>
      </c>
      <c r="C422" s="387">
        <v>0.975532705092654</v>
      </c>
      <c r="D422" s="257">
        <v>237</v>
      </c>
      <c r="E422" s="257">
        <v>31</v>
      </c>
      <c r="F422" s="257">
        <v>22</v>
      </c>
      <c r="G422" s="257">
        <v>3</v>
      </c>
      <c r="H422" s="101">
        <f t="shared" si="12"/>
        <v>5.0136189680521834</v>
      </c>
      <c r="I422" s="102" t="str">
        <f t="shared" si="13"/>
        <v/>
      </c>
    </row>
    <row r="423" spans="1:9" ht="13" x14ac:dyDescent="0.15">
      <c r="A423" s="257" t="s">
        <v>344</v>
      </c>
      <c r="B423" s="257">
        <v>58</v>
      </c>
      <c r="C423" s="387">
        <v>0.97556295082028321</v>
      </c>
      <c r="D423" s="257">
        <v>239</v>
      </c>
      <c r="E423" s="257">
        <v>31</v>
      </c>
      <c r="F423" s="257">
        <v>22</v>
      </c>
      <c r="G423" s="257">
        <v>3</v>
      </c>
      <c r="H423" s="101">
        <f t="shared" si="12"/>
        <v>5.0137744118963035</v>
      </c>
      <c r="I423" s="102" t="str">
        <f t="shared" si="13"/>
        <v/>
      </c>
    </row>
    <row r="424" spans="1:9" ht="13" x14ac:dyDescent="0.15">
      <c r="A424" s="257" t="s">
        <v>344</v>
      </c>
      <c r="B424" s="257">
        <v>58</v>
      </c>
      <c r="C424" s="387">
        <v>0.97579018271348927</v>
      </c>
      <c r="D424" s="257">
        <v>241</v>
      </c>
      <c r="E424" s="257">
        <v>31</v>
      </c>
      <c r="F424" s="257">
        <v>22</v>
      </c>
      <c r="G424" s="257">
        <v>3</v>
      </c>
      <c r="H424" s="101">
        <f t="shared" si="12"/>
        <v>5.014942239611333</v>
      </c>
      <c r="I424" s="102" t="str">
        <f t="shared" si="13"/>
        <v/>
      </c>
    </row>
    <row r="425" spans="1:9" ht="13" x14ac:dyDescent="0.15">
      <c r="A425" s="257" t="s">
        <v>344</v>
      </c>
      <c r="B425" s="257">
        <v>58</v>
      </c>
      <c r="C425" s="387">
        <v>0.97638648658813421</v>
      </c>
      <c r="D425" s="257">
        <v>242</v>
      </c>
      <c r="E425" s="257">
        <v>31</v>
      </c>
      <c r="F425" s="257">
        <v>22</v>
      </c>
      <c r="G425" s="257">
        <v>3</v>
      </c>
      <c r="H425" s="101">
        <f t="shared" si="12"/>
        <v>5.0180068630740173</v>
      </c>
      <c r="I425" s="102" t="str">
        <f t="shared" si="13"/>
        <v/>
      </c>
    </row>
    <row r="426" spans="1:9" ht="13" x14ac:dyDescent="0.15">
      <c r="A426" s="257" t="s">
        <v>345</v>
      </c>
      <c r="B426" s="257">
        <v>59</v>
      </c>
      <c r="C426" s="387">
        <v>0.98916632690564166</v>
      </c>
      <c r="D426" s="257">
        <v>113</v>
      </c>
      <c r="E426" s="257">
        <v>15</v>
      </c>
      <c r="F426" s="257">
        <v>11</v>
      </c>
      <c r="G426" s="257">
        <v>3</v>
      </c>
      <c r="H426" s="101">
        <f t="shared" si="12"/>
        <v>5.0836871313931074</v>
      </c>
      <c r="I426" s="102" t="str">
        <f t="shared" si="13"/>
        <v/>
      </c>
    </row>
    <row r="427" spans="1:9" ht="13" x14ac:dyDescent="0.15">
      <c r="A427" s="257" t="s">
        <v>345</v>
      </c>
      <c r="B427" s="257">
        <v>59</v>
      </c>
      <c r="C427" s="387">
        <v>0.99050573121765739</v>
      </c>
      <c r="D427" s="257">
        <v>115</v>
      </c>
      <c r="E427" s="257">
        <v>15</v>
      </c>
      <c r="F427" s="257">
        <v>11</v>
      </c>
      <c r="G427" s="257">
        <v>3</v>
      </c>
      <c r="H427" s="101">
        <f t="shared" si="12"/>
        <v>5.0905708194842978</v>
      </c>
      <c r="I427" s="102" t="str">
        <f t="shared" si="13"/>
        <v/>
      </c>
    </row>
    <row r="428" spans="1:9" ht="13" x14ac:dyDescent="0.15">
      <c r="A428" s="257" t="s">
        <v>345</v>
      </c>
      <c r="B428" s="257">
        <v>59</v>
      </c>
      <c r="C428" s="387">
        <v>0.9900657401168903</v>
      </c>
      <c r="D428" s="257">
        <v>118</v>
      </c>
      <c r="E428" s="257">
        <v>15</v>
      </c>
      <c r="F428" s="257">
        <v>11</v>
      </c>
      <c r="G428" s="257">
        <v>3</v>
      </c>
      <c r="H428" s="101">
        <f t="shared" si="12"/>
        <v>5.0883095444731534</v>
      </c>
      <c r="I428" s="102" t="str">
        <f t="shared" si="13"/>
        <v/>
      </c>
    </row>
    <row r="429" spans="1:9" ht="13" x14ac:dyDescent="0.15">
      <c r="A429" s="257" t="s">
        <v>345</v>
      </c>
      <c r="B429" s="257">
        <v>59</v>
      </c>
      <c r="C429" s="387">
        <v>0.99084344187079065</v>
      </c>
      <c r="D429" s="257">
        <v>119</v>
      </c>
      <c r="E429" s="257">
        <v>15</v>
      </c>
      <c r="F429" s="257">
        <v>11</v>
      </c>
      <c r="G429" s="257">
        <v>3</v>
      </c>
      <c r="H429" s="101">
        <f t="shared" si="12"/>
        <v>5.0923064379083884</v>
      </c>
      <c r="I429" s="102" t="str">
        <f t="shared" si="13"/>
        <v/>
      </c>
    </row>
    <row r="430" spans="1:9" ht="13" x14ac:dyDescent="0.15">
      <c r="A430" s="257" t="s">
        <v>345</v>
      </c>
      <c r="B430" s="257">
        <v>59</v>
      </c>
      <c r="C430" s="387">
        <v>0.99129614330061655</v>
      </c>
      <c r="D430" s="257">
        <v>138</v>
      </c>
      <c r="E430" s="257">
        <v>18</v>
      </c>
      <c r="F430" s="257">
        <v>13</v>
      </c>
      <c r="G430" s="257">
        <v>3</v>
      </c>
      <c r="H430" s="101">
        <f t="shared" si="12"/>
        <v>5.0946330359440983</v>
      </c>
      <c r="I430" s="102" t="str">
        <f t="shared" si="13"/>
        <v>OUT</v>
      </c>
    </row>
    <row r="431" spans="1:9" ht="13" x14ac:dyDescent="0.15">
      <c r="A431" s="257" t="s">
        <v>345</v>
      </c>
      <c r="B431" s="257">
        <v>59</v>
      </c>
      <c r="C431" s="387">
        <v>0.99103032750977016</v>
      </c>
      <c r="D431" s="257">
        <v>140</v>
      </c>
      <c r="E431" s="257">
        <v>18</v>
      </c>
      <c r="F431" s="257">
        <v>13</v>
      </c>
      <c r="G431" s="257">
        <v>3</v>
      </c>
      <c r="H431" s="101">
        <f t="shared" si="12"/>
        <v>5.0932669114830347</v>
      </c>
      <c r="I431" s="102" t="str">
        <f t="shared" si="13"/>
        <v/>
      </c>
    </row>
    <row r="432" spans="1:9" ht="13" x14ac:dyDescent="0.15">
      <c r="A432" s="257" t="s">
        <v>345</v>
      </c>
      <c r="B432" s="257">
        <v>59</v>
      </c>
      <c r="C432" s="387">
        <v>0.99144646990470797</v>
      </c>
      <c r="D432" s="257">
        <v>142</v>
      </c>
      <c r="E432" s="257">
        <v>18</v>
      </c>
      <c r="F432" s="257">
        <v>13</v>
      </c>
      <c r="G432" s="257">
        <v>3</v>
      </c>
      <c r="H432" s="101">
        <f t="shared" si="12"/>
        <v>5.0954056192821469</v>
      </c>
      <c r="I432" s="102" t="str">
        <f t="shared" si="13"/>
        <v>OUT</v>
      </c>
    </row>
    <row r="433" spans="1:9" ht="13" x14ac:dyDescent="0.15">
      <c r="A433" s="257" t="s">
        <v>345</v>
      </c>
      <c r="B433" s="257">
        <v>59</v>
      </c>
      <c r="C433" s="387">
        <v>0.9905332665515364</v>
      </c>
      <c r="D433" s="257">
        <v>144</v>
      </c>
      <c r="E433" s="257">
        <v>18</v>
      </c>
      <c r="F433" s="257">
        <v>13</v>
      </c>
      <c r="G433" s="257">
        <v>3</v>
      </c>
      <c r="H433" s="101">
        <f t="shared" si="12"/>
        <v>5.0907123336247322</v>
      </c>
      <c r="I433" s="102" t="str">
        <f t="shared" si="13"/>
        <v/>
      </c>
    </row>
    <row r="434" spans="1:9" ht="13" x14ac:dyDescent="0.15">
      <c r="A434" s="257" t="s">
        <v>346</v>
      </c>
      <c r="B434" s="257">
        <v>60</v>
      </c>
      <c r="C434" s="387">
        <v>0.96152973205179171</v>
      </c>
      <c r="D434" s="257">
        <v>97</v>
      </c>
      <c r="E434" s="257">
        <v>13</v>
      </c>
      <c r="F434" s="257">
        <v>9</v>
      </c>
      <c r="G434" s="257">
        <v>3</v>
      </c>
      <c r="H434" s="101">
        <f t="shared" si="12"/>
        <v>4.941652573814153</v>
      </c>
      <c r="I434" s="102" t="str">
        <f t="shared" si="13"/>
        <v>OUT</v>
      </c>
    </row>
    <row r="435" spans="1:9" ht="13" x14ac:dyDescent="0.15">
      <c r="A435" s="257" t="s">
        <v>346</v>
      </c>
      <c r="B435" s="257">
        <v>60</v>
      </c>
      <c r="C435" s="387">
        <v>0.96150258443688785</v>
      </c>
      <c r="D435" s="257">
        <v>99</v>
      </c>
      <c r="E435" s="257">
        <v>13</v>
      </c>
      <c r="F435" s="257">
        <v>9</v>
      </c>
      <c r="G435" s="257">
        <v>3</v>
      </c>
      <c r="H435" s="101">
        <f t="shared" si="12"/>
        <v>4.9415130523031792</v>
      </c>
      <c r="I435" s="102" t="str">
        <f t="shared" si="13"/>
        <v>OUT</v>
      </c>
    </row>
    <row r="436" spans="1:9" ht="13" x14ac:dyDescent="0.15">
      <c r="A436" s="257" t="s">
        <v>346</v>
      </c>
      <c r="B436" s="257">
        <v>60</v>
      </c>
      <c r="C436" s="387">
        <v>0.96184857958841985</v>
      </c>
      <c r="D436" s="257">
        <v>102</v>
      </c>
      <c r="E436" s="257">
        <v>13</v>
      </c>
      <c r="F436" s="257">
        <v>9</v>
      </c>
      <c r="G436" s="257">
        <v>3</v>
      </c>
      <c r="H436" s="101">
        <f t="shared" si="12"/>
        <v>4.9432912477911612</v>
      </c>
      <c r="I436" s="102" t="str">
        <f t="shared" si="13"/>
        <v>OUT</v>
      </c>
    </row>
    <row r="437" spans="1:9" ht="13" x14ac:dyDescent="0.15">
      <c r="A437" s="257" t="s">
        <v>346</v>
      </c>
      <c r="B437" s="257">
        <v>60</v>
      </c>
      <c r="C437" s="387">
        <v>0.96240891779487525</v>
      </c>
      <c r="D437" s="257">
        <v>103</v>
      </c>
      <c r="E437" s="257">
        <v>13</v>
      </c>
      <c r="F437" s="257">
        <v>9</v>
      </c>
      <c r="G437" s="257">
        <v>3</v>
      </c>
      <c r="H437" s="101">
        <f t="shared" si="12"/>
        <v>4.9461710305454893</v>
      </c>
      <c r="I437" s="102" t="str">
        <f t="shared" si="13"/>
        <v>OUT</v>
      </c>
    </row>
    <row r="438" spans="1:9" ht="13" x14ac:dyDescent="0.15">
      <c r="A438" s="257" t="s">
        <v>346</v>
      </c>
      <c r="B438" s="257">
        <v>60</v>
      </c>
      <c r="C438" s="387">
        <v>0.96077194776445096</v>
      </c>
      <c r="D438" s="257">
        <v>153</v>
      </c>
      <c r="E438" s="257">
        <v>20</v>
      </c>
      <c r="F438" s="257">
        <v>14</v>
      </c>
      <c r="G438" s="257">
        <v>4</v>
      </c>
      <c r="H438" s="101">
        <f t="shared" si="12"/>
        <v>4.9377580435161219</v>
      </c>
      <c r="I438" s="102" t="str">
        <f t="shared" si="13"/>
        <v>OUT</v>
      </c>
    </row>
    <row r="439" spans="1:9" ht="13" x14ac:dyDescent="0.15">
      <c r="A439" s="257" t="s">
        <v>346</v>
      </c>
      <c r="B439" s="257">
        <v>60</v>
      </c>
      <c r="C439" s="387">
        <v>0.95969899088869981</v>
      </c>
      <c r="D439" s="257">
        <v>156</v>
      </c>
      <c r="E439" s="257">
        <v>20</v>
      </c>
      <c r="F439" s="257">
        <v>14</v>
      </c>
      <c r="G439" s="257">
        <v>4</v>
      </c>
      <c r="H439" s="101">
        <f t="shared" si="12"/>
        <v>4.9322437261425627</v>
      </c>
      <c r="I439" s="102" t="str">
        <f t="shared" si="13"/>
        <v>OUT</v>
      </c>
    </row>
    <row r="440" spans="1:9" ht="13" x14ac:dyDescent="0.15">
      <c r="A440" s="257" t="s">
        <v>346</v>
      </c>
      <c r="B440" s="257">
        <v>60</v>
      </c>
      <c r="C440" s="387">
        <v>0.96083323847571445</v>
      </c>
      <c r="D440" s="257">
        <v>157</v>
      </c>
      <c r="E440" s="257">
        <v>20</v>
      </c>
      <c r="F440" s="257">
        <v>14</v>
      </c>
      <c r="G440" s="257">
        <v>4</v>
      </c>
      <c r="H440" s="101">
        <f t="shared" si="12"/>
        <v>4.9380730388729681</v>
      </c>
      <c r="I440" s="102" t="str">
        <f t="shared" si="13"/>
        <v>OUT</v>
      </c>
    </row>
    <row r="441" spans="1:9" ht="13" x14ac:dyDescent="0.15">
      <c r="A441" s="257" t="s">
        <v>346</v>
      </c>
      <c r="B441" s="257">
        <v>60</v>
      </c>
      <c r="C441" s="387">
        <v>0.95931340485312699</v>
      </c>
      <c r="D441" s="257">
        <v>160</v>
      </c>
      <c r="E441" s="257">
        <v>20</v>
      </c>
      <c r="F441" s="257">
        <v>14</v>
      </c>
      <c r="G441" s="257">
        <v>4</v>
      </c>
      <c r="H441" s="101">
        <f t="shared" si="12"/>
        <v>4.9302620586375454</v>
      </c>
      <c r="I441" s="102" t="str">
        <f t="shared" si="13"/>
        <v>OUT</v>
      </c>
    </row>
    <row r="442" spans="1:9" ht="13" x14ac:dyDescent="0.15">
      <c r="A442" s="257" t="s">
        <v>347</v>
      </c>
      <c r="B442" s="257">
        <v>61</v>
      </c>
      <c r="C442" s="387">
        <v>0.97971455313739209</v>
      </c>
      <c r="D442" s="257">
        <v>114</v>
      </c>
      <c r="E442" s="257">
        <v>15</v>
      </c>
      <c r="F442" s="257">
        <v>11</v>
      </c>
      <c r="G442" s="257">
        <v>2</v>
      </c>
      <c r="H442" s="101">
        <f t="shared" si="12"/>
        <v>5.035111012931007</v>
      </c>
      <c r="I442" s="102" t="str">
        <f t="shared" si="13"/>
        <v/>
      </c>
    </row>
    <row r="443" spans="1:9" ht="13" x14ac:dyDescent="0.15">
      <c r="A443" s="257" t="s">
        <v>347</v>
      </c>
      <c r="B443" s="257">
        <v>61</v>
      </c>
      <c r="C443" s="387">
        <v>0.98102793066222915</v>
      </c>
      <c r="D443" s="257">
        <v>115</v>
      </c>
      <c r="E443" s="257">
        <v>15</v>
      </c>
      <c r="F443" s="257">
        <v>11</v>
      </c>
      <c r="G443" s="257">
        <v>2</v>
      </c>
      <c r="H443" s="101">
        <f t="shared" si="12"/>
        <v>5.0418609398543808</v>
      </c>
      <c r="I443" s="102" t="str">
        <f t="shared" si="13"/>
        <v/>
      </c>
    </row>
    <row r="444" spans="1:9" ht="13" x14ac:dyDescent="0.15">
      <c r="A444" s="257" t="s">
        <v>347</v>
      </c>
      <c r="B444" s="257">
        <v>61</v>
      </c>
      <c r="C444" s="387">
        <v>0.97993740222615211</v>
      </c>
      <c r="D444" s="257">
        <v>117</v>
      </c>
      <c r="E444" s="257">
        <v>15</v>
      </c>
      <c r="F444" s="257">
        <v>11</v>
      </c>
      <c r="G444" s="257">
        <v>2</v>
      </c>
      <c r="H444" s="101">
        <f t="shared" si="12"/>
        <v>5.0362563158127944</v>
      </c>
      <c r="I444" s="102" t="str">
        <f t="shared" si="13"/>
        <v/>
      </c>
    </row>
    <row r="445" spans="1:9" ht="13" x14ac:dyDescent="0.15">
      <c r="A445" s="257" t="s">
        <v>347</v>
      </c>
      <c r="B445" s="257">
        <v>61</v>
      </c>
      <c r="C445" s="387">
        <v>0.98077674161649087</v>
      </c>
      <c r="D445" s="257">
        <v>119</v>
      </c>
      <c r="E445" s="257">
        <v>15</v>
      </c>
      <c r="F445" s="257">
        <v>11</v>
      </c>
      <c r="G445" s="257">
        <v>2</v>
      </c>
      <c r="H445" s="101">
        <f t="shared" si="12"/>
        <v>5.0405699875800938</v>
      </c>
      <c r="I445" s="102" t="str">
        <f t="shared" si="13"/>
        <v/>
      </c>
    </row>
    <row r="446" spans="1:9" ht="13" x14ac:dyDescent="0.15">
      <c r="A446" s="257" t="s">
        <v>347</v>
      </c>
      <c r="B446" s="257">
        <v>61</v>
      </c>
      <c r="C446" s="387">
        <v>0.98018657717488233</v>
      </c>
      <c r="D446" s="257">
        <v>137</v>
      </c>
      <c r="E446" s="257">
        <v>18</v>
      </c>
      <c r="F446" s="257">
        <v>13</v>
      </c>
      <c r="G446" s="257">
        <v>4</v>
      </c>
      <c r="H446" s="101">
        <f t="shared" si="12"/>
        <v>5.0375369169067357</v>
      </c>
      <c r="I446" s="102" t="str">
        <f t="shared" si="13"/>
        <v/>
      </c>
    </row>
    <row r="447" spans="1:9" ht="13" x14ac:dyDescent="0.15">
      <c r="A447" s="257" t="s">
        <v>347</v>
      </c>
      <c r="B447" s="257">
        <v>61</v>
      </c>
      <c r="C447" s="387">
        <v>0.97976486939465202</v>
      </c>
      <c r="D447" s="257">
        <v>139</v>
      </c>
      <c r="E447" s="257">
        <v>18</v>
      </c>
      <c r="F447" s="257">
        <v>13</v>
      </c>
      <c r="G447" s="257">
        <v>4</v>
      </c>
      <c r="H447" s="101">
        <f t="shared" si="12"/>
        <v>5.0353696065593727</v>
      </c>
      <c r="I447" s="102" t="str">
        <f t="shared" si="13"/>
        <v/>
      </c>
    </row>
    <row r="448" spans="1:9" ht="13" x14ac:dyDescent="0.15">
      <c r="A448" s="257" t="s">
        <v>347</v>
      </c>
      <c r="B448" s="257">
        <v>61</v>
      </c>
      <c r="C448" s="387">
        <v>0.97931862185045671</v>
      </c>
      <c r="D448" s="257">
        <v>142</v>
      </c>
      <c r="E448" s="257">
        <v>18</v>
      </c>
      <c r="F448" s="257">
        <v>13</v>
      </c>
      <c r="G448" s="257">
        <v>4</v>
      </c>
      <c r="H448" s="101">
        <f t="shared" si="12"/>
        <v>5.0330761773997512</v>
      </c>
      <c r="I448" s="102" t="str">
        <f t="shared" si="13"/>
        <v/>
      </c>
    </row>
    <row r="449" spans="1:9" ht="13" x14ac:dyDescent="0.15">
      <c r="A449" s="257" t="s">
        <v>347</v>
      </c>
      <c r="B449" s="257">
        <v>61</v>
      </c>
      <c r="C449" s="387">
        <v>0.9797726145353246</v>
      </c>
      <c r="D449" s="257">
        <v>144</v>
      </c>
      <c r="E449" s="257">
        <v>18</v>
      </c>
      <c r="F449" s="257">
        <v>13</v>
      </c>
      <c r="G449" s="257">
        <v>4</v>
      </c>
      <c r="H449" s="101">
        <f t="shared" si="12"/>
        <v>5.0354094116668628</v>
      </c>
      <c r="I449" s="102" t="str">
        <f t="shared" si="13"/>
        <v/>
      </c>
    </row>
    <row r="450" spans="1:9" ht="13" x14ac:dyDescent="0.15">
      <c r="A450" s="257" t="s">
        <v>348</v>
      </c>
      <c r="B450" s="257">
        <v>62</v>
      </c>
      <c r="C450" s="387">
        <v>0.97445147597650639</v>
      </c>
      <c r="D450" s="257">
        <v>105</v>
      </c>
      <c r="E450" s="257">
        <v>14</v>
      </c>
      <c r="F450" s="257">
        <v>10</v>
      </c>
      <c r="G450" s="257">
        <v>4</v>
      </c>
      <c r="H450" s="101">
        <f t="shared" ref="H450:H473" si="14">IF(ISBLANK(C450),"",C450*$L$13)</f>
        <v>5.0080621366130851</v>
      </c>
      <c r="I450" s="102" t="str">
        <f t="shared" ref="I450:I513" si="15">IF(ISNUMBER(H450),IF(ABS(H450-$L$14)&gt;$M$16,"OUT",""),"")</f>
        <v/>
      </c>
    </row>
    <row r="451" spans="1:9" ht="13" x14ac:dyDescent="0.15">
      <c r="A451" s="257" t="s">
        <v>348</v>
      </c>
      <c r="B451" s="257">
        <v>62</v>
      </c>
      <c r="C451" s="387">
        <v>0.97451781204946941</v>
      </c>
      <c r="D451" s="257">
        <v>108</v>
      </c>
      <c r="E451" s="257">
        <v>14</v>
      </c>
      <c r="F451" s="257">
        <v>10</v>
      </c>
      <c r="G451" s="257">
        <v>4</v>
      </c>
      <c r="H451" s="101">
        <f t="shared" si="14"/>
        <v>5.0084030619269546</v>
      </c>
      <c r="I451" s="102" t="str">
        <f t="shared" si="15"/>
        <v/>
      </c>
    </row>
    <row r="452" spans="1:9" ht="13" x14ac:dyDescent="0.15">
      <c r="A452" s="257" t="s">
        <v>348</v>
      </c>
      <c r="B452" s="257">
        <v>62</v>
      </c>
      <c r="C452" s="387">
        <v>0.97420873199005431</v>
      </c>
      <c r="D452" s="257">
        <v>109</v>
      </c>
      <c r="E452" s="257">
        <v>14</v>
      </c>
      <c r="F452" s="257">
        <v>10</v>
      </c>
      <c r="G452" s="257">
        <v>4</v>
      </c>
      <c r="H452" s="101">
        <f t="shared" si="14"/>
        <v>5.006814586583749</v>
      </c>
      <c r="I452" s="102" t="str">
        <f t="shared" si="15"/>
        <v/>
      </c>
    </row>
    <row r="453" spans="1:9" ht="13" x14ac:dyDescent="0.15">
      <c r="A453" s="257" t="s">
        <v>348</v>
      </c>
      <c r="B453" s="257">
        <v>62</v>
      </c>
      <c r="C453" s="387">
        <v>0.97428945523516197</v>
      </c>
      <c r="D453" s="257">
        <v>112</v>
      </c>
      <c r="E453" s="257">
        <v>14</v>
      </c>
      <c r="F453" s="257">
        <v>10</v>
      </c>
      <c r="G453" s="257">
        <v>4</v>
      </c>
      <c r="H453" s="101">
        <f t="shared" si="14"/>
        <v>5.0072294528314121</v>
      </c>
      <c r="I453" s="102" t="str">
        <f t="shared" si="15"/>
        <v/>
      </c>
    </row>
    <row r="454" spans="1:9" ht="13" x14ac:dyDescent="0.15">
      <c r="A454" s="257" t="s">
        <v>348</v>
      </c>
      <c r="B454" s="257">
        <v>62</v>
      </c>
      <c r="C454" s="387">
        <v>0.9727930234104375</v>
      </c>
      <c r="D454" s="257">
        <v>129</v>
      </c>
      <c r="E454" s="257">
        <v>17</v>
      </c>
      <c r="F454" s="257">
        <v>13</v>
      </c>
      <c r="G454" s="257">
        <v>3</v>
      </c>
      <c r="H454" s="101">
        <f t="shared" si="14"/>
        <v>4.9995387429847105</v>
      </c>
      <c r="I454" s="102" t="str">
        <f t="shared" si="15"/>
        <v/>
      </c>
    </row>
    <row r="455" spans="1:9" ht="13" x14ac:dyDescent="0.15">
      <c r="A455" s="257" t="s">
        <v>348</v>
      </c>
      <c r="B455" s="257">
        <v>62</v>
      </c>
      <c r="C455" s="387">
        <v>0.97237536884179221</v>
      </c>
      <c r="D455" s="257">
        <v>132</v>
      </c>
      <c r="E455" s="257">
        <v>17</v>
      </c>
      <c r="F455" s="257">
        <v>13</v>
      </c>
      <c r="G455" s="257">
        <v>3</v>
      </c>
      <c r="H455" s="101">
        <f t="shared" si="14"/>
        <v>4.9973922635724648</v>
      </c>
      <c r="I455" s="102" t="str">
        <f t="shared" si="15"/>
        <v/>
      </c>
    </row>
    <row r="456" spans="1:9" ht="13" x14ac:dyDescent="0.15">
      <c r="A456" s="257" t="s">
        <v>348</v>
      </c>
      <c r="B456" s="257">
        <v>62</v>
      </c>
      <c r="C456" s="387">
        <v>0.97372269578951187</v>
      </c>
      <c r="D456" s="257">
        <v>133</v>
      </c>
      <c r="E456" s="257">
        <v>17</v>
      </c>
      <c r="F456" s="257">
        <v>13</v>
      </c>
      <c r="G456" s="257">
        <v>3</v>
      </c>
      <c r="H456" s="101">
        <f t="shared" si="14"/>
        <v>5.0043166689829564</v>
      </c>
      <c r="I456" s="102" t="str">
        <f t="shared" si="15"/>
        <v/>
      </c>
    </row>
    <row r="457" spans="1:9" ht="13" x14ac:dyDescent="0.15">
      <c r="A457" s="257" t="s">
        <v>348</v>
      </c>
      <c r="B457" s="257">
        <v>62</v>
      </c>
      <c r="C457" s="387">
        <v>0.97309737924228568</v>
      </c>
      <c r="D457" s="257">
        <v>135</v>
      </c>
      <c r="E457" s="257">
        <v>17</v>
      </c>
      <c r="F457" s="257">
        <v>13</v>
      </c>
      <c r="G457" s="257">
        <v>3</v>
      </c>
      <c r="H457" s="101">
        <f t="shared" si="14"/>
        <v>5.0011029387965218</v>
      </c>
      <c r="I457" s="102" t="str">
        <f t="shared" si="15"/>
        <v/>
      </c>
    </row>
    <row r="458" spans="1:9" ht="13" x14ac:dyDescent="0.15">
      <c r="A458" s="257" t="s">
        <v>349</v>
      </c>
      <c r="B458" s="257">
        <v>63</v>
      </c>
      <c r="C458" s="387">
        <v>0.97330336228404257</v>
      </c>
      <c r="D458" s="257">
        <v>114</v>
      </c>
      <c r="E458" s="257">
        <v>15</v>
      </c>
      <c r="F458" s="257">
        <v>11</v>
      </c>
      <c r="G458" s="257">
        <v>7</v>
      </c>
      <c r="H458" s="101">
        <f t="shared" si="14"/>
        <v>5.0021615609009968</v>
      </c>
      <c r="I458" s="102" t="str">
        <f t="shared" si="15"/>
        <v/>
      </c>
    </row>
    <row r="459" spans="1:9" ht="13" x14ac:dyDescent="0.15">
      <c r="A459" s="257" t="s">
        <v>349</v>
      </c>
      <c r="B459" s="257">
        <v>63</v>
      </c>
      <c r="C459" s="387">
        <v>0.97375086115917331</v>
      </c>
      <c r="D459" s="257">
        <v>116</v>
      </c>
      <c r="E459" s="257">
        <v>15</v>
      </c>
      <c r="F459" s="257">
        <v>11</v>
      </c>
      <c r="G459" s="257">
        <v>7</v>
      </c>
      <c r="H459" s="101">
        <f t="shared" si="14"/>
        <v>5.0044614211074521</v>
      </c>
      <c r="I459" s="102" t="str">
        <f t="shared" si="15"/>
        <v/>
      </c>
    </row>
    <row r="460" spans="1:9" ht="13" x14ac:dyDescent="0.15">
      <c r="A460" s="257" t="s">
        <v>349</v>
      </c>
      <c r="B460" s="257">
        <v>63</v>
      </c>
      <c r="C460" s="387">
        <v>0.9740522092108771</v>
      </c>
      <c r="D460" s="257">
        <v>118</v>
      </c>
      <c r="E460" s="257">
        <v>15</v>
      </c>
      <c r="F460" s="257">
        <v>11</v>
      </c>
      <c r="G460" s="257">
        <v>7</v>
      </c>
      <c r="H460" s="101">
        <f t="shared" si="14"/>
        <v>5.0060101588382526</v>
      </c>
      <c r="I460" s="102" t="str">
        <f t="shared" si="15"/>
        <v/>
      </c>
    </row>
    <row r="461" spans="1:9" ht="13" x14ac:dyDescent="0.15">
      <c r="A461" s="257" t="s">
        <v>349</v>
      </c>
      <c r="B461" s="257">
        <v>63</v>
      </c>
      <c r="C461" s="387">
        <v>0.97424754216917231</v>
      </c>
      <c r="D461" s="257">
        <v>120</v>
      </c>
      <c r="E461" s="257">
        <v>15</v>
      </c>
      <c r="F461" s="257">
        <v>11</v>
      </c>
      <c r="G461" s="257">
        <v>7</v>
      </c>
      <c r="H461" s="101">
        <f t="shared" si="14"/>
        <v>5.0070140462729666</v>
      </c>
      <c r="I461" s="102" t="str">
        <f t="shared" si="15"/>
        <v/>
      </c>
    </row>
    <row r="462" spans="1:9" ht="13" x14ac:dyDescent="0.15">
      <c r="A462" s="257" t="s">
        <v>349</v>
      </c>
      <c r="B462" s="257">
        <v>63</v>
      </c>
      <c r="C462" s="387">
        <v>0.97189649788936194</v>
      </c>
      <c r="D462" s="257">
        <v>122</v>
      </c>
      <c r="E462" s="257">
        <v>16</v>
      </c>
      <c r="F462" s="257">
        <v>12</v>
      </c>
      <c r="G462" s="257">
        <v>3</v>
      </c>
      <c r="H462" s="101">
        <f t="shared" si="14"/>
        <v>4.9949311707994388</v>
      </c>
      <c r="I462" s="102" t="str">
        <f t="shared" si="15"/>
        <v/>
      </c>
    </row>
    <row r="463" spans="1:9" ht="13" x14ac:dyDescent="0.15">
      <c r="A463" s="257" t="s">
        <v>349</v>
      </c>
      <c r="B463" s="257">
        <v>63</v>
      </c>
      <c r="C463" s="387">
        <v>0.97242601275809493</v>
      </c>
      <c r="D463" s="257">
        <v>123</v>
      </c>
      <c r="E463" s="257">
        <v>16</v>
      </c>
      <c r="F463" s="257">
        <v>12</v>
      </c>
      <c r="G463" s="257">
        <v>3</v>
      </c>
      <c r="H463" s="101">
        <f t="shared" si="14"/>
        <v>4.997652541160357</v>
      </c>
      <c r="I463" s="102" t="str">
        <f t="shared" si="15"/>
        <v/>
      </c>
    </row>
    <row r="464" spans="1:9" ht="13" x14ac:dyDescent="0.15">
      <c r="A464" s="257" t="s">
        <v>349</v>
      </c>
      <c r="B464" s="257">
        <v>63</v>
      </c>
      <c r="C464" s="387">
        <v>0.97234044317726109</v>
      </c>
      <c r="D464" s="257">
        <v>126</v>
      </c>
      <c r="E464" s="257">
        <v>16</v>
      </c>
      <c r="F464" s="257">
        <v>12</v>
      </c>
      <c r="G464" s="257">
        <v>3</v>
      </c>
      <c r="H464" s="101">
        <f t="shared" si="14"/>
        <v>4.9972127678228597</v>
      </c>
      <c r="I464" s="102" t="str">
        <f t="shared" si="15"/>
        <v/>
      </c>
    </row>
    <row r="465" spans="1:9" ht="13" x14ac:dyDescent="0.15">
      <c r="A465" s="257" t="s">
        <v>349</v>
      </c>
      <c r="B465" s="257">
        <v>63</v>
      </c>
      <c r="C465" s="387">
        <v>0.97302420244875354</v>
      </c>
      <c r="D465" s="257">
        <v>128</v>
      </c>
      <c r="E465" s="257">
        <v>16</v>
      </c>
      <c r="F465" s="257">
        <v>12</v>
      </c>
      <c r="G465" s="257">
        <v>3</v>
      </c>
      <c r="H465" s="101">
        <f t="shared" si="14"/>
        <v>5.0007268565204912</v>
      </c>
      <c r="I465" s="102" t="str">
        <f t="shared" si="15"/>
        <v/>
      </c>
    </row>
    <row r="466" spans="1:9" ht="13" x14ac:dyDescent="0.15">
      <c r="A466" s="257" t="s">
        <v>350</v>
      </c>
      <c r="B466" s="257">
        <v>64</v>
      </c>
      <c r="C466" s="387">
        <v>0.98090444927778764</v>
      </c>
      <c r="D466" s="257">
        <v>106</v>
      </c>
      <c r="E466" s="257">
        <v>14</v>
      </c>
      <c r="F466" s="257">
        <v>10</v>
      </c>
      <c r="G466" s="257">
        <v>7</v>
      </c>
      <c r="H466" s="101">
        <f t="shared" si="14"/>
        <v>5.0412263239076207</v>
      </c>
      <c r="I466" s="102" t="str">
        <f t="shared" si="15"/>
        <v/>
      </c>
    </row>
    <row r="467" spans="1:9" ht="13" x14ac:dyDescent="0.15">
      <c r="A467" s="257" t="s">
        <v>350</v>
      </c>
      <c r="B467" s="257">
        <v>64</v>
      </c>
      <c r="C467" s="387">
        <v>0.9806541770889986</v>
      </c>
      <c r="D467" s="257">
        <v>108</v>
      </c>
      <c r="E467" s="257">
        <v>14</v>
      </c>
      <c r="F467" s="257">
        <v>10</v>
      </c>
      <c r="G467" s="257">
        <v>7</v>
      </c>
      <c r="H467" s="101">
        <f t="shared" si="14"/>
        <v>5.0399400836961563</v>
      </c>
      <c r="I467" s="102" t="str">
        <f t="shared" si="15"/>
        <v/>
      </c>
    </row>
    <row r="468" spans="1:9" ht="13" x14ac:dyDescent="0.15">
      <c r="A468" s="257" t="s">
        <v>350</v>
      </c>
      <c r="B468" s="257">
        <v>64</v>
      </c>
      <c r="C468" s="387">
        <v>0.98151304245263638</v>
      </c>
      <c r="D468" s="257">
        <v>110</v>
      </c>
      <c r="E468" s="257">
        <v>14</v>
      </c>
      <c r="F468" s="257">
        <v>10</v>
      </c>
      <c r="G468" s="257">
        <v>7</v>
      </c>
      <c r="H468" s="101">
        <f t="shared" si="14"/>
        <v>5.0443541065737687</v>
      </c>
      <c r="I468" s="102" t="str">
        <f t="shared" si="15"/>
        <v/>
      </c>
    </row>
    <row r="469" spans="1:9" ht="13" x14ac:dyDescent="0.15">
      <c r="A469" s="257" t="s">
        <v>350</v>
      </c>
      <c r="B469" s="257">
        <v>64</v>
      </c>
      <c r="C469" s="387">
        <v>0.98132419989697661</v>
      </c>
      <c r="D469" s="257">
        <v>112</v>
      </c>
      <c r="E469" s="257">
        <v>14</v>
      </c>
      <c r="F469" s="257">
        <v>10</v>
      </c>
      <c r="G469" s="257">
        <v>7</v>
      </c>
      <c r="H469" s="101">
        <f t="shared" si="14"/>
        <v>5.0433835756893721</v>
      </c>
      <c r="I469" s="102" t="str">
        <f t="shared" si="15"/>
        <v/>
      </c>
    </row>
    <row r="470" spans="1:9" ht="13" x14ac:dyDescent="0.15">
      <c r="A470" s="257" t="s">
        <v>350</v>
      </c>
      <c r="B470" s="257">
        <v>64</v>
      </c>
      <c r="C470" s="387">
        <v>0.97989131958174058</v>
      </c>
      <c r="D470" s="257">
        <v>170</v>
      </c>
      <c r="E470" s="257">
        <v>22</v>
      </c>
      <c r="F470" s="257">
        <v>16</v>
      </c>
      <c r="G470" s="257">
        <v>3</v>
      </c>
      <c r="H470" s="101">
        <f t="shared" si="14"/>
        <v>5.0360194802675444</v>
      </c>
      <c r="I470" s="102" t="str">
        <f t="shared" si="15"/>
        <v/>
      </c>
    </row>
    <row r="471" spans="1:9" ht="13" x14ac:dyDescent="0.15">
      <c r="A471" s="257" t="s">
        <v>350</v>
      </c>
      <c r="B471" s="257">
        <v>64</v>
      </c>
      <c r="C471" s="387">
        <v>0.97968411631661556</v>
      </c>
      <c r="D471" s="257">
        <v>171</v>
      </c>
      <c r="E471" s="257">
        <v>22</v>
      </c>
      <c r="F471" s="257">
        <v>16</v>
      </c>
      <c r="G471" s="257">
        <v>3</v>
      </c>
      <c r="H471" s="101">
        <f t="shared" si="14"/>
        <v>5.0349545869893895</v>
      </c>
      <c r="I471" s="102" t="str">
        <f t="shared" si="15"/>
        <v/>
      </c>
    </row>
    <row r="472" spans="1:9" ht="13" x14ac:dyDescent="0.15">
      <c r="A472" s="257" t="s">
        <v>350</v>
      </c>
      <c r="B472" s="257">
        <v>64</v>
      </c>
      <c r="C472" s="387">
        <v>0.98019239563186145</v>
      </c>
      <c r="D472" s="257">
        <v>174</v>
      </c>
      <c r="E472" s="257">
        <v>22</v>
      </c>
      <c r="F472" s="257">
        <v>16</v>
      </c>
      <c r="G472" s="257">
        <v>3</v>
      </c>
      <c r="H472" s="101">
        <f t="shared" si="14"/>
        <v>5.037566820082839</v>
      </c>
      <c r="I472" s="102" t="str">
        <f t="shared" si="15"/>
        <v/>
      </c>
    </row>
    <row r="473" spans="1:9" ht="13" x14ac:dyDescent="0.15">
      <c r="A473" s="257" t="s">
        <v>350</v>
      </c>
      <c r="B473" s="257">
        <v>64</v>
      </c>
      <c r="C473" s="387">
        <v>0.98019810771112559</v>
      </c>
      <c r="D473" s="257">
        <v>176</v>
      </c>
      <c r="E473" s="257">
        <v>22</v>
      </c>
      <c r="F473" s="257">
        <v>16</v>
      </c>
      <c r="G473" s="257">
        <v>3</v>
      </c>
      <c r="H473" s="101">
        <f t="shared" si="14"/>
        <v>5.0375961765450024</v>
      </c>
      <c r="I473" s="102" t="str">
        <f t="shared" si="15"/>
        <v/>
      </c>
    </row>
    <row r="474" spans="1:9" ht="13" x14ac:dyDescent="0.15">
      <c r="A474" s="257"/>
      <c r="B474" s="257"/>
      <c r="C474" s="387"/>
      <c r="D474" s="257"/>
      <c r="E474" s="257"/>
      <c r="F474" s="257"/>
      <c r="G474" s="257"/>
      <c r="H474" s="101"/>
      <c r="I474" s="102" t="str">
        <f t="shared" si="15"/>
        <v/>
      </c>
    </row>
    <row r="475" spans="1:9" ht="13" x14ac:dyDescent="0.15">
      <c r="A475" s="257"/>
      <c r="B475" s="257"/>
      <c r="C475" s="387"/>
      <c r="D475" s="257"/>
      <c r="E475" s="257"/>
      <c r="F475" s="257"/>
      <c r="G475" s="257"/>
      <c r="H475" s="101"/>
      <c r="I475" s="102" t="str">
        <f t="shared" si="15"/>
        <v/>
      </c>
    </row>
    <row r="476" spans="1:9" ht="13" x14ac:dyDescent="0.15">
      <c r="A476" s="257"/>
      <c r="B476" s="257"/>
      <c r="C476" s="387"/>
      <c r="D476" s="257"/>
      <c r="E476" s="257"/>
      <c r="F476" s="257"/>
      <c r="G476" s="257"/>
      <c r="H476" s="101"/>
      <c r="I476" s="102" t="str">
        <f t="shared" si="15"/>
        <v/>
      </c>
    </row>
    <row r="477" spans="1:9" ht="13" x14ac:dyDescent="0.15">
      <c r="A477" s="257"/>
      <c r="B477" s="257"/>
      <c r="C477" s="387"/>
      <c r="D477" s="257"/>
      <c r="E477" s="257"/>
      <c r="F477" s="257"/>
      <c r="G477" s="257"/>
      <c r="H477" s="101"/>
      <c r="I477" s="102" t="str">
        <f t="shared" si="15"/>
        <v/>
      </c>
    </row>
    <row r="478" spans="1:9" ht="13" x14ac:dyDescent="0.15">
      <c r="A478" s="257"/>
      <c r="B478" s="257"/>
      <c r="C478" s="387"/>
      <c r="D478" s="257"/>
      <c r="E478" s="257"/>
      <c r="F478" s="257"/>
      <c r="G478" s="257"/>
      <c r="H478" s="101"/>
      <c r="I478" s="102" t="str">
        <f t="shared" si="15"/>
        <v/>
      </c>
    </row>
    <row r="479" spans="1:9" ht="13" x14ac:dyDescent="0.15">
      <c r="A479" s="257"/>
      <c r="B479" s="257"/>
      <c r="C479" s="387"/>
      <c r="D479" s="257"/>
      <c r="E479" s="257"/>
      <c r="F479" s="257"/>
      <c r="G479" s="257"/>
      <c r="H479" s="101"/>
      <c r="I479" s="102" t="str">
        <f t="shared" si="15"/>
        <v/>
      </c>
    </row>
    <row r="480" spans="1:9" ht="13" x14ac:dyDescent="0.15">
      <c r="A480" s="257"/>
      <c r="B480" s="257"/>
      <c r="C480" s="387"/>
      <c r="D480" s="257"/>
      <c r="E480" s="257"/>
      <c r="F480" s="257"/>
      <c r="G480" s="257"/>
      <c r="H480" s="101"/>
      <c r="I480" s="102" t="str">
        <f t="shared" si="15"/>
        <v/>
      </c>
    </row>
    <row r="481" spans="1:9" ht="13" x14ac:dyDescent="0.15">
      <c r="A481" s="257"/>
      <c r="B481" s="257"/>
      <c r="C481" s="387"/>
      <c r="D481" s="257"/>
      <c r="E481" s="257"/>
      <c r="F481" s="257"/>
      <c r="G481" s="257"/>
      <c r="H481" s="101"/>
      <c r="I481" s="102" t="str">
        <f t="shared" si="15"/>
        <v/>
      </c>
    </row>
    <row r="482" spans="1:9" ht="13" x14ac:dyDescent="0.15">
      <c r="A482" s="257"/>
      <c r="B482" s="257"/>
      <c r="C482" s="257"/>
      <c r="D482" s="257"/>
      <c r="E482" s="257"/>
      <c r="F482" s="257"/>
      <c r="G482" s="257"/>
      <c r="H482" s="101"/>
      <c r="I482" s="102" t="str">
        <f t="shared" si="15"/>
        <v/>
      </c>
    </row>
    <row r="483" spans="1:9" ht="13" x14ac:dyDescent="0.15">
      <c r="A483" s="257"/>
      <c r="B483" s="257"/>
      <c r="C483" s="257"/>
      <c r="D483" s="257"/>
      <c r="E483" s="257"/>
      <c r="F483" s="257"/>
      <c r="G483" s="257"/>
      <c r="H483" s="101"/>
      <c r="I483" s="102" t="str">
        <f t="shared" si="15"/>
        <v/>
      </c>
    </row>
    <row r="484" spans="1:9" ht="13" x14ac:dyDescent="0.15">
      <c r="A484" s="257"/>
      <c r="B484" s="257"/>
      <c r="C484" s="257"/>
      <c r="D484" s="257"/>
      <c r="E484" s="257"/>
      <c r="F484" s="257"/>
      <c r="G484" s="257"/>
      <c r="H484" s="101"/>
      <c r="I484" s="102" t="str">
        <f t="shared" si="15"/>
        <v/>
      </c>
    </row>
    <row r="485" spans="1:9" ht="13" x14ac:dyDescent="0.15">
      <c r="A485" s="257"/>
      <c r="B485" s="257"/>
      <c r="C485" s="257"/>
      <c r="D485" s="257"/>
      <c r="E485" s="257"/>
      <c r="F485" s="257"/>
      <c r="G485" s="257"/>
      <c r="H485" s="101"/>
      <c r="I485" s="102" t="str">
        <f t="shared" si="15"/>
        <v/>
      </c>
    </row>
    <row r="486" spans="1:9" ht="13" x14ac:dyDescent="0.15">
      <c r="A486" s="257"/>
      <c r="B486" s="257"/>
      <c r="C486" s="257"/>
      <c r="D486" s="257"/>
      <c r="E486" s="257"/>
      <c r="F486" s="257"/>
      <c r="G486" s="257"/>
      <c r="H486" s="101"/>
      <c r="I486" s="102" t="str">
        <f t="shared" si="15"/>
        <v/>
      </c>
    </row>
    <row r="487" spans="1:9" ht="13" x14ac:dyDescent="0.15">
      <c r="A487" s="257"/>
      <c r="B487" s="257"/>
      <c r="C487" s="257"/>
      <c r="D487" s="257"/>
      <c r="E487" s="257"/>
      <c r="F487" s="257"/>
      <c r="G487" s="257"/>
      <c r="H487" s="101"/>
      <c r="I487" s="102" t="str">
        <f t="shared" si="15"/>
        <v/>
      </c>
    </row>
    <row r="488" spans="1:9" ht="13" x14ac:dyDescent="0.15">
      <c r="A488" s="257"/>
      <c r="B488" s="257"/>
      <c r="C488" s="257"/>
      <c r="D488" s="257"/>
      <c r="E488" s="257"/>
      <c r="F488" s="257"/>
      <c r="G488" s="257"/>
      <c r="H488" s="101"/>
      <c r="I488" s="102" t="str">
        <f t="shared" si="15"/>
        <v/>
      </c>
    </row>
    <row r="489" spans="1:9" ht="13" x14ac:dyDescent="0.15">
      <c r="A489" s="257"/>
      <c r="B489" s="257"/>
      <c r="C489" s="257"/>
      <c r="D489" s="257"/>
      <c r="E489" s="257"/>
      <c r="F489" s="257"/>
      <c r="G489" s="257"/>
      <c r="H489" s="101"/>
      <c r="I489" s="102" t="str">
        <f t="shared" si="15"/>
        <v/>
      </c>
    </row>
    <row r="490" spans="1:9" ht="13" x14ac:dyDescent="0.15">
      <c r="A490" s="257"/>
      <c r="B490" s="257"/>
      <c r="C490" s="257"/>
      <c r="D490" s="257"/>
      <c r="E490" s="257"/>
      <c r="F490" s="257"/>
      <c r="G490" s="257"/>
      <c r="H490" s="101"/>
      <c r="I490" s="102" t="str">
        <f t="shared" si="15"/>
        <v/>
      </c>
    </row>
    <row r="491" spans="1:9" ht="13" x14ac:dyDescent="0.15">
      <c r="A491" s="257"/>
      <c r="B491" s="257"/>
      <c r="C491" s="257"/>
      <c r="D491" s="257"/>
      <c r="E491" s="257"/>
      <c r="F491" s="257"/>
      <c r="G491" s="257"/>
      <c r="H491" s="101"/>
      <c r="I491" s="102" t="str">
        <f t="shared" si="15"/>
        <v/>
      </c>
    </row>
    <row r="492" spans="1:9" ht="13" x14ac:dyDescent="0.15">
      <c r="A492" s="257"/>
      <c r="B492" s="257"/>
      <c r="C492" s="257"/>
      <c r="D492" s="257"/>
      <c r="E492" s="257"/>
      <c r="F492" s="257"/>
      <c r="G492" s="257"/>
      <c r="H492" s="101"/>
      <c r="I492" s="102" t="str">
        <f t="shared" si="15"/>
        <v/>
      </c>
    </row>
    <row r="493" spans="1:9" ht="13" x14ac:dyDescent="0.15">
      <c r="A493" s="257"/>
      <c r="B493" s="257"/>
      <c r="C493" s="257"/>
      <c r="D493" s="257"/>
      <c r="E493" s="257"/>
      <c r="F493" s="257"/>
      <c r="G493" s="257"/>
      <c r="H493" s="101"/>
      <c r="I493" s="102" t="str">
        <f t="shared" si="15"/>
        <v/>
      </c>
    </row>
    <row r="494" spans="1:9" ht="13" x14ac:dyDescent="0.15">
      <c r="A494" s="257"/>
      <c r="B494" s="257"/>
      <c r="C494" s="257"/>
      <c r="D494" s="257"/>
      <c r="E494" s="257"/>
      <c r="F494" s="257"/>
      <c r="G494" s="257"/>
      <c r="H494" s="101"/>
      <c r="I494" s="102" t="str">
        <f t="shared" si="15"/>
        <v/>
      </c>
    </row>
    <row r="495" spans="1:9" ht="13" x14ac:dyDescent="0.15">
      <c r="A495" s="257"/>
      <c r="B495" s="257"/>
      <c r="C495" s="257"/>
      <c r="D495" s="257"/>
      <c r="E495" s="257"/>
      <c r="F495" s="257"/>
      <c r="G495" s="257"/>
      <c r="H495" s="101"/>
      <c r="I495" s="102" t="str">
        <f t="shared" si="15"/>
        <v/>
      </c>
    </row>
    <row r="496" spans="1:9" ht="13" x14ac:dyDescent="0.15">
      <c r="A496" s="257"/>
      <c r="B496" s="257"/>
      <c r="C496" s="257"/>
      <c r="D496" s="257"/>
      <c r="E496" s="257"/>
      <c r="F496" s="257"/>
      <c r="G496" s="257"/>
      <c r="H496" s="101"/>
      <c r="I496" s="102" t="str">
        <f t="shared" si="15"/>
        <v/>
      </c>
    </row>
    <row r="497" spans="1:9" ht="13" x14ac:dyDescent="0.15">
      <c r="A497" s="257"/>
      <c r="B497" s="257"/>
      <c r="C497" s="257"/>
      <c r="D497" s="257"/>
      <c r="E497" s="257"/>
      <c r="F497" s="257"/>
      <c r="G497" s="257"/>
      <c r="H497" s="101"/>
      <c r="I497" s="102" t="str">
        <f t="shared" si="15"/>
        <v/>
      </c>
    </row>
    <row r="498" spans="1:9" ht="13" x14ac:dyDescent="0.15">
      <c r="A498" s="257"/>
      <c r="B498" s="257"/>
      <c r="C498" s="257"/>
      <c r="D498" s="257"/>
      <c r="E498" s="257"/>
      <c r="F498" s="257"/>
      <c r="G498" s="257"/>
      <c r="H498" s="101"/>
      <c r="I498" s="102" t="str">
        <f t="shared" si="15"/>
        <v/>
      </c>
    </row>
    <row r="499" spans="1:9" ht="13" x14ac:dyDescent="0.15">
      <c r="A499" s="257"/>
      <c r="B499" s="257"/>
      <c r="C499" s="257"/>
      <c r="D499" s="257"/>
      <c r="E499" s="257"/>
      <c r="F499" s="257"/>
      <c r="G499" s="257"/>
      <c r="H499" s="101"/>
      <c r="I499" s="102" t="str">
        <f t="shared" si="15"/>
        <v/>
      </c>
    </row>
    <row r="500" spans="1:9" ht="13" x14ac:dyDescent="0.15">
      <c r="A500" s="257"/>
      <c r="B500" s="257"/>
      <c r="C500" s="257"/>
      <c r="D500" s="257"/>
      <c r="E500" s="257"/>
      <c r="F500" s="257"/>
      <c r="G500" s="257"/>
      <c r="H500" s="101"/>
      <c r="I500" s="102" t="str">
        <f t="shared" si="15"/>
        <v/>
      </c>
    </row>
    <row r="501" spans="1:9" ht="13" x14ac:dyDescent="0.15">
      <c r="A501" s="257"/>
      <c r="B501" s="257"/>
      <c r="C501" s="257"/>
      <c r="D501" s="257"/>
      <c r="E501" s="257"/>
      <c r="F501" s="257"/>
      <c r="G501" s="257"/>
      <c r="H501" s="101"/>
      <c r="I501" s="102" t="str">
        <f t="shared" si="15"/>
        <v/>
      </c>
    </row>
    <row r="502" spans="1:9" ht="13" x14ac:dyDescent="0.15">
      <c r="A502" s="257"/>
      <c r="B502" s="257"/>
      <c r="C502" s="257"/>
      <c r="D502" s="257"/>
      <c r="E502" s="257"/>
      <c r="F502" s="257"/>
      <c r="G502" s="257"/>
      <c r="H502" s="101"/>
      <c r="I502" s="102" t="str">
        <f t="shared" si="15"/>
        <v/>
      </c>
    </row>
    <row r="503" spans="1:9" ht="13" x14ac:dyDescent="0.15">
      <c r="A503" s="257"/>
      <c r="B503" s="257"/>
      <c r="C503" s="257"/>
      <c r="D503" s="257"/>
      <c r="E503" s="257"/>
      <c r="F503" s="257"/>
      <c r="G503" s="257"/>
      <c r="H503" s="101"/>
      <c r="I503" s="102" t="str">
        <f t="shared" si="15"/>
        <v/>
      </c>
    </row>
    <row r="504" spans="1:9" ht="13" x14ac:dyDescent="0.15">
      <c r="A504" s="257"/>
      <c r="B504" s="257"/>
      <c r="C504" s="257"/>
      <c r="D504" s="257"/>
      <c r="E504" s="257"/>
      <c r="F504" s="257"/>
      <c r="G504" s="257"/>
      <c r="H504" s="101"/>
      <c r="I504" s="102" t="str">
        <f t="shared" si="15"/>
        <v/>
      </c>
    </row>
    <row r="505" spans="1:9" ht="13" x14ac:dyDescent="0.15">
      <c r="A505" s="257"/>
      <c r="B505" s="257"/>
      <c r="C505" s="257"/>
      <c r="D505" s="257"/>
      <c r="E505" s="257"/>
      <c r="F505" s="257"/>
      <c r="G505" s="257"/>
      <c r="H505" s="101"/>
      <c r="I505" s="102" t="str">
        <f t="shared" si="15"/>
        <v/>
      </c>
    </row>
    <row r="506" spans="1:9" ht="13" x14ac:dyDescent="0.15">
      <c r="A506" s="257"/>
      <c r="B506" s="257"/>
      <c r="C506" s="257"/>
      <c r="D506" s="257"/>
      <c r="E506" s="257"/>
      <c r="F506" s="257"/>
      <c r="G506" s="257"/>
      <c r="H506" s="101"/>
      <c r="I506" s="102" t="str">
        <f t="shared" si="15"/>
        <v/>
      </c>
    </row>
    <row r="507" spans="1:9" ht="13" x14ac:dyDescent="0.15">
      <c r="A507" s="257"/>
      <c r="B507" s="257"/>
      <c r="C507" s="257"/>
      <c r="D507" s="257"/>
      <c r="E507" s="257"/>
      <c r="F507" s="257"/>
      <c r="G507" s="257"/>
      <c r="H507" s="101"/>
      <c r="I507" s="102" t="str">
        <f t="shared" si="15"/>
        <v/>
      </c>
    </row>
    <row r="508" spans="1:9" ht="13" x14ac:dyDescent="0.15">
      <c r="A508" s="257"/>
      <c r="B508" s="257"/>
      <c r="C508" s="257"/>
      <c r="D508" s="257"/>
      <c r="E508" s="257"/>
      <c r="F508" s="257"/>
      <c r="G508" s="257"/>
      <c r="H508" s="101"/>
      <c r="I508" s="102" t="str">
        <f t="shared" si="15"/>
        <v/>
      </c>
    </row>
    <row r="509" spans="1:9" ht="13" x14ac:dyDescent="0.15">
      <c r="A509" s="257"/>
      <c r="B509" s="257"/>
      <c r="C509" s="257"/>
      <c r="D509" s="257"/>
      <c r="E509" s="257"/>
      <c r="F509" s="257"/>
      <c r="G509" s="257"/>
      <c r="H509" s="101"/>
      <c r="I509" s="102" t="str">
        <f t="shared" si="15"/>
        <v/>
      </c>
    </row>
    <row r="510" spans="1:9" ht="13" x14ac:dyDescent="0.15">
      <c r="A510" s="257"/>
      <c r="B510" s="257"/>
      <c r="C510" s="257"/>
      <c r="D510" s="257"/>
      <c r="E510" s="257"/>
      <c r="F510" s="257"/>
      <c r="G510" s="257"/>
      <c r="H510" s="101"/>
      <c r="I510" s="102" t="str">
        <f t="shared" si="15"/>
        <v/>
      </c>
    </row>
    <row r="511" spans="1:9" ht="13" x14ac:dyDescent="0.15">
      <c r="A511" s="257"/>
      <c r="B511" s="257"/>
      <c r="C511" s="257"/>
      <c r="D511" s="257"/>
      <c r="E511" s="257"/>
      <c r="F511" s="257"/>
      <c r="G511" s="257"/>
      <c r="H511" s="101"/>
      <c r="I511" s="102" t="str">
        <f t="shared" si="15"/>
        <v/>
      </c>
    </row>
    <row r="512" spans="1:9" ht="13" x14ac:dyDescent="0.15">
      <c r="A512" s="257"/>
      <c r="B512" s="257"/>
      <c r="C512" s="257"/>
      <c r="D512" s="257"/>
      <c r="E512" s="257"/>
      <c r="F512" s="257"/>
      <c r="G512" s="257"/>
      <c r="H512" s="101"/>
      <c r="I512" s="102" t="str">
        <f t="shared" si="15"/>
        <v/>
      </c>
    </row>
    <row r="513" spans="1:9" ht="13" x14ac:dyDescent="0.15">
      <c r="A513" s="257"/>
      <c r="B513" s="257"/>
      <c r="C513" s="257"/>
      <c r="D513" s="257"/>
      <c r="E513" s="257"/>
      <c r="F513" s="257"/>
      <c r="G513" s="257"/>
      <c r="H513" s="101"/>
      <c r="I513" s="102" t="str">
        <f t="shared" si="15"/>
        <v/>
      </c>
    </row>
    <row r="514" spans="1:9" ht="13" x14ac:dyDescent="0.15">
      <c r="A514" s="257"/>
      <c r="B514" s="257"/>
      <c r="C514" s="257"/>
      <c r="D514" s="257"/>
      <c r="E514" s="257"/>
      <c r="F514" s="257"/>
      <c r="G514" s="257"/>
      <c r="H514" s="101"/>
      <c r="I514" s="102" t="str">
        <f t="shared" ref="I514:I577" si="16">IF(ISNUMBER(H514),IF(ABS(H514-$L$14)&gt;$M$16,"OUT",""),"")</f>
        <v/>
      </c>
    </row>
    <row r="515" spans="1:9" ht="13" x14ac:dyDescent="0.15">
      <c r="A515" s="257"/>
      <c r="B515" s="257"/>
      <c r="C515" s="257"/>
      <c r="D515" s="257"/>
      <c r="E515" s="257"/>
      <c r="F515" s="257"/>
      <c r="G515" s="257"/>
      <c r="H515" s="101"/>
      <c r="I515" s="102" t="str">
        <f t="shared" si="16"/>
        <v/>
      </c>
    </row>
    <row r="516" spans="1:9" ht="13" x14ac:dyDescent="0.15">
      <c r="A516" s="257"/>
      <c r="B516" s="257"/>
      <c r="C516" s="257"/>
      <c r="D516" s="257"/>
      <c r="E516" s="257"/>
      <c r="F516" s="257"/>
      <c r="G516" s="257"/>
      <c r="H516" s="101"/>
      <c r="I516" s="102" t="str">
        <f t="shared" si="16"/>
        <v/>
      </c>
    </row>
    <row r="517" spans="1:9" ht="13" x14ac:dyDescent="0.15">
      <c r="A517" s="257"/>
      <c r="B517" s="257"/>
      <c r="C517" s="257"/>
      <c r="D517" s="257"/>
      <c r="E517" s="257"/>
      <c r="F517" s="257"/>
      <c r="G517" s="257"/>
      <c r="H517" s="101"/>
      <c r="I517" s="102" t="str">
        <f t="shared" si="16"/>
        <v/>
      </c>
    </row>
    <row r="518" spans="1:9" ht="13" x14ac:dyDescent="0.15">
      <c r="A518" s="257"/>
      <c r="B518" s="257"/>
      <c r="C518" s="257"/>
      <c r="D518" s="257"/>
      <c r="E518" s="257"/>
      <c r="F518" s="257"/>
      <c r="G518" s="257"/>
      <c r="H518" s="101"/>
      <c r="I518" s="102" t="str">
        <f t="shared" si="16"/>
        <v/>
      </c>
    </row>
    <row r="519" spans="1:9" ht="13" x14ac:dyDescent="0.15">
      <c r="A519" s="257"/>
      <c r="B519" s="257"/>
      <c r="C519" s="257"/>
      <c r="D519" s="257"/>
      <c r="E519" s="257"/>
      <c r="F519" s="257"/>
      <c r="G519" s="257"/>
      <c r="H519" s="101"/>
      <c r="I519" s="102" t="str">
        <f t="shared" si="16"/>
        <v/>
      </c>
    </row>
    <row r="520" spans="1:9" ht="13" x14ac:dyDescent="0.15">
      <c r="A520" s="257"/>
      <c r="B520" s="257"/>
      <c r="C520" s="257"/>
      <c r="D520" s="257"/>
      <c r="E520" s="257"/>
      <c r="F520" s="257"/>
      <c r="G520" s="257"/>
      <c r="H520" s="101"/>
      <c r="I520" s="102" t="str">
        <f t="shared" si="16"/>
        <v/>
      </c>
    </row>
    <row r="521" spans="1:9" ht="13" x14ac:dyDescent="0.15">
      <c r="A521" s="257"/>
      <c r="B521" s="257"/>
      <c r="C521" s="257"/>
      <c r="D521" s="257"/>
      <c r="E521" s="257"/>
      <c r="F521" s="257"/>
      <c r="G521" s="257"/>
      <c r="H521" s="101"/>
      <c r="I521" s="102" t="str">
        <f t="shared" si="16"/>
        <v/>
      </c>
    </row>
    <row r="522" spans="1:9" ht="13" x14ac:dyDescent="0.15">
      <c r="A522" s="257"/>
      <c r="B522" s="257"/>
      <c r="C522" s="257"/>
      <c r="D522" s="257"/>
      <c r="E522" s="257"/>
      <c r="F522" s="257"/>
      <c r="G522" s="257"/>
      <c r="H522" s="101"/>
      <c r="I522" s="102" t="str">
        <f t="shared" si="16"/>
        <v/>
      </c>
    </row>
    <row r="523" spans="1:9" ht="13" x14ac:dyDescent="0.15">
      <c r="A523" s="257"/>
      <c r="B523" s="257"/>
      <c r="C523" s="257"/>
      <c r="D523" s="257"/>
      <c r="E523" s="257"/>
      <c r="F523" s="257"/>
      <c r="G523" s="257"/>
      <c r="H523" s="101"/>
      <c r="I523" s="102" t="str">
        <f t="shared" si="16"/>
        <v/>
      </c>
    </row>
    <row r="524" spans="1:9" ht="13" x14ac:dyDescent="0.15">
      <c r="A524" s="257"/>
      <c r="B524" s="257"/>
      <c r="C524" s="257"/>
      <c r="D524" s="257"/>
      <c r="E524" s="257"/>
      <c r="F524" s="257"/>
      <c r="G524" s="257"/>
      <c r="H524" s="101"/>
      <c r="I524" s="102" t="str">
        <f t="shared" si="16"/>
        <v/>
      </c>
    </row>
    <row r="525" spans="1:9" ht="13" x14ac:dyDescent="0.15">
      <c r="A525" s="257"/>
      <c r="B525" s="257"/>
      <c r="C525" s="257"/>
      <c r="D525" s="257"/>
      <c r="E525" s="257"/>
      <c r="F525" s="257"/>
      <c r="G525" s="257"/>
      <c r="H525" s="101"/>
      <c r="I525" s="102" t="str">
        <f t="shared" si="16"/>
        <v/>
      </c>
    </row>
    <row r="526" spans="1:9" ht="13" x14ac:dyDescent="0.15">
      <c r="A526" s="257"/>
      <c r="B526" s="257"/>
      <c r="C526" s="257"/>
      <c r="D526" s="257"/>
      <c r="E526" s="257"/>
      <c r="F526" s="257"/>
      <c r="G526" s="257"/>
      <c r="H526" s="101"/>
      <c r="I526" s="102" t="str">
        <f t="shared" si="16"/>
        <v/>
      </c>
    </row>
    <row r="527" spans="1:9" ht="13" x14ac:dyDescent="0.15">
      <c r="A527" s="257"/>
      <c r="B527" s="257"/>
      <c r="C527" s="257"/>
      <c r="D527" s="257"/>
      <c r="E527" s="257"/>
      <c r="F527" s="257"/>
      <c r="G527" s="257"/>
      <c r="H527" s="101"/>
      <c r="I527" s="102" t="str">
        <f t="shared" si="16"/>
        <v/>
      </c>
    </row>
    <row r="528" spans="1:9" ht="13" x14ac:dyDescent="0.15">
      <c r="A528" s="257"/>
      <c r="B528" s="257"/>
      <c r="C528" s="257"/>
      <c r="D528" s="257"/>
      <c r="E528" s="257"/>
      <c r="F528" s="257"/>
      <c r="G528" s="257"/>
      <c r="H528" s="101"/>
      <c r="I528" s="102" t="str">
        <f t="shared" si="16"/>
        <v/>
      </c>
    </row>
    <row r="529" spans="1:9" ht="13" x14ac:dyDescent="0.15">
      <c r="A529" s="257"/>
      <c r="B529" s="257"/>
      <c r="C529" s="257"/>
      <c r="D529" s="257"/>
      <c r="E529" s="257"/>
      <c r="F529" s="257"/>
      <c r="G529" s="257"/>
      <c r="H529" s="101"/>
      <c r="I529" s="102" t="str">
        <f t="shared" si="16"/>
        <v/>
      </c>
    </row>
    <row r="530" spans="1:9" ht="13" x14ac:dyDescent="0.15">
      <c r="A530" s="257"/>
      <c r="B530" s="257"/>
      <c r="C530" s="257"/>
      <c r="D530" s="257"/>
      <c r="E530" s="257"/>
      <c r="F530" s="257"/>
      <c r="G530" s="257"/>
      <c r="H530" s="101"/>
      <c r="I530" s="102" t="str">
        <f t="shared" si="16"/>
        <v/>
      </c>
    </row>
    <row r="531" spans="1:9" ht="13" x14ac:dyDescent="0.15">
      <c r="A531" s="257"/>
      <c r="B531" s="257"/>
      <c r="C531" s="257"/>
      <c r="D531" s="257"/>
      <c r="E531" s="257"/>
      <c r="F531" s="257"/>
      <c r="G531" s="257"/>
      <c r="H531" s="101"/>
      <c r="I531" s="102" t="str">
        <f t="shared" si="16"/>
        <v/>
      </c>
    </row>
    <row r="532" spans="1:9" ht="13" x14ac:dyDescent="0.15">
      <c r="A532" s="257"/>
      <c r="B532" s="257"/>
      <c r="C532" s="257"/>
      <c r="D532" s="257"/>
      <c r="E532" s="257"/>
      <c r="F532" s="257"/>
      <c r="G532" s="257"/>
      <c r="H532" s="101"/>
      <c r="I532" s="102" t="str">
        <f t="shared" si="16"/>
        <v/>
      </c>
    </row>
    <row r="533" spans="1:9" ht="13" x14ac:dyDescent="0.15">
      <c r="A533" s="257"/>
      <c r="B533" s="257"/>
      <c r="C533" s="257"/>
      <c r="D533" s="257"/>
      <c r="E533" s="257"/>
      <c r="F533" s="257"/>
      <c r="G533" s="257"/>
      <c r="H533" s="101"/>
      <c r="I533" s="102" t="str">
        <f t="shared" si="16"/>
        <v/>
      </c>
    </row>
    <row r="534" spans="1:9" ht="13" x14ac:dyDescent="0.15">
      <c r="A534" s="257"/>
      <c r="B534" s="257"/>
      <c r="C534" s="257"/>
      <c r="D534" s="257"/>
      <c r="E534" s="257"/>
      <c r="F534" s="257"/>
      <c r="G534" s="257"/>
      <c r="H534" s="101"/>
      <c r="I534" s="102" t="str">
        <f t="shared" si="16"/>
        <v/>
      </c>
    </row>
    <row r="535" spans="1:9" ht="13" x14ac:dyDescent="0.15">
      <c r="A535" s="257"/>
      <c r="B535" s="257"/>
      <c r="C535" s="257"/>
      <c r="D535" s="257"/>
      <c r="E535" s="257"/>
      <c r="F535" s="257"/>
      <c r="G535" s="257"/>
      <c r="H535" s="101"/>
      <c r="I535" s="102" t="str">
        <f t="shared" si="16"/>
        <v/>
      </c>
    </row>
    <row r="536" spans="1:9" ht="13" x14ac:dyDescent="0.15">
      <c r="A536" s="257"/>
      <c r="B536" s="257"/>
      <c r="C536" s="257"/>
      <c r="D536" s="257"/>
      <c r="E536" s="257"/>
      <c r="F536" s="257"/>
      <c r="G536" s="257"/>
      <c r="H536" s="101"/>
      <c r="I536" s="102" t="str">
        <f t="shared" si="16"/>
        <v/>
      </c>
    </row>
    <row r="537" spans="1:9" ht="13" x14ac:dyDescent="0.15">
      <c r="A537" s="257"/>
      <c r="B537" s="257"/>
      <c r="C537" s="257"/>
      <c r="D537" s="257"/>
      <c r="E537" s="257"/>
      <c r="F537" s="257"/>
      <c r="G537" s="257"/>
      <c r="H537" s="101"/>
      <c r="I537" s="102" t="str">
        <f t="shared" si="16"/>
        <v/>
      </c>
    </row>
    <row r="538" spans="1:9" ht="13" x14ac:dyDescent="0.15">
      <c r="A538" s="257"/>
      <c r="B538" s="257"/>
      <c r="C538" s="257"/>
      <c r="D538" s="257"/>
      <c r="E538" s="257"/>
      <c r="F538" s="257"/>
      <c r="G538" s="257"/>
      <c r="H538" s="101"/>
      <c r="I538" s="102" t="str">
        <f t="shared" si="16"/>
        <v/>
      </c>
    </row>
    <row r="539" spans="1:9" ht="13" x14ac:dyDescent="0.15">
      <c r="A539" s="257"/>
      <c r="B539" s="257"/>
      <c r="C539" s="257"/>
      <c r="D539" s="257"/>
      <c r="E539" s="257"/>
      <c r="F539" s="257"/>
      <c r="G539" s="257"/>
      <c r="H539" s="101"/>
      <c r="I539" s="102" t="str">
        <f t="shared" si="16"/>
        <v/>
      </c>
    </row>
    <row r="540" spans="1:9" ht="13" x14ac:dyDescent="0.15">
      <c r="A540" s="257"/>
      <c r="B540" s="257"/>
      <c r="C540" s="257"/>
      <c r="D540" s="257"/>
      <c r="E540" s="257"/>
      <c r="F540" s="257"/>
      <c r="G540" s="257"/>
      <c r="H540" s="101"/>
      <c r="I540" s="102" t="str">
        <f t="shared" si="16"/>
        <v/>
      </c>
    </row>
    <row r="541" spans="1:9" ht="13" x14ac:dyDescent="0.15">
      <c r="A541" s="257"/>
      <c r="B541" s="257"/>
      <c r="C541" s="257"/>
      <c r="D541" s="257"/>
      <c r="E541" s="257"/>
      <c r="F541" s="257"/>
      <c r="G541" s="257"/>
      <c r="H541" s="101"/>
      <c r="I541" s="102" t="str">
        <f t="shared" si="16"/>
        <v/>
      </c>
    </row>
    <row r="542" spans="1:9" ht="13" x14ac:dyDescent="0.15">
      <c r="A542" s="257"/>
      <c r="B542" s="257"/>
      <c r="C542" s="257"/>
      <c r="D542" s="257"/>
      <c r="E542" s="257"/>
      <c r="F542" s="257"/>
      <c r="G542" s="257"/>
      <c r="H542" s="101"/>
      <c r="I542" s="102" t="str">
        <f t="shared" si="16"/>
        <v/>
      </c>
    </row>
    <row r="543" spans="1:9" ht="13" x14ac:dyDescent="0.15">
      <c r="A543" s="257"/>
      <c r="B543" s="257"/>
      <c r="C543" s="257"/>
      <c r="D543" s="257"/>
      <c r="E543" s="257"/>
      <c r="F543" s="257"/>
      <c r="G543" s="257"/>
      <c r="H543" s="101"/>
      <c r="I543" s="102" t="str">
        <f t="shared" si="16"/>
        <v/>
      </c>
    </row>
    <row r="544" spans="1:9" ht="13" x14ac:dyDescent="0.15">
      <c r="A544" s="257"/>
      <c r="B544" s="257"/>
      <c r="C544" s="257"/>
      <c r="D544" s="257"/>
      <c r="E544" s="257"/>
      <c r="F544" s="257"/>
      <c r="G544" s="257"/>
      <c r="H544" s="101"/>
      <c r="I544" s="102" t="str">
        <f t="shared" si="16"/>
        <v/>
      </c>
    </row>
    <row r="545" spans="1:9" ht="13" x14ac:dyDescent="0.15">
      <c r="A545" s="257"/>
      <c r="B545" s="257"/>
      <c r="C545" s="257"/>
      <c r="D545" s="257"/>
      <c r="E545" s="257"/>
      <c r="F545" s="257"/>
      <c r="G545" s="257"/>
      <c r="H545" s="101"/>
      <c r="I545" s="102" t="str">
        <f t="shared" si="16"/>
        <v/>
      </c>
    </row>
    <row r="546" spans="1:9" ht="13" x14ac:dyDescent="0.15">
      <c r="A546" s="257"/>
      <c r="B546" s="257"/>
      <c r="C546" s="257"/>
      <c r="D546" s="257"/>
      <c r="E546" s="257"/>
      <c r="F546" s="257"/>
      <c r="G546" s="257"/>
      <c r="H546" s="101"/>
      <c r="I546" s="102" t="str">
        <f t="shared" si="16"/>
        <v/>
      </c>
    </row>
    <row r="547" spans="1:9" ht="13" x14ac:dyDescent="0.15">
      <c r="A547" s="257"/>
      <c r="B547" s="257"/>
      <c r="C547" s="257"/>
      <c r="D547" s="257"/>
      <c r="E547" s="257"/>
      <c r="F547" s="257"/>
      <c r="G547" s="257"/>
      <c r="H547" s="101"/>
      <c r="I547" s="102" t="str">
        <f t="shared" si="16"/>
        <v/>
      </c>
    </row>
    <row r="548" spans="1:9" ht="13" x14ac:dyDescent="0.15">
      <c r="A548" s="257"/>
      <c r="B548" s="257"/>
      <c r="C548" s="257"/>
      <c r="D548" s="257"/>
      <c r="E548" s="257"/>
      <c r="F548" s="257"/>
      <c r="G548" s="257"/>
      <c r="H548" s="101"/>
      <c r="I548" s="102" t="str">
        <f t="shared" si="16"/>
        <v/>
      </c>
    </row>
    <row r="549" spans="1:9" ht="13" x14ac:dyDescent="0.15">
      <c r="A549" s="257"/>
      <c r="B549" s="257"/>
      <c r="C549" s="257"/>
      <c r="D549" s="257"/>
      <c r="E549" s="257"/>
      <c r="F549" s="257"/>
      <c r="G549" s="257"/>
      <c r="H549" s="101"/>
      <c r="I549" s="102" t="str">
        <f t="shared" si="16"/>
        <v/>
      </c>
    </row>
    <row r="550" spans="1:9" ht="13" x14ac:dyDescent="0.15">
      <c r="A550" s="257"/>
      <c r="B550" s="257"/>
      <c r="C550" s="257"/>
      <c r="D550" s="257"/>
      <c r="E550" s="257"/>
      <c r="F550" s="257"/>
      <c r="G550" s="257"/>
      <c r="H550" s="101"/>
      <c r="I550" s="102" t="str">
        <f t="shared" si="16"/>
        <v/>
      </c>
    </row>
    <row r="551" spans="1:9" ht="13" x14ac:dyDescent="0.15">
      <c r="A551" s="257"/>
      <c r="B551" s="257"/>
      <c r="C551" s="257"/>
      <c r="D551" s="257"/>
      <c r="E551" s="257"/>
      <c r="F551" s="257"/>
      <c r="G551" s="257"/>
      <c r="H551" s="101"/>
      <c r="I551" s="102" t="str">
        <f t="shared" si="16"/>
        <v/>
      </c>
    </row>
    <row r="552" spans="1:9" ht="13" x14ac:dyDescent="0.15">
      <c r="A552" s="257"/>
      <c r="B552" s="257"/>
      <c r="C552" s="257"/>
      <c r="D552" s="257"/>
      <c r="E552" s="257"/>
      <c r="F552" s="257"/>
      <c r="G552" s="257"/>
      <c r="H552" s="101"/>
      <c r="I552" s="102" t="str">
        <f t="shared" si="16"/>
        <v/>
      </c>
    </row>
    <row r="553" spans="1:9" ht="13" x14ac:dyDescent="0.15">
      <c r="A553" s="257"/>
      <c r="B553" s="257"/>
      <c r="C553" s="257"/>
      <c r="D553" s="257"/>
      <c r="E553" s="257"/>
      <c r="F553" s="257"/>
      <c r="G553" s="257"/>
      <c r="H553" s="101"/>
      <c r="I553" s="102" t="str">
        <f t="shared" si="16"/>
        <v/>
      </c>
    </row>
    <row r="554" spans="1:9" ht="13" x14ac:dyDescent="0.15">
      <c r="A554" s="257"/>
      <c r="B554" s="257"/>
      <c r="C554" s="257"/>
      <c r="D554" s="257"/>
      <c r="E554" s="257"/>
      <c r="F554" s="257"/>
      <c r="G554" s="257"/>
      <c r="H554" s="101"/>
      <c r="I554" s="102" t="str">
        <f t="shared" si="16"/>
        <v/>
      </c>
    </row>
    <row r="555" spans="1:9" ht="13" x14ac:dyDescent="0.15">
      <c r="A555" s="257"/>
      <c r="B555" s="257"/>
      <c r="C555" s="257"/>
      <c r="D555" s="257"/>
      <c r="E555" s="257"/>
      <c r="F555" s="257"/>
      <c r="G555" s="257"/>
      <c r="H555" s="101"/>
      <c r="I555" s="102" t="str">
        <f t="shared" si="16"/>
        <v/>
      </c>
    </row>
    <row r="556" spans="1:9" ht="13" x14ac:dyDescent="0.15">
      <c r="A556" s="257"/>
      <c r="B556" s="257"/>
      <c r="C556" s="257"/>
      <c r="D556" s="257"/>
      <c r="E556" s="257"/>
      <c r="F556" s="257"/>
      <c r="G556" s="257"/>
      <c r="H556" s="101"/>
      <c r="I556" s="102" t="str">
        <f t="shared" si="16"/>
        <v/>
      </c>
    </row>
    <row r="557" spans="1:9" ht="13" x14ac:dyDescent="0.15">
      <c r="A557" s="257"/>
      <c r="B557" s="257"/>
      <c r="C557" s="257"/>
      <c r="D557" s="257"/>
      <c r="E557" s="257"/>
      <c r="F557" s="257"/>
      <c r="G557" s="257"/>
      <c r="H557" s="101"/>
      <c r="I557" s="102" t="str">
        <f t="shared" si="16"/>
        <v/>
      </c>
    </row>
    <row r="558" spans="1:9" ht="13" x14ac:dyDescent="0.15">
      <c r="A558" s="257"/>
      <c r="B558" s="257"/>
      <c r="C558" s="257"/>
      <c r="D558" s="257"/>
      <c r="E558" s="257"/>
      <c r="F558" s="257"/>
      <c r="G558" s="257"/>
      <c r="H558" s="101"/>
      <c r="I558" s="102" t="str">
        <f t="shared" si="16"/>
        <v/>
      </c>
    </row>
    <row r="559" spans="1:9" ht="13" x14ac:dyDescent="0.15">
      <c r="A559" s="257"/>
      <c r="B559" s="257"/>
      <c r="C559" s="257"/>
      <c r="D559" s="257"/>
      <c r="E559" s="257"/>
      <c r="F559" s="257"/>
      <c r="G559" s="257"/>
      <c r="H559" s="101"/>
      <c r="I559" s="102" t="str">
        <f t="shared" si="16"/>
        <v/>
      </c>
    </row>
    <row r="560" spans="1:9" ht="13" x14ac:dyDescent="0.15">
      <c r="A560" s="257"/>
      <c r="B560" s="257"/>
      <c r="C560" s="257"/>
      <c r="D560" s="257"/>
      <c r="E560" s="257"/>
      <c r="F560" s="257"/>
      <c r="G560" s="257"/>
      <c r="H560" s="101"/>
      <c r="I560" s="102" t="str">
        <f t="shared" si="16"/>
        <v/>
      </c>
    </row>
    <row r="561" spans="1:9" ht="13" x14ac:dyDescent="0.15">
      <c r="A561" s="257"/>
      <c r="B561" s="257"/>
      <c r="C561" s="257"/>
      <c r="D561" s="257"/>
      <c r="E561" s="257"/>
      <c r="F561" s="257"/>
      <c r="G561" s="257"/>
      <c r="H561" s="101"/>
      <c r="I561" s="102" t="str">
        <f t="shared" si="16"/>
        <v/>
      </c>
    </row>
    <row r="562" spans="1:9" ht="13" x14ac:dyDescent="0.15">
      <c r="A562" s="257"/>
      <c r="B562" s="257"/>
      <c r="C562" s="257"/>
      <c r="D562" s="257"/>
      <c r="E562" s="257"/>
      <c r="F562" s="257"/>
      <c r="G562" s="257"/>
      <c r="H562" s="101"/>
      <c r="I562" s="102" t="str">
        <f t="shared" si="16"/>
        <v/>
      </c>
    </row>
    <row r="563" spans="1:9" ht="13" x14ac:dyDescent="0.15">
      <c r="A563" s="257"/>
      <c r="B563" s="257"/>
      <c r="C563" s="257"/>
      <c r="D563" s="257"/>
      <c r="E563" s="257"/>
      <c r="F563" s="257"/>
      <c r="G563" s="257"/>
      <c r="H563" s="101"/>
      <c r="I563" s="102" t="str">
        <f t="shared" si="16"/>
        <v/>
      </c>
    </row>
    <row r="564" spans="1:9" ht="13" x14ac:dyDescent="0.15">
      <c r="A564" s="257"/>
      <c r="B564" s="257"/>
      <c r="C564" s="257"/>
      <c r="D564" s="257"/>
      <c r="E564" s="257"/>
      <c r="F564" s="257"/>
      <c r="G564" s="257"/>
      <c r="H564" s="101"/>
      <c r="I564" s="102" t="str">
        <f t="shared" si="16"/>
        <v/>
      </c>
    </row>
    <row r="565" spans="1:9" ht="13" x14ac:dyDescent="0.15">
      <c r="A565" s="257"/>
      <c r="B565" s="257"/>
      <c r="C565" s="257"/>
      <c r="D565" s="257"/>
      <c r="E565" s="257"/>
      <c r="F565" s="257"/>
      <c r="G565" s="257"/>
      <c r="H565" s="101"/>
      <c r="I565" s="102" t="str">
        <f t="shared" si="16"/>
        <v/>
      </c>
    </row>
    <row r="566" spans="1:9" ht="13" x14ac:dyDescent="0.15">
      <c r="A566" s="257"/>
      <c r="B566" s="257"/>
      <c r="C566" s="257"/>
      <c r="D566" s="257"/>
      <c r="E566" s="257"/>
      <c r="F566" s="257"/>
      <c r="G566" s="257"/>
      <c r="H566" s="101"/>
      <c r="I566" s="102" t="str">
        <f t="shared" si="16"/>
        <v/>
      </c>
    </row>
    <row r="567" spans="1:9" ht="13" x14ac:dyDescent="0.15">
      <c r="A567" s="257"/>
      <c r="B567" s="257"/>
      <c r="C567" s="257"/>
      <c r="D567" s="257"/>
      <c r="E567" s="257"/>
      <c r="F567" s="257"/>
      <c r="G567" s="257"/>
      <c r="H567" s="101"/>
      <c r="I567" s="102" t="str">
        <f t="shared" si="16"/>
        <v/>
      </c>
    </row>
    <row r="568" spans="1:9" ht="13" x14ac:dyDescent="0.15">
      <c r="A568" s="257"/>
      <c r="B568" s="257"/>
      <c r="C568" s="257"/>
      <c r="D568" s="257"/>
      <c r="E568" s="257"/>
      <c r="F568" s="257"/>
      <c r="G568" s="257"/>
      <c r="H568" s="101"/>
      <c r="I568" s="102" t="str">
        <f t="shared" si="16"/>
        <v/>
      </c>
    </row>
    <row r="569" spans="1:9" ht="13" x14ac:dyDescent="0.15">
      <c r="A569" s="257"/>
      <c r="B569" s="257"/>
      <c r="C569" s="257"/>
      <c r="D569" s="257"/>
      <c r="E569" s="257"/>
      <c r="F569" s="257"/>
      <c r="G569" s="257"/>
      <c r="H569" s="101"/>
      <c r="I569" s="102" t="str">
        <f t="shared" si="16"/>
        <v/>
      </c>
    </row>
    <row r="570" spans="1:9" ht="13" x14ac:dyDescent="0.15">
      <c r="A570" s="257"/>
      <c r="B570" s="257"/>
      <c r="C570" s="257"/>
      <c r="D570" s="257"/>
      <c r="E570" s="257"/>
      <c r="F570" s="257"/>
      <c r="G570" s="257"/>
      <c r="H570" s="101"/>
      <c r="I570" s="102" t="str">
        <f t="shared" si="16"/>
        <v/>
      </c>
    </row>
    <row r="571" spans="1:9" ht="13" x14ac:dyDescent="0.15">
      <c r="A571" s="257"/>
      <c r="B571" s="257"/>
      <c r="C571" s="257"/>
      <c r="D571" s="257"/>
      <c r="E571" s="257"/>
      <c r="F571" s="257"/>
      <c r="G571" s="257"/>
      <c r="H571" s="101"/>
      <c r="I571" s="102" t="str">
        <f t="shared" si="16"/>
        <v/>
      </c>
    </row>
    <row r="572" spans="1:9" ht="13" x14ac:dyDescent="0.15">
      <c r="A572" s="257"/>
      <c r="B572" s="257"/>
      <c r="C572" s="257"/>
      <c r="D572" s="257"/>
      <c r="E572" s="257"/>
      <c r="F572" s="257"/>
      <c r="G572" s="257"/>
      <c r="H572" s="101"/>
      <c r="I572" s="102" t="str">
        <f t="shared" si="16"/>
        <v/>
      </c>
    </row>
    <row r="573" spans="1:9" ht="13" x14ac:dyDescent="0.15">
      <c r="A573" s="257"/>
      <c r="B573" s="257"/>
      <c r="C573" s="257"/>
      <c r="D573" s="257"/>
      <c r="E573" s="257"/>
      <c r="F573" s="257"/>
      <c r="G573" s="257"/>
      <c r="H573" s="101"/>
      <c r="I573" s="102" t="str">
        <f t="shared" si="16"/>
        <v/>
      </c>
    </row>
    <row r="574" spans="1:9" ht="13" x14ac:dyDescent="0.15">
      <c r="A574" s="257"/>
      <c r="B574" s="257"/>
      <c r="C574" s="257"/>
      <c r="D574" s="257"/>
      <c r="E574" s="257"/>
      <c r="F574" s="257"/>
      <c r="G574" s="257"/>
      <c r="H574" s="101"/>
      <c r="I574" s="102" t="str">
        <f t="shared" si="16"/>
        <v/>
      </c>
    </row>
    <row r="575" spans="1:9" ht="13" x14ac:dyDescent="0.15">
      <c r="A575" s="257"/>
      <c r="B575" s="257"/>
      <c r="C575" s="257"/>
      <c r="D575" s="257"/>
      <c r="E575" s="257"/>
      <c r="F575" s="257"/>
      <c r="G575" s="257"/>
      <c r="H575" s="101"/>
      <c r="I575" s="102" t="str">
        <f t="shared" si="16"/>
        <v/>
      </c>
    </row>
    <row r="576" spans="1:9" ht="13" x14ac:dyDescent="0.15">
      <c r="A576" s="257"/>
      <c r="B576" s="257"/>
      <c r="C576" s="257"/>
      <c r="D576" s="257"/>
      <c r="E576" s="257"/>
      <c r="F576" s="257"/>
      <c r="G576" s="257"/>
      <c r="H576" s="101"/>
      <c r="I576" s="102" t="str">
        <f t="shared" si="16"/>
        <v/>
      </c>
    </row>
    <row r="577" spans="1:9" ht="13" x14ac:dyDescent="0.15">
      <c r="A577" s="257"/>
      <c r="B577" s="257"/>
      <c r="C577" s="257"/>
      <c r="D577" s="257"/>
      <c r="E577" s="257"/>
      <c r="F577" s="257"/>
      <c r="G577" s="257"/>
      <c r="H577" s="101"/>
      <c r="I577" s="102" t="str">
        <f t="shared" si="16"/>
        <v/>
      </c>
    </row>
    <row r="578" spans="1:9" ht="13" x14ac:dyDescent="0.15">
      <c r="A578" s="257"/>
      <c r="B578" s="257"/>
      <c r="C578" s="257"/>
      <c r="D578" s="257"/>
      <c r="E578" s="257"/>
      <c r="F578" s="257"/>
      <c r="G578" s="257"/>
      <c r="H578" s="101"/>
      <c r="I578" s="102" t="str">
        <f t="shared" ref="I578:I641" si="17">IF(ISNUMBER(H578),IF(ABS(H578-$L$14)&gt;$M$16,"OUT",""),"")</f>
        <v/>
      </c>
    </row>
    <row r="579" spans="1:9" ht="13" x14ac:dyDescent="0.15">
      <c r="A579" s="257"/>
      <c r="B579" s="257"/>
      <c r="C579" s="257"/>
      <c r="D579" s="257"/>
      <c r="E579" s="257"/>
      <c r="F579" s="257"/>
      <c r="G579" s="257"/>
      <c r="H579" s="101"/>
      <c r="I579" s="102" t="str">
        <f t="shared" si="17"/>
        <v/>
      </c>
    </row>
    <row r="580" spans="1:9" ht="13" x14ac:dyDescent="0.15">
      <c r="A580" s="257"/>
      <c r="B580" s="257"/>
      <c r="C580" s="257"/>
      <c r="D580" s="257"/>
      <c r="E580" s="257"/>
      <c r="F580" s="257"/>
      <c r="G580" s="257"/>
      <c r="H580" s="101"/>
      <c r="I580" s="102" t="str">
        <f t="shared" si="17"/>
        <v/>
      </c>
    </row>
    <row r="581" spans="1:9" ht="13" x14ac:dyDescent="0.15">
      <c r="A581" s="257"/>
      <c r="B581" s="257"/>
      <c r="C581" s="257"/>
      <c r="D581" s="257"/>
      <c r="E581" s="257"/>
      <c r="F581" s="257"/>
      <c r="G581" s="257"/>
      <c r="H581" s="101"/>
      <c r="I581" s="102" t="str">
        <f t="shared" si="17"/>
        <v/>
      </c>
    </row>
    <row r="582" spans="1:9" ht="13" x14ac:dyDescent="0.15">
      <c r="A582" s="257"/>
      <c r="B582" s="257"/>
      <c r="C582" s="257"/>
      <c r="D582" s="257"/>
      <c r="E582" s="257"/>
      <c r="F582" s="257"/>
      <c r="G582" s="257"/>
      <c r="H582" s="101"/>
      <c r="I582" s="102" t="str">
        <f t="shared" si="17"/>
        <v/>
      </c>
    </row>
    <row r="583" spans="1:9" ht="13" x14ac:dyDescent="0.15">
      <c r="A583" s="257"/>
      <c r="B583" s="257"/>
      <c r="C583" s="257"/>
      <c r="D583" s="257"/>
      <c r="E583" s="257"/>
      <c r="F583" s="257"/>
      <c r="G583" s="257"/>
      <c r="H583" s="101"/>
      <c r="I583" s="102" t="str">
        <f t="shared" si="17"/>
        <v/>
      </c>
    </row>
    <row r="584" spans="1:9" ht="13" x14ac:dyDescent="0.15">
      <c r="A584" s="257"/>
      <c r="B584" s="257"/>
      <c r="C584" s="257"/>
      <c r="D584" s="257"/>
      <c r="E584" s="257"/>
      <c r="F584" s="257"/>
      <c r="G584" s="257"/>
      <c r="H584" s="101"/>
      <c r="I584" s="102" t="str">
        <f t="shared" si="17"/>
        <v/>
      </c>
    </row>
    <row r="585" spans="1:9" ht="13" x14ac:dyDescent="0.15">
      <c r="A585" s="257"/>
      <c r="B585" s="257"/>
      <c r="C585" s="257"/>
      <c r="D585" s="257"/>
      <c r="E585" s="257"/>
      <c r="F585" s="257"/>
      <c r="G585" s="257"/>
      <c r="H585" s="101"/>
      <c r="I585" s="102" t="str">
        <f t="shared" si="17"/>
        <v/>
      </c>
    </row>
    <row r="586" spans="1:9" ht="13" x14ac:dyDescent="0.15">
      <c r="A586" s="257"/>
      <c r="B586" s="257"/>
      <c r="C586" s="257"/>
      <c r="D586" s="257"/>
      <c r="E586" s="257"/>
      <c r="F586" s="257"/>
      <c r="G586" s="257"/>
      <c r="H586" s="101"/>
      <c r="I586" s="102" t="str">
        <f t="shared" si="17"/>
        <v/>
      </c>
    </row>
    <row r="587" spans="1:9" ht="13" x14ac:dyDescent="0.15">
      <c r="A587" s="257"/>
      <c r="B587" s="257"/>
      <c r="C587" s="257"/>
      <c r="D587" s="257"/>
      <c r="E587" s="257"/>
      <c r="F587" s="257"/>
      <c r="G587" s="257"/>
      <c r="H587" s="101"/>
      <c r="I587" s="102" t="str">
        <f t="shared" si="17"/>
        <v/>
      </c>
    </row>
    <row r="588" spans="1:9" ht="13" x14ac:dyDescent="0.15">
      <c r="A588" s="257"/>
      <c r="B588" s="257"/>
      <c r="C588" s="257"/>
      <c r="D588" s="257"/>
      <c r="E588" s="257"/>
      <c r="F588" s="257"/>
      <c r="G588" s="257"/>
      <c r="H588" s="101"/>
      <c r="I588" s="102" t="str">
        <f t="shared" si="17"/>
        <v/>
      </c>
    </row>
    <row r="589" spans="1:9" ht="13" x14ac:dyDescent="0.15">
      <c r="A589" s="257"/>
      <c r="B589" s="257"/>
      <c r="C589" s="257"/>
      <c r="D589" s="257"/>
      <c r="E589" s="257"/>
      <c r="F589" s="257"/>
      <c r="G589" s="257"/>
      <c r="H589" s="101"/>
      <c r="I589" s="102" t="str">
        <f t="shared" si="17"/>
        <v/>
      </c>
    </row>
    <row r="590" spans="1:9" ht="13" x14ac:dyDescent="0.15">
      <c r="A590" s="257"/>
      <c r="B590" s="257"/>
      <c r="C590" s="257"/>
      <c r="D590" s="257"/>
      <c r="E590" s="257"/>
      <c r="F590" s="257"/>
      <c r="G590" s="257"/>
      <c r="H590" s="101"/>
      <c r="I590" s="102" t="str">
        <f t="shared" si="17"/>
        <v/>
      </c>
    </row>
    <row r="591" spans="1:9" ht="13" x14ac:dyDescent="0.15">
      <c r="A591" s="257"/>
      <c r="B591" s="257"/>
      <c r="C591" s="257"/>
      <c r="D591" s="257"/>
      <c r="E591" s="257"/>
      <c r="F591" s="257"/>
      <c r="G591" s="257"/>
      <c r="H591" s="101"/>
      <c r="I591" s="102" t="str">
        <f t="shared" si="17"/>
        <v/>
      </c>
    </row>
    <row r="592" spans="1:9" ht="13" x14ac:dyDescent="0.15">
      <c r="A592" s="257"/>
      <c r="B592" s="257"/>
      <c r="C592" s="257"/>
      <c r="D592" s="257"/>
      <c r="E592" s="257"/>
      <c r="F592" s="257"/>
      <c r="G592" s="257"/>
      <c r="H592" s="101"/>
      <c r="I592" s="102" t="str">
        <f t="shared" si="17"/>
        <v/>
      </c>
    </row>
    <row r="593" spans="1:9" ht="13" x14ac:dyDescent="0.15">
      <c r="A593" s="257"/>
      <c r="B593" s="257"/>
      <c r="C593" s="257"/>
      <c r="D593" s="257"/>
      <c r="E593" s="257"/>
      <c r="F593" s="257"/>
      <c r="G593" s="257"/>
      <c r="H593" s="101"/>
      <c r="I593" s="102" t="str">
        <f t="shared" si="17"/>
        <v/>
      </c>
    </row>
    <row r="594" spans="1:9" ht="13" x14ac:dyDescent="0.15">
      <c r="A594" s="257"/>
      <c r="B594" s="257"/>
      <c r="C594" s="257"/>
      <c r="D594" s="257"/>
      <c r="E594" s="257"/>
      <c r="F594" s="257"/>
      <c r="G594" s="257"/>
      <c r="H594" s="101"/>
      <c r="I594" s="102" t="str">
        <f t="shared" si="17"/>
        <v/>
      </c>
    </row>
    <row r="595" spans="1:9" ht="13" x14ac:dyDescent="0.15">
      <c r="A595" s="257"/>
      <c r="B595" s="257"/>
      <c r="C595" s="257"/>
      <c r="D595" s="257"/>
      <c r="E595" s="257"/>
      <c r="F595" s="257"/>
      <c r="G595" s="257"/>
      <c r="H595" s="101"/>
      <c r="I595" s="102" t="str">
        <f t="shared" si="17"/>
        <v/>
      </c>
    </row>
    <row r="596" spans="1:9" ht="13" x14ac:dyDescent="0.15">
      <c r="A596" s="257"/>
      <c r="B596" s="257"/>
      <c r="C596" s="257"/>
      <c r="D596" s="257"/>
      <c r="E596" s="257"/>
      <c r="F596" s="257"/>
      <c r="G596" s="257"/>
      <c r="H596" s="101"/>
      <c r="I596" s="102" t="str">
        <f t="shared" si="17"/>
        <v/>
      </c>
    </row>
    <row r="597" spans="1:9" ht="13" x14ac:dyDescent="0.15">
      <c r="A597" s="257"/>
      <c r="B597" s="257"/>
      <c r="C597" s="257"/>
      <c r="D597" s="257"/>
      <c r="E597" s="257"/>
      <c r="F597" s="257"/>
      <c r="G597" s="257"/>
      <c r="H597" s="101"/>
      <c r="I597" s="102" t="str">
        <f t="shared" si="17"/>
        <v/>
      </c>
    </row>
    <row r="598" spans="1:9" ht="13" x14ac:dyDescent="0.15">
      <c r="A598" s="257"/>
      <c r="B598" s="257"/>
      <c r="C598" s="257"/>
      <c r="D598" s="257"/>
      <c r="E598" s="257"/>
      <c r="F598" s="257"/>
      <c r="G598" s="257"/>
      <c r="H598" s="101"/>
      <c r="I598" s="102" t="str">
        <f t="shared" si="17"/>
        <v/>
      </c>
    </row>
    <row r="599" spans="1:9" ht="13" x14ac:dyDescent="0.15">
      <c r="A599" s="257"/>
      <c r="B599" s="257"/>
      <c r="C599" s="257"/>
      <c r="D599" s="257"/>
      <c r="E599" s="257"/>
      <c r="F599" s="257"/>
      <c r="G599" s="257"/>
      <c r="H599" s="101"/>
      <c r="I599" s="102" t="str">
        <f t="shared" si="17"/>
        <v/>
      </c>
    </row>
    <row r="600" spans="1:9" ht="13" x14ac:dyDescent="0.15">
      <c r="A600" s="257"/>
      <c r="B600" s="257"/>
      <c r="C600" s="257"/>
      <c r="D600" s="257"/>
      <c r="E600" s="257"/>
      <c r="F600" s="257"/>
      <c r="G600" s="257"/>
      <c r="H600" s="101"/>
      <c r="I600" s="102" t="str">
        <f t="shared" si="17"/>
        <v/>
      </c>
    </row>
    <row r="601" spans="1:9" ht="13" x14ac:dyDescent="0.15">
      <c r="A601" s="257"/>
      <c r="B601" s="257"/>
      <c r="C601" s="257"/>
      <c r="D601" s="257"/>
      <c r="E601" s="257"/>
      <c r="F601" s="257"/>
      <c r="G601" s="257"/>
      <c r="H601" s="101"/>
      <c r="I601" s="102" t="str">
        <f t="shared" si="17"/>
        <v/>
      </c>
    </row>
    <row r="602" spans="1:9" ht="13" x14ac:dyDescent="0.15">
      <c r="A602" s="257"/>
      <c r="B602" s="257"/>
      <c r="C602" s="257"/>
      <c r="D602" s="257"/>
      <c r="E602" s="257"/>
      <c r="F602" s="257"/>
      <c r="G602" s="257"/>
      <c r="H602" s="101"/>
      <c r="I602" s="102" t="str">
        <f t="shared" si="17"/>
        <v/>
      </c>
    </row>
    <row r="603" spans="1:9" ht="13" x14ac:dyDescent="0.15">
      <c r="A603" s="257"/>
      <c r="B603" s="257"/>
      <c r="C603" s="257"/>
      <c r="D603" s="257"/>
      <c r="E603" s="257"/>
      <c r="F603" s="257"/>
      <c r="G603" s="257"/>
      <c r="H603" s="101"/>
      <c r="I603" s="102" t="str">
        <f t="shared" si="17"/>
        <v/>
      </c>
    </row>
    <row r="604" spans="1:9" ht="13" x14ac:dyDescent="0.15">
      <c r="A604" s="257"/>
      <c r="B604" s="257"/>
      <c r="C604" s="257"/>
      <c r="D604" s="257"/>
      <c r="E604" s="257"/>
      <c r="F604" s="257"/>
      <c r="G604" s="257"/>
      <c r="H604" s="101"/>
      <c r="I604" s="102" t="str">
        <f t="shared" si="17"/>
        <v/>
      </c>
    </row>
    <row r="605" spans="1:9" ht="13" x14ac:dyDescent="0.15">
      <c r="A605" s="257"/>
      <c r="B605" s="257"/>
      <c r="C605" s="257"/>
      <c r="D605" s="257"/>
      <c r="E605" s="257"/>
      <c r="F605" s="257"/>
      <c r="G605" s="257"/>
      <c r="H605" s="101"/>
      <c r="I605" s="102" t="str">
        <f t="shared" si="17"/>
        <v/>
      </c>
    </row>
    <row r="606" spans="1:9" ht="13" x14ac:dyDescent="0.15">
      <c r="A606" s="257"/>
      <c r="B606" s="257"/>
      <c r="C606" s="257"/>
      <c r="D606" s="257"/>
      <c r="E606" s="257"/>
      <c r="F606" s="257"/>
      <c r="G606" s="257"/>
      <c r="H606" s="101"/>
      <c r="I606" s="102" t="str">
        <f t="shared" si="17"/>
        <v/>
      </c>
    </row>
    <row r="607" spans="1:9" ht="13" x14ac:dyDescent="0.15">
      <c r="A607" s="257"/>
      <c r="B607" s="257"/>
      <c r="C607" s="257"/>
      <c r="D607" s="257"/>
      <c r="E607" s="257"/>
      <c r="F607" s="257"/>
      <c r="G607" s="257"/>
      <c r="H607" s="101"/>
      <c r="I607" s="102" t="str">
        <f t="shared" si="17"/>
        <v/>
      </c>
    </row>
    <row r="608" spans="1:9" ht="13" x14ac:dyDescent="0.15">
      <c r="A608" s="257"/>
      <c r="B608" s="257"/>
      <c r="C608" s="257"/>
      <c r="D608" s="257"/>
      <c r="E608" s="257"/>
      <c r="F608" s="257"/>
      <c r="G608" s="257"/>
      <c r="H608" s="101"/>
      <c r="I608" s="102" t="str">
        <f t="shared" si="17"/>
        <v/>
      </c>
    </row>
    <row r="609" spans="1:9" ht="13" x14ac:dyDescent="0.15">
      <c r="A609" s="257"/>
      <c r="B609" s="257"/>
      <c r="C609" s="257"/>
      <c r="D609" s="257"/>
      <c r="E609" s="257"/>
      <c r="F609" s="257"/>
      <c r="G609" s="257"/>
      <c r="H609" s="101"/>
      <c r="I609" s="102" t="str">
        <f t="shared" si="17"/>
        <v/>
      </c>
    </row>
    <row r="610" spans="1:9" ht="13" x14ac:dyDescent="0.15">
      <c r="A610" s="257"/>
      <c r="B610" s="257"/>
      <c r="C610" s="257"/>
      <c r="D610" s="257"/>
      <c r="E610" s="257"/>
      <c r="F610" s="257"/>
      <c r="G610" s="257"/>
      <c r="H610" s="101"/>
      <c r="I610" s="102" t="str">
        <f t="shared" si="17"/>
        <v/>
      </c>
    </row>
    <row r="611" spans="1:9" ht="13" x14ac:dyDescent="0.15">
      <c r="A611" s="257"/>
      <c r="B611" s="257"/>
      <c r="C611" s="257"/>
      <c r="D611" s="257"/>
      <c r="E611" s="257"/>
      <c r="F611" s="257"/>
      <c r="G611" s="257"/>
      <c r="H611" s="101"/>
      <c r="I611" s="102" t="str">
        <f t="shared" si="17"/>
        <v/>
      </c>
    </row>
    <row r="612" spans="1:9" ht="13" x14ac:dyDescent="0.15">
      <c r="A612" s="257"/>
      <c r="B612" s="257"/>
      <c r="C612" s="257"/>
      <c r="D612" s="257"/>
      <c r="E612" s="257"/>
      <c r="F612" s="257"/>
      <c r="G612" s="257"/>
      <c r="H612" s="101"/>
      <c r="I612" s="102" t="str">
        <f t="shared" si="17"/>
        <v/>
      </c>
    </row>
    <row r="613" spans="1:9" ht="13" x14ac:dyDescent="0.15">
      <c r="A613" s="257"/>
      <c r="B613" s="257"/>
      <c r="C613" s="257"/>
      <c r="D613" s="257"/>
      <c r="E613" s="257"/>
      <c r="F613" s="257"/>
      <c r="G613" s="257"/>
      <c r="H613" s="101"/>
      <c r="I613" s="102" t="str">
        <f t="shared" si="17"/>
        <v/>
      </c>
    </row>
    <row r="614" spans="1:9" ht="13" x14ac:dyDescent="0.15">
      <c r="A614" s="257"/>
      <c r="B614" s="257"/>
      <c r="C614" s="257"/>
      <c r="D614" s="257"/>
      <c r="E614" s="257"/>
      <c r="F614" s="257"/>
      <c r="G614" s="257"/>
      <c r="H614" s="101"/>
      <c r="I614" s="102" t="str">
        <f t="shared" si="17"/>
        <v/>
      </c>
    </row>
    <row r="615" spans="1:9" ht="13" x14ac:dyDescent="0.15">
      <c r="A615" s="257"/>
      <c r="B615" s="257"/>
      <c r="C615" s="257"/>
      <c r="D615" s="257"/>
      <c r="E615" s="257"/>
      <c r="F615" s="257"/>
      <c r="G615" s="257"/>
      <c r="H615" s="101"/>
      <c r="I615" s="102" t="str">
        <f t="shared" si="17"/>
        <v/>
      </c>
    </row>
    <row r="616" spans="1:9" ht="13" x14ac:dyDescent="0.15">
      <c r="A616" s="257"/>
      <c r="B616" s="257"/>
      <c r="C616" s="257"/>
      <c r="D616" s="257"/>
      <c r="E616" s="257"/>
      <c r="F616" s="257"/>
      <c r="G616" s="257"/>
      <c r="H616" s="101"/>
      <c r="I616" s="102" t="str">
        <f t="shared" si="17"/>
        <v/>
      </c>
    </row>
    <row r="617" spans="1:9" ht="13" x14ac:dyDescent="0.15">
      <c r="A617" s="257"/>
      <c r="B617" s="257"/>
      <c r="C617" s="257"/>
      <c r="D617" s="257"/>
      <c r="E617" s="257"/>
      <c r="F617" s="257"/>
      <c r="G617" s="257"/>
      <c r="H617" s="101"/>
      <c r="I617" s="102" t="str">
        <f t="shared" si="17"/>
        <v/>
      </c>
    </row>
    <row r="618" spans="1:9" ht="13" x14ac:dyDescent="0.15">
      <c r="A618" s="257"/>
      <c r="B618" s="257"/>
      <c r="C618" s="257"/>
      <c r="D618" s="257"/>
      <c r="E618" s="257"/>
      <c r="F618" s="257"/>
      <c r="G618" s="257"/>
      <c r="H618" s="101"/>
      <c r="I618" s="102" t="str">
        <f t="shared" si="17"/>
        <v/>
      </c>
    </row>
    <row r="619" spans="1:9" ht="13" x14ac:dyDescent="0.15">
      <c r="A619" s="257"/>
      <c r="B619" s="257"/>
      <c r="C619" s="257"/>
      <c r="D619" s="257"/>
      <c r="E619" s="257"/>
      <c r="F619" s="257"/>
      <c r="G619" s="257"/>
      <c r="H619" s="101"/>
      <c r="I619" s="102" t="str">
        <f t="shared" si="17"/>
        <v/>
      </c>
    </row>
    <row r="620" spans="1:9" ht="13" x14ac:dyDescent="0.15">
      <c r="A620" s="257"/>
      <c r="B620" s="257"/>
      <c r="C620" s="257"/>
      <c r="D620" s="257"/>
      <c r="E620" s="257"/>
      <c r="F620" s="257"/>
      <c r="G620" s="257"/>
      <c r="H620" s="101"/>
      <c r="I620" s="102" t="str">
        <f t="shared" si="17"/>
        <v/>
      </c>
    </row>
    <row r="621" spans="1:9" ht="13" x14ac:dyDescent="0.15">
      <c r="A621" s="257"/>
      <c r="B621" s="257"/>
      <c r="C621" s="257"/>
      <c r="D621" s="257"/>
      <c r="E621" s="257"/>
      <c r="F621" s="257"/>
      <c r="G621" s="257"/>
      <c r="H621" s="101"/>
      <c r="I621" s="102" t="str">
        <f t="shared" si="17"/>
        <v/>
      </c>
    </row>
    <row r="622" spans="1:9" ht="13" x14ac:dyDescent="0.15">
      <c r="A622" s="257"/>
      <c r="B622" s="257"/>
      <c r="C622" s="257"/>
      <c r="D622" s="257"/>
      <c r="E622" s="257"/>
      <c r="F622" s="257"/>
      <c r="G622" s="257"/>
      <c r="H622" s="101"/>
      <c r="I622" s="102" t="str">
        <f t="shared" si="17"/>
        <v/>
      </c>
    </row>
    <row r="623" spans="1:9" ht="13" x14ac:dyDescent="0.15">
      <c r="A623" s="257"/>
      <c r="B623" s="257"/>
      <c r="C623" s="257"/>
      <c r="D623" s="257"/>
      <c r="E623" s="257"/>
      <c r="F623" s="257"/>
      <c r="G623" s="257"/>
      <c r="H623" s="101"/>
      <c r="I623" s="102" t="str">
        <f t="shared" si="17"/>
        <v/>
      </c>
    </row>
    <row r="624" spans="1:9" ht="13" x14ac:dyDescent="0.15">
      <c r="A624" s="257"/>
      <c r="B624" s="257"/>
      <c r="C624" s="257"/>
      <c r="D624" s="257"/>
      <c r="E624" s="257"/>
      <c r="F624" s="257"/>
      <c r="G624" s="257"/>
      <c r="H624" s="101"/>
      <c r="I624" s="102" t="str">
        <f t="shared" si="17"/>
        <v/>
      </c>
    </row>
    <row r="625" spans="1:9" ht="13" x14ac:dyDescent="0.15">
      <c r="A625" s="257"/>
      <c r="B625" s="257"/>
      <c r="C625" s="257"/>
      <c r="D625" s="257"/>
      <c r="E625" s="257"/>
      <c r="F625" s="257"/>
      <c r="G625" s="257"/>
      <c r="H625" s="101"/>
      <c r="I625" s="102" t="str">
        <f t="shared" si="17"/>
        <v/>
      </c>
    </row>
    <row r="626" spans="1:9" ht="13" x14ac:dyDescent="0.15">
      <c r="A626" s="257"/>
      <c r="B626" s="257"/>
      <c r="C626" s="257"/>
      <c r="D626" s="257"/>
      <c r="E626" s="257"/>
      <c r="F626" s="257"/>
      <c r="G626" s="257"/>
      <c r="H626" s="101"/>
      <c r="I626" s="102" t="str">
        <f t="shared" si="17"/>
        <v/>
      </c>
    </row>
    <row r="627" spans="1:9" ht="13" x14ac:dyDescent="0.15">
      <c r="A627" s="257"/>
      <c r="B627" s="257"/>
      <c r="C627" s="257"/>
      <c r="D627" s="257"/>
      <c r="E627" s="257"/>
      <c r="F627" s="257"/>
      <c r="G627" s="257"/>
      <c r="H627" s="101"/>
      <c r="I627" s="102" t="str">
        <f t="shared" si="17"/>
        <v/>
      </c>
    </row>
    <row r="628" spans="1:9" ht="13" x14ac:dyDescent="0.15">
      <c r="A628" s="257"/>
      <c r="B628" s="257"/>
      <c r="C628" s="257"/>
      <c r="D628" s="257"/>
      <c r="E628" s="257"/>
      <c r="F628" s="257"/>
      <c r="G628" s="257"/>
      <c r="H628" s="101"/>
      <c r="I628" s="102" t="str">
        <f t="shared" si="17"/>
        <v/>
      </c>
    </row>
    <row r="629" spans="1:9" ht="13" x14ac:dyDescent="0.15">
      <c r="A629" s="257"/>
      <c r="B629" s="257"/>
      <c r="C629" s="257"/>
      <c r="D629" s="257"/>
      <c r="E629" s="257"/>
      <c r="F629" s="257"/>
      <c r="G629" s="257"/>
      <c r="H629" s="101"/>
      <c r="I629" s="102" t="str">
        <f t="shared" si="17"/>
        <v/>
      </c>
    </row>
    <row r="630" spans="1:9" ht="13" x14ac:dyDescent="0.15">
      <c r="A630" s="257"/>
      <c r="B630" s="257"/>
      <c r="C630" s="257"/>
      <c r="D630" s="257"/>
      <c r="E630" s="257"/>
      <c r="F630" s="257"/>
      <c r="G630" s="257"/>
      <c r="H630" s="101"/>
      <c r="I630" s="102" t="str">
        <f t="shared" si="17"/>
        <v/>
      </c>
    </row>
    <row r="631" spans="1:9" ht="13" x14ac:dyDescent="0.15">
      <c r="A631" s="257"/>
      <c r="B631" s="257"/>
      <c r="C631" s="257"/>
      <c r="D631" s="257"/>
      <c r="E631" s="257"/>
      <c r="F631" s="257"/>
      <c r="G631" s="257"/>
      <c r="H631" s="101"/>
      <c r="I631" s="102" t="str">
        <f t="shared" si="17"/>
        <v/>
      </c>
    </row>
    <row r="632" spans="1:9" ht="13" x14ac:dyDescent="0.15">
      <c r="A632" s="257"/>
      <c r="B632" s="257"/>
      <c r="C632" s="257"/>
      <c r="D632" s="257"/>
      <c r="E632" s="257"/>
      <c r="F632" s="257"/>
      <c r="G632" s="257"/>
      <c r="H632" s="101"/>
      <c r="I632" s="102" t="str">
        <f t="shared" si="17"/>
        <v/>
      </c>
    </row>
    <row r="633" spans="1:9" ht="13" x14ac:dyDescent="0.15">
      <c r="A633" s="257"/>
      <c r="B633" s="257"/>
      <c r="C633" s="257"/>
      <c r="D633" s="257"/>
      <c r="E633" s="257"/>
      <c r="F633" s="257"/>
      <c r="G633" s="257"/>
      <c r="H633" s="101"/>
      <c r="I633" s="102" t="str">
        <f t="shared" si="17"/>
        <v/>
      </c>
    </row>
    <row r="634" spans="1:9" ht="13" x14ac:dyDescent="0.15">
      <c r="A634" s="257"/>
      <c r="B634" s="257"/>
      <c r="C634" s="257"/>
      <c r="D634" s="257"/>
      <c r="E634" s="257"/>
      <c r="F634" s="257"/>
      <c r="G634" s="257"/>
      <c r="H634" s="101"/>
      <c r="I634" s="102" t="str">
        <f t="shared" si="17"/>
        <v/>
      </c>
    </row>
    <row r="635" spans="1:9" ht="13" x14ac:dyDescent="0.15">
      <c r="A635" s="257"/>
      <c r="B635" s="257"/>
      <c r="C635" s="257"/>
      <c r="D635" s="257"/>
      <c r="E635" s="257"/>
      <c r="F635" s="257"/>
      <c r="G635" s="257"/>
      <c r="H635" s="101"/>
      <c r="I635" s="102" t="str">
        <f t="shared" si="17"/>
        <v/>
      </c>
    </row>
    <row r="636" spans="1:9" ht="13" x14ac:dyDescent="0.15">
      <c r="A636" s="257"/>
      <c r="B636" s="257"/>
      <c r="C636" s="257"/>
      <c r="D636" s="257"/>
      <c r="E636" s="257"/>
      <c r="F636" s="257"/>
      <c r="G636" s="257"/>
      <c r="H636" s="101"/>
      <c r="I636" s="102" t="str">
        <f t="shared" si="17"/>
        <v/>
      </c>
    </row>
    <row r="637" spans="1:9" ht="13" x14ac:dyDescent="0.15">
      <c r="A637" s="257"/>
      <c r="B637" s="257"/>
      <c r="C637" s="257"/>
      <c r="D637" s="257"/>
      <c r="E637" s="257"/>
      <c r="F637" s="257"/>
      <c r="G637" s="257"/>
      <c r="H637" s="101"/>
      <c r="I637" s="102" t="str">
        <f t="shared" si="17"/>
        <v/>
      </c>
    </row>
    <row r="638" spans="1:9" ht="13" x14ac:dyDescent="0.15">
      <c r="A638" s="257"/>
      <c r="B638" s="257"/>
      <c r="C638" s="257"/>
      <c r="D638" s="257"/>
      <c r="E638" s="257"/>
      <c r="F638" s="257"/>
      <c r="G638" s="257"/>
      <c r="H638" s="101"/>
      <c r="I638" s="102" t="str">
        <f t="shared" si="17"/>
        <v/>
      </c>
    </row>
    <row r="639" spans="1:9" ht="13" x14ac:dyDescent="0.15">
      <c r="A639" s="257"/>
      <c r="B639" s="257"/>
      <c r="C639" s="257"/>
      <c r="D639" s="257"/>
      <c r="E639" s="257"/>
      <c r="F639" s="257"/>
      <c r="G639" s="257"/>
      <c r="H639" s="101"/>
      <c r="I639" s="102" t="str">
        <f t="shared" si="17"/>
        <v/>
      </c>
    </row>
    <row r="640" spans="1:9" ht="13" x14ac:dyDescent="0.15">
      <c r="A640" s="257"/>
      <c r="B640" s="257"/>
      <c r="C640" s="257"/>
      <c r="D640" s="257"/>
      <c r="E640" s="257"/>
      <c r="F640" s="257"/>
      <c r="G640" s="257"/>
      <c r="H640" s="101"/>
      <c r="I640" s="102" t="str">
        <f t="shared" si="17"/>
        <v/>
      </c>
    </row>
    <row r="641" spans="1:9" ht="13" x14ac:dyDescent="0.15">
      <c r="A641" s="257"/>
      <c r="B641" s="257"/>
      <c r="C641" s="257"/>
      <c r="D641" s="257"/>
      <c r="E641" s="257"/>
      <c r="F641" s="257"/>
      <c r="G641" s="257"/>
      <c r="H641" s="101"/>
      <c r="I641" s="102" t="str">
        <f t="shared" si="17"/>
        <v/>
      </c>
    </row>
    <row r="642" spans="1:9" ht="13" x14ac:dyDescent="0.15">
      <c r="A642" s="257"/>
      <c r="B642" s="257"/>
      <c r="C642" s="257"/>
      <c r="D642" s="257"/>
      <c r="E642" s="257"/>
      <c r="F642" s="257"/>
      <c r="G642" s="257"/>
      <c r="H642" s="101"/>
      <c r="I642" s="102" t="str">
        <f t="shared" ref="I642:I705" si="18">IF(ISNUMBER(H642),IF(ABS(H642-$L$14)&gt;$M$16,"OUT",""),"")</f>
        <v/>
      </c>
    </row>
    <row r="643" spans="1:9" ht="13" x14ac:dyDescent="0.15">
      <c r="A643" s="257"/>
      <c r="B643" s="257"/>
      <c r="C643" s="257"/>
      <c r="D643" s="257"/>
      <c r="E643" s="257"/>
      <c r="F643" s="257"/>
      <c r="G643" s="257"/>
      <c r="H643" s="101"/>
      <c r="I643" s="102" t="str">
        <f t="shared" si="18"/>
        <v/>
      </c>
    </row>
    <row r="644" spans="1:9" ht="13" x14ac:dyDescent="0.15">
      <c r="A644" s="257"/>
      <c r="B644" s="257"/>
      <c r="C644" s="257"/>
      <c r="D644" s="257"/>
      <c r="E644" s="257"/>
      <c r="F644" s="257"/>
      <c r="G644" s="257"/>
      <c r="H644" s="101"/>
      <c r="I644" s="102" t="str">
        <f t="shared" si="18"/>
        <v/>
      </c>
    </row>
    <row r="645" spans="1:9" ht="13" x14ac:dyDescent="0.15">
      <c r="A645" s="257"/>
      <c r="B645" s="257"/>
      <c r="C645" s="257"/>
      <c r="D645" s="257"/>
      <c r="E645" s="257"/>
      <c r="F645" s="257"/>
      <c r="G645" s="257"/>
      <c r="H645" s="101"/>
      <c r="I645" s="102" t="str">
        <f t="shared" si="18"/>
        <v/>
      </c>
    </row>
    <row r="646" spans="1:9" ht="13" x14ac:dyDescent="0.15">
      <c r="A646" s="257"/>
      <c r="B646" s="257"/>
      <c r="C646" s="257"/>
      <c r="D646" s="257"/>
      <c r="E646" s="257"/>
      <c r="F646" s="257"/>
      <c r="G646" s="257"/>
      <c r="H646" s="101"/>
      <c r="I646" s="102" t="str">
        <f t="shared" si="18"/>
        <v/>
      </c>
    </row>
    <row r="647" spans="1:9" ht="13" x14ac:dyDescent="0.15">
      <c r="A647" s="257"/>
      <c r="B647" s="257"/>
      <c r="C647" s="257"/>
      <c r="D647" s="257"/>
      <c r="E647" s="257"/>
      <c r="F647" s="257"/>
      <c r="G647" s="257"/>
      <c r="H647" s="101"/>
      <c r="I647" s="102" t="str">
        <f t="shared" si="18"/>
        <v/>
      </c>
    </row>
    <row r="648" spans="1:9" ht="13" x14ac:dyDescent="0.15">
      <c r="A648" s="257"/>
      <c r="B648" s="257"/>
      <c r="C648" s="257"/>
      <c r="D648" s="257"/>
      <c r="E648" s="257"/>
      <c r="F648" s="257"/>
      <c r="G648" s="257"/>
      <c r="H648" s="101"/>
      <c r="I648" s="102" t="str">
        <f t="shared" si="18"/>
        <v/>
      </c>
    </row>
    <row r="649" spans="1:9" ht="13" x14ac:dyDescent="0.15">
      <c r="A649" s="257"/>
      <c r="B649" s="257"/>
      <c r="C649" s="257"/>
      <c r="D649" s="257"/>
      <c r="E649" s="257"/>
      <c r="F649" s="257"/>
      <c r="G649" s="257"/>
      <c r="H649" s="101"/>
      <c r="I649" s="102" t="str">
        <f t="shared" si="18"/>
        <v/>
      </c>
    </row>
    <row r="650" spans="1:9" ht="13" x14ac:dyDescent="0.15">
      <c r="A650" s="257"/>
      <c r="B650" s="257"/>
      <c r="C650" s="257"/>
      <c r="D650" s="257"/>
      <c r="E650" s="257"/>
      <c r="F650" s="257"/>
      <c r="G650" s="257"/>
      <c r="H650" s="101"/>
      <c r="I650" s="102" t="str">
        <f t="shared" si="18"/>
        <v/>
      </c>
    </row>
    <row r="651" spans="1:9" ht="13" x14ac:dyDescent="0.15">
      <c r="A651" s="257"/>
      <c r="B651" s="257"/>
      <c r="C651" s="257"/>
      <c r="D651" s="257"/>
      <c r="E651" s="257"/>
      <c r="F651" s="257"/>
      <c r="G651" s="257"/>
      <c r="H651" s="101"/>
      <c r="I651" s="102" t="str">
        <f t="shared" si="18"/>
        <v/>
      </c>
    </row>
    <row r="652" spans="1:9" ht="13" x14ac:dyDescent="0.15">
      <c r="A652" s="257"/>
      <c r="B652" s="257"/>
      <c r="C652" s="257"/>
      <c r="D652" s="257"/>
      <c r="E652" s="257"/>
      <c r="F652" s="257"/>
      <c r="G652" s="257"/>
      <c r="H652" s="101"/>
      <c r="I652" s="102" t="str">
        <f t="shared" si="18"/>
        <v/>
      </c>
    </row>
    <row r="653" spans="1:9" ht="13" x14ac:dyDescent="0.15">
      <c r="A653" s="257"/>
      <c r="B653" s="257"/>
      <c r="C653" s="257"/>
      <c r="D653" s="257"/>
      <c r="E653" s="257"/>
      <c r="F653" s="257"/>
      <c r="G653" s="257"/>
      <c r="H653" s="101"/>
      <c r="I653" s="102" t="str">
        <f t="shared" si="18"/>
        <v/>
      </c>
    </row>
    <row r="654" spans="1:9" ht="13" x14ac:dyDescent="0.15">
      <c r="A654" s="257"/>
      <c r="B654" s="257"/>
      <c r="C654" s="257"/>
      <c r="D654" s="257"/>
      <c r="E654" s="257"/>
      <c r="F654" s="257"/>
      <c r="G654" s="257"/>
      <c r="H654" s="101"/>
      <c r="I654" s="102" t="str">
        <f t="shared" si="18"/>
        <v/>
      </c>
    </row>
    <row r="655" spans="1:9" ht="13" x14ac:dyDescent="0.15">
      <c r="A655" s="257"/>
      <c r="B655" s="257"/>
      <c r="C655" s="257"/>
      <c r="D655" s="257"/>
      <c r="E655" s="257"/>
      <c r="F655" s="257"/>
      <c r="G655" s="257"/>
      <c r="H655" s="101"/>
      <c r="I655" s="102" t="str">
        <f t="shared" si="18"/>
        <v/>
      </c>
    </row>
    <row r="656" spans="1:9" ht="13" x14ac:dyDescent="0.15">
      <c r="A656" s="257"/>
      <c r="B656" s="257"/>
      <c r="C656" s="257"/>
      <c r="D656" s="257"/>
      <c r="E656" s="257"/>
      <c r="F656" s="257"/>
      <c r="G656" s="257"/>
      <c r="H656" s="101"/>
      <c r="I656" s="102" t="str">
        <f t="shared" si="18"/>
        <v/>
      </c>
    </row>
    <row r="657" spans="1:9" ht="13" x14ac:dyDescent="0.15">
      <c r="A657" s="257"/>
      <c r="B657" s="257"/>
      <c r="C657" s="257"/>
      <c r="D657" s="257"/>
      <c r="E657" s="257"/>
      <c r="F657" s="257"/>
      <c r="G657" s="257"/>
      <c r="H657" s="101"/>
      <c r="I657" s="102" t="str">
        <f t="shared" si="18"/>
        <v/>
      </c>
    </row>
    <row r="658" spans="1:9" ht="13" x14ac:dyDescent="0.15">
      <c r="A658" s="257"/>
      <c r="B658" s="257"/>
      <c r="C658" s="257"/>
      <c r="D658" s="257"/>
      <c r="E658" s="257"/>
      <c r="F658" s="257"/>
      <c r="G658" s="257"/>
      <c r="H658" s="101"/>
      <c r="I658" s="102" t="str">
        <f t="shared" si="18"/>
        <v/>
      </c>
    </row>
    <row r="659" spans="1:9" ht="13" x14ac:dyDescent="0.15">
      <c r="A659" s="257"/>
      <c r="B659" s="257"/>
      <c r="C659" s="257"/>
      <c r="D659" s="257"/>
      <c r="E659" s="257"/>
      <c r="F659" s="257"/>
      <c r="G659" s="257"/>
      <c r="H659" s="101"/>
      <c r="I659" s="102" t="str">
        <f t="shared" si="18"/>
        <v/>
      </c>
    </row>
    <row r="660" spans="1:9" ht="13" x14ac:dyDescent="0.15">
      <c r="A660" s="257"/>
      <c r="B660" s="257"/>
      <c r="C660" s="257"/>
      <c r="D660" s="257"/>
      <c r="E660" s="257"/>
      <c r="F660" s="257"/>
      <c r="G660" s="257"/>
      <c r="H660" s="101"/>
      <c r="I660" s="102" t="str">
        <f t="shared" si="18"/>
        <v/>
      </c>
    </row>
    <row r="661" spans="1:9" ht="13" x14ac:dyDescent="0.15">
      <c r="A661" s="257"/>
      <c r="B661" s="257"/>
      <c r="C661" s="257"/>
      <c r="D661" s="257"/>
      <c r="E661" s="257"/>
      <c r="F661" s="257"/>
      <c r="G661" s="257"/>
      <c r="H661" s="101"/>
      <c r="I661" s="102" t="str">
        <f t="shared" si="18"/>
        <v/>
      </c>
    </row>
    <row r="662" spans="1:9" ht="13" x14ac:dyDescent="0.15">
      <c r="A662" s="257"/>
      <c r="B662" s="257"/>
      <c r="C662" s="257"/>
      <c r="D662" s="257"/>
      <c r="E662" s="257"/>
      <c r="F662" s="257"/>
      <c r="G662" s="257"/>
      <c r="H662" s="101"/>
      <c r="I662" s="102" t="str">
        <f t="shared" si="18"/>
        <v/>
      </c>
    </row>
    <row r="663" spans="1:9" ht="13" x14ac:dyDescent="0.15">
      <c r="A663" s="257"/>
      <c r="B663" s="257"/>
      <c r="C663" s="257"/>
      <c r="D663" s="257"/>
      <c r="E663" s="257"/>
      <c r="F663" s="257"/>
      <c r="G663" s="257"/>
      <c r="H663" s="101"/>
      <c r="I663" s="102" t="str">
        <f t="shared" si="18"/>
        <v/>
      </c>
    </row>
    <row r="664" spans="1:9" ht="13" x14ac:dyDescent="0.15">
      <c r="A664" s="257"/>
      <c r="B664" s="257"/>
      <c r="C664" s="257"/>
      <c r="D664" s="257"/>
      <c r="E664" s="257"/>
      <c r="F664" s="257"/>
      <c r="G664" s="257"/>
      <c r="H664" s="101"/>
      <c r="I664" s="102" t="str">
        <f t="shared" si="18"/>
        <v/>
      </c>
    </row>
    <row r="665" spans="1:9" ht="13" x14ac:dyDescent="0.15">
      <c r="A665" s="257"/>
      <c r="B665" s="257"/>
      <c r="C665" s="257"/>
      <c r="D665" s="257"/>
      <c r="E665" s="257"/>
      <c r="F665" s="257"/>
      <c r="G665" s="257"/>
      <c r="H665" s="101"/>
      <c r="I665" s="102" t="str">
        <f t="shared" si="18"/>
        <v/>
      </c>
    </row>
    <row r="666" spans="1:9" ht="13" x14ac:dyDescent="0.15">
      <c r="A666" s="257"/>
      <c r="B666" s="257"/>
      <c r="C666" s="257"/>
      <c r="D666" s="257"/>
      <c r="E666" s="257"/>
      <c r="F666" s="257"/>
      <c r="G666" s="257"/>
      <c r="H666" s="101"/>
      <c r="I666" s="102" t="str">
        <f t="shared" si="18"/>
        <v/>
      </c>
    </row>
    <row r="667" spans="1:9" ht="13" x14ac:dyDescent="0.15">
      <c r="A667" s="257"/>
      <c r="B667" s="257"/>
      <c r="C667" s="257"/>
      <c r="D667" s="257"/>
      <c r="E667" s="257"/>
      <c r="F667" s="257"/>
      <c r="G667" s="257"/>
      <c r="H667" s="101"/>
      <c r="I667" s="102" t="str">
        <f t="shared" si="18"/>
        <v/>
      </c>
    </row>
    <row r="668" spans="1:9" ht="13" x14ac:dyDescent="0.15">
      <c r="A668" s="257"/>
      <c r="B668" s="257"/>
      <c r="C668" s="257"/>
      <c r="D668" s="257"/>
      <c r="E668" s="257"/>
      <c r="F668" s="257"/>
      <c r="G668" s="257"/>
      <c r="H668" s="101"/>
      <c r="I668" s="102" t="str">
        <f t="shared" si="18"/>
        <v/>
      </c>
    </row>
    <row r="669" spans="1:9" ht="13" x14ac:dyDescent="0.15">
      <c r="A669" s="257"/>
      <c r="B669" s="257"/>
      <c r="C669" s="257"/>
      <c r="D669" s="257"/>
      <c r="E669" s="257"/>
      <c r="F669" s="257"/>
      <c r="G669" s="257"/>
      <c r="H669" s="101"/>
      <c r="I669" s="102" t="str">
        <f t="shared" si="18"/>
        <v/>
      </c>
    </row>
    <row r="670" spans="1:9" ht="13" x14ac:dyDescent="0.15">
      <c r="A670" s="257"/>
      <c r="B670" s="257"/>
      <c r="C670" s="257"/>
      <c r="D670" s="257"/>
      <c r="E670" s="257"/>
      <c r="F670" s="257"/>
      <c r="G670" s="257"/>
      <c r="H670" s="101"/>
      <c r="I670" s="102" t="str">
        <f t="shared" si="18"/>
        <v/>
      </c>
    </row>
    <row r="671" spans="1:9" ht="13" x14ac:dyDescent="0.15">
      <c r="A671" s="257"/>
      <c r="B671" s="257"/>
      <c r="C671" s="257"/>
      <c r="D671" s="257"/>
      <c r="E671" s="257"/>
      <c r="F671" s="257"/>
      <c r="G671" s="257"/>
      <c r="H671" s="101"/>
      <c r="I671" s="102" t="str">
        <f t="shared" si="18"/>
        <v/>
      </c>
    </row>
    <row r="672" spans="1:9" ht="13" x14ac:dyDescent="0.15">
      <c r="A672" s="257"/>
      <c r="B672" s="257"/>
      <c r="C672" s="257"/>
      <c r="D672" s="257"/>
      <c r="E672" s="257"/>
      <c r="F672" s="257"/>
      <c r="G672" s="257"/>
      <c r="H672" s="101"/>
      <c r="I672" s="102" t="str">
        <f t="shared" si="18"/>
        <v/>
      </c>
    </row>
    <row r="673" spans="1:9" ht="13" x14ac:dyDescent="0.15">
      <c r="A673" s="257"/>
      <c r="B673" s="257"/>
      <c r="C673" s="257"/>
      <c r="D673" s="257"/>
      <c r="E673" s="257"/>
      <c r="F673" s="257"/>
      <c r="G673" s="257"/>
      <c r="H673" s="101"/>
      <c r="I673" s="102" t="str">
        <f t="shared" si="18"/>
        <v/>
      </c>
    </row>
    <row r="674" spans="1:9" ht="13" x14ac:dyDescent="0.15">
      <c r="A674" s="257"/>
      <c r="B674" s="257"/>
      <c r="C674" s="257"/>
      <c r="D674" s="257"/>
      <c r="E674" s="257"/>
      <c r="F674" s="257"/>
      <c r="G674" s="257"/>
      <c r="H674" s="101"/>
      <c r="I674" s="102" t="str">
        <f t="shared" si="18"/>
        <v/>
      </c>
    </row>
    <row r="675" spans="1:9" ht="13" x14ac:dyDescent="0.15">
      <c r="A675" s="257"/>
      <c r="B675" s="257"/>
      <c r="C675" s="257"/>
      <c r="D675" s="257"/>
      <c r="E675" s="257"/>
      <c r="F675" s="257"/>
      <c r="G675" s="257"/>
      <c r="H675" s="101"/>
      <c r="I675" s="102" t="str">
        <f t="shared" si="18"/>
        <v/>
      </c>
    </row>
    <row r="676" spans="1:9" ht="13" x14ac:dyDescent="0.15">
      <c r="A676" s="257"/>
      <c r="B676" s="257"/>
      <c r="C676" s="257"/>
      <c r="D676" s="257"/>
      <c r="E676" s="257"/>
      <c r="F676" s="257"/>
      <c r="G676" s="257"/>
      <c r="H676" s="101"/>
      <c r="I676" s="102" t="str">
        <f t="shared" si="18"/>
        <v/>
      </c>
    </row>
    <row r="677" spans="1:9" ht="13" x14ac:dyDescent="0.15">
      <c r="A677" s="257"/>
      <c r="B677" s="257"/>
      <c r="C677" s="257"/>
      <c r="D677" s="257"/>
      <c r="E677" s="257"/>
      <c r="F677" s="257"/>
      <c r="G677" s="257"/>
      <c r="H677" s="101"/>
      <c r="I677" s="102" t="str">
        <f t="shared" si="18"/>
        <v/>
      </c>
    </row>
    <row r="678" spans="1:9" ht="13" x14ac:dyDescent="0.15">
      <c r="A678" s="257"/>
      <c r="B678" s="257"/>
      <c r="C678" s="257"/>
      <c r="D678" s="257"/>
      <c r="E678" s="257"/>
      <c r="F678" s="257"/>
      <c r="G678" s="257"/>
      <c r="H678" s="101"/>
      <c r="I678" s="102" t="str">
        <f t="shared" si="18"/>
        <v/>
      </c>
    </row>
    <row r="679" spans="1:9" ht="13" x14ac:dyDescent="0.15">
      <c r="A679" s="257"/>
      <c r="B679" s="257"/>
      <c r="C679" s="257"/>
      <c r="D679" s="257"/>
      <c r="E679" s="257"/>
      <c r="F679" s="257"/>
      <c r="G679" s="257"/>
      <c r="H679" s="101"/>
      <c r="I679" s="102" t="str">
        <f t="shared" si="18"/>
        <v/>
      </c>
    </row>
    <row r="680" spans="1:9" ht="13" x14ac:dyDescent="0.15">
      <c r="A680" s="257"/>
      <c r="B680" s="257"/>
      <c r="C680" s="257"/>
      <c r="D680" s="257"/>
      <c r="E680" s="257"/>
      <c r="F680" s="257"/>
      <c r="G680" s="257"/>
      <c r="H680" s="101"/>
      <c r="I680" s="102" t="str">
        <f t="shared" si="18"/>
        <v/>
      </c>
    </row>
    <row r="681" spans="1:9" ht="13" x14ac:dyDescent="0.15">
      <c r="A681" s="257"/>
      <c r="B681" s="257"/>
      <c r="C681" s="257"/>
      <c r="D681" s="257"/>
      <c r="E681" s="257"/>
      <c r="F681" s="257"/>
      <c r="G681" s="257"/>
      <c r="H681" s="101"/>
      <c r="I681" s="102" t="str">
        <f t="shared" si="18"/>
        <v/>
      </c>
    </row>
    <row r="682" spans="1:9" ht="13" x14ac:dyDescent="0.15">
      <c r="A682" s="257"/>
      <c r="B682" s="257"/>
      <c r="C682" s="257"/>
      <c r="D682" s="257"/>
      <c r="E682" s="257"/>
      <c r="F682" s="257"/>
      <c r="G682" s="257"/>
      <c r="H682" s="101"/>
      <c r="I682" s="102" t="str">
        <f t="shared" si="18"/>
        <v/>
      </c>
    </row>
    <row r="683" spans="1:9" ht="13" x14ac:dyDescent="0.15">
      <c r="A683" s="257"/>
      <c r="B683" s="257"/>
      <c r="C683" s="257"/>
      <c r="D683" s="257"/>
      <c r="E683" s="257"/>
      <c r="F683" s="257"/>
      <c r="G683" s="257"/>
      <c r="H683" s="101"/>
      <c r="I683" s="102" t="str">
        <f t="shared" si="18"/>
        <v/>
      </c>
    </row>
    <row r="684" spans="1:9" ht="13" x14ac:dyDescent="0.15">
      <c r="A684" s="257"/>
      <c r="B684" s="257"/>
      <c r="C684" s="257"/>
      <c r="D684" s="257"/>
      <c r="E684" s="257"/>
      <c r="F684" s="257"/>
      <c r="G684" s="257"/>
      <c r="H684" s="101"/>
      <c r="I684" s="102" t="str">
        <f t="shared" si="18"/>
        <v/>
      </c>
    </row>
    <row r="685" spans="1:9" ht="13" x14ac:dyDescent="0.15">
      <c r="A685" s="257"/>
      <c r="B685" s="257"/>
      <c r="C685" s="257"/>
      <c r="D685" s="257"/>
      <c r="E685" s="257"/>
      <c r="F685" s="257"/>
      <c r="G685" s="257"/>
      <c r="H685" s="101"/>
      <c r="I685" s="102" t="str">
        <f t="shared" si="18"/>
        <v/>
      </c>
    </row>
    <row r="686" spans="1:9" ht="13" x14ac:dyDescent="0.15">
      <c r="A686" s="257"/>
      <c r="B686" s="257"/>
      <c r="C686" s="257"/>
      <c r="D686" s="257"/>
      <c r="E686" s="257"/>
      <c r="F686" s="257"/>
      <c r="G686" s="257"/>
      <c r="H686" s="101"/>
      <c r="I686" s="102" t="str">
        <f t="shared" si="18"/>
        <v/>
      </c>
    </row>
    <row r="687" spans="1:9" ht="13" x14ac:dyDescent="0.15">
      <c r="A687" s="257"/>
      <c r="B687" s="257"/>
      <c r="C687" s="257"/>
      <c r="D687" s="257"/>
      <c r="E687" s="257"/>
      <c r="F687" s="257"/>
      <c r="G687" s="257"/>
      <c r="H687" s="101"/>
      <c r="I687" s="102" t="str">
        <f t="shared" si="18"/>
        <v/>
      </c>
    </row>
    <row r="688" spans="1:9" ht="13" x14ac:dyDescent="0.15">
      <c r="A688" s="257"/>
      <c r="B688" s="257"/>
      <c r="C688" s="257"/>
      <c r="D688" s="257"/>
      <c r="E688" s="257"/>
      <c r="F688" s="257"/>
      <c r="G688" s="257"/>
      <c r="H688" s="101"/>
      <c r="I688" s="102" t="str">
        <f t="shared" si="18"/>
        <v/>
      </c>
    </row>
    <row r="689" spans="1:9" ht="13" x14ac:dyDescent="0.15">
      <c r="A689" s="257"/>
      <c r="B689" s="257"/>
      <c r="C689" s="257"/>
      <c r="D689" s="257"/>
      <c r="E689" s="257"/>
      <c r="F689" s="257"/>
      <c r="G689" s="257"/>
      <c r="H689" s="101"/>
      <c r="I689" s="102" t="str">
        <f t="shared" si="18"/>
        <v/>
      </c>
    </row>
    <row r="690" spans="1:9" ht="13" x14ac:dyDescent="0.15">
      <c r="A690" s="257"/>
      <c r="B690" s="257"/>
      <c r="C690" s="257"/>
      <c r="D690" s="257"/>
      <c r="E690" s="257"/>
      <c r="F690" s="257"/>
      <c r="G690" s="257"/>
      <c r="H690" s="101"/>
      <c r="I690" s="102" t="str">
        <f t="shared" si="18"/>
        <v/>
      </c>
    </row>
    <row r="691" spans="1:9" ht="13" x14ac:dyDescent="0.15">
      <c r="A691" s="257"/>
      <c r="B691" s="257"/>
      <c r="C691" s="257"/>
      <c r="D691" s="257"/>
      <c r="E691" s="257"/>
      <c r="F691" s="257"/>
      <c r="G691" s="257"/>
      <c r="H691" s="101"/>
      <c r="I691" s="102" t="str">
        <f t="shared" si="18"/>
        <v/>
      </c>
    </row>
    <row r="692" spans="1:9" ht="13" x14ac:dyDescent="0.15">
      <c r="A692" s="257"/>
      <c r="B692" s="257"/>
      <c r="C692" s="257"/>
      <c r="D692" s="257"/>
      <c r="E692" s="257"/>
      <c r="F692" s="257"/>
      <c r="G692" s="257"/>
      <c r="H692" s="101"/>
      <c r="I692" s="102" t="str">
        <f t="shared" si="18"/>
        <v/>
      </c>
    </row>
    <row r="693" spans="1:9" ht="13" x14ac:dyDescent="0.15">
      <c r="A693" s="257"/>
      <c r="B693" s="257"/>
      <c r="C693" s="257"/>
      <c r="D693" s="257"/>
      <c r="E693" s="257"/>
      <c r="F693" s="257"/>
      <c r="G693" s="257"/>
      <c r="H693" s="101"/>
      <c r="I693" s="102" t="str">
        <f t="shared" si="18"/>
        <v/>
      </c>
    </row>
    <row r="694" spans="1:9" ht="13" x14ac:dyDescent="0.15">
      <c r="A694" s="257"/>
      <c r="B694" s="257"/>
      <c r="C694" s="257"/>
      <c r="D694" s="257"/>
      <c r="E694" s="257"/>
      <c r="F694" s="257"/>
      <c r="G694" s="257"/>
      <c r="H694" s="101"/>
      <c r="I694" s="102" t="str">
        <f t="shared" si="18"/>
        <v/>
      </c>
    </row>
    <row r="695" spans="1:9" ht="13" x14ac:dyDescent="0.15">
      <c r="A695" s="257"/>
      <c r="B695" s="257"/>
      <c r="C695" s="257"/>
      <c r="D695" s="257"/>
      <c r="E695" s="257"/>
      <c r="F695" s="257"/>
      <c r="G695" s="257"/>
      <c r="H695" s="101"/>
      <c r="I695" s="102" t="str">
        <f t="shared" si="18"/>
        <v/>
      </c>
    </row>
    <row r="696" spans="1:9" ht="13" x14ac:dyDescent="0.15">
      <c r="A696" s="257"/>
      <c r="B696" s="257"/>
      <c r="C696" s="257"/>
      <c r="D696" s="257"/>
      <c r="E696" s="257"/>
      <c r="F696" s="257"/>
      <c r="G696" s="257"/>
      <c r="H696" s="101"/>
      <c r="I696" s="102" t="str">
        <f t="shared" si="18"/>
        <v/>
      </c>
    </row>
    <row r="697" spans="1:9" ht="13" x14ac:dyDescent="0.15">
      <c r="A697" s="257"/>
      <c r="B697" s="257"/>
      <c r="C697" s="257"/>
      <c r="D697" s="257"/>
      <c r="E697" s="257"/>
      <c r="F697" s="257"/>
      <c r="G697" s="257"/>
      <c r="H697" s="101"/>
      <c r="I697" s="102" t="str">
        <f t="shared" si="18"/>
        <v/>
      </c>
    </row>
    <row r="698" spans="1:9" ht="13" x14ac:dyDescent="0.15">
      <c r="A698" s="257"/>
      <c r="B698" s="257"/>
      <c r="C698" s="257"/>
      <c r="D698" s="257"/>
      <c r="E698" s="257"/>
      <c r="F698" s="257"/>
      <c r="G698" s="257"/>
      <c r="H698" s="101"/>
      <c r="I698" s="102" t="str">
        <f t="shared" si="18"/>
        <v/>
      </c>
    </row>
    <row r="699" spans="1:9" ht="13" x14ac:dyDescent="0.15">
      <c r="A699" s="257"/>
      <c r="B699" s="257"/>
      <c r="C699" s="257"/>
      <c r="D699" s="257"/>
      <c r="E699" s="257"/>
      <c r="F699" s="257"/>
      <c r="G699" s="257"/>
      <c r="H699" s="101"/>
      <c r="I699" s="102" t="str">
        <f t="shared" si="18"/>
        <v/>
      </c>
    </row>
    <row r="700" spans="1:9" ht="13" x14ac:dyDescent="0.15">
      <c r="A700" s="257"/>
      <c r="B700" s="257"/>
      <c r="C700" s="257"/>
      <c r="D700" s="257"/>
      <c r="E700" s="257"/>
      <c r="F700" s="257"/>
      <c r="G700" s="257"/>
      <c r="H700" s="101"/>
      <c r="I700" s="102" t="str">
        <f t="shared" si="18"/>
        <v/>
      </c>
    </row>
    <row r="701" spans="1:9" ht="13" x14ac:dyDescent="0.15">
      <c r="A701" s="257"/>
      <c r="B701" s="257"/>
      <c r="C701" s="257"/>
      <c r="D701" s="257"/>
      <c r="E701" s="257"/>
      <c r="F701" s="257"/>
      <c r="G701" s="257"/>
      <c r="H701" s="101"/>
      <c r="I701" s="102" t="str">
        <f t="shared" si="18"/>
        <v/>
      </c>
    </row>
    <row r="702" spans="1:9" ht="13" x14ac:dyDescent="0.15">
      <c r="A702" s="257"/>
      <c r="B702" s="257"/>
      <c r="C702" s="257"/>
      <c r="D702" s="257"/>
      <c r="E702" s="257"/>
      <c r="F702" s="257"/>
      <c r="G702" s="257"/>
      <c r="H702" s="101"/>
      <c r="I702" s="102" t="str">
        <f t="shared" si="18"/>
        <v/>
      </c>
    </row>
    <row r="703" spans="1:9" ht="13" x14ac:dyDescent="0.15">
      <c r="A703" s="257"/>
      <c r="B703" s="257"/>
      <c r="C703" s="257"/>
      <c r="D703" s="257"/>
      <c r="E703" s="257"/>
      <c r="F703" s="257"/>
      <c r="G703" s="257"/>
      <c r="H703" s="101"/>
      <c r="I703" s="102" t="str">
        <f t="shared" si="18"/>
        <v/>
      </c>
    </row>
    <row r="704" spans="1:9" ht="13" x14ac:dyDescent="0.15">
      <c r="A704" s="257"/>
      <c r="B704" s="257"/>
      <c r="C704" s="257"/>
      <c r="D704" s="257"/>
      <c r="E704" s="257"/>
      <c r="F704" s="257"/>
      <c r="G704" s="257"/>
      <c r="H704" s="101"/>
      <c r="I704" s="102" t="str">
        <f t="shared" si="18"/>
        <v/>
      </c>
    </row>
    <row r="705" spans="1:9" ht="13" x14ac:dyDescent="0.15">
      <c r="A705" s="257"/>
      <c r="B705" s="257"/>
      <c r="C705" s="257"/>
      <c r="D705" s="257"/>
      <c r="E705" s="257"/>
      <c r="F705" s="257"/>
      <c r="G705" s="257"/>
      <c r="H705" s="101"/>
      <c r="I705" s="102" t="str">
        <f t="shared" si="18"/>
        <v/>
      </c>
    </row>
    <row r="706" spans="1:9" ht="13" x14ac:dyDescent="0.15">
      <c r="A706" s="257"/>
      <c r="B706" s="257"/>
      <c r="C706" s="257"/>
      <c r="D706" s="257"/>
      <c r="E706" s="257"/>
      <c r="F706" s="257"/>
      <c r="G706" s="257"/>
      <c r="H706" s="101"/>
      <c r="I706" s="102" t="str">
        <f t="shared" ref="I706:I769" si="19">IF(ISNUMBER(H706),IF(ABS(H706-$L$14)&gt;$M$16,"OUT",""),"")</f>
        <v/>
      </c>
    </row>
    <row r="707" spans="1:9" ht="13" x14ac:dyDescent="0.15">
      <c r="A707" s="257"/>
      <c r="B707" s="257"/>
      <c r="C707" s="257"/>
      <c r="D707" s="257"/>
      <c r="E707" s="257"/>
      <c r="F707" s="257"/>
      <c r="G707" s="257"/>
      <c r="H707" s="101"/>
      <c r="I707" s="102" t="str">
        <f t="shared" si="19"/>
        <v/>
      </c>
    </row>
    <row r="708" spans="1:9" ht="13" x14ac:dyDescent="0.15">
      <c r="A708" s="257"/>
      <c r="B708" s="257"/>
      <c r="C708" s="257"/>
      <c r="D708" s="257"/>
      <c r="E708" s="257"/>
      <c r="F708" s="257"/>
      <c r="G708" s="257"/>
      <c r="H708" s="101"/>
      <c r="I708" s="102" t="str">
        <f t="shared" si="19"/>
        <v/>
      </c>
    </row>
    <row r="709" spans="1:9" ht="13" x14ac:dyDescent="0.15">
      <c r="A709" s="257"/>
      <c r="B709" s="257"/>
      <c r="C709" s="257"/>
      <c r="D709" s="257"/>
      <c r="E709" s="257"/>
      <c r="F709" s="257"/>
      <c r="G709" s="257"/>
      <c r="H709" s="101"/>
      <c r="I709" s="102" t="str">
        <f t="shared" si="19"/>
        <v/>
      </c>
    </row>
    <row r="710" spans="1:9" ht="13" x14ac:dyDescent="0.15">
      <c r="A710" s="257"/>
      <c r="B710" s="257"/>
      <c r="C710" s="257"/>
      <c r="D710" s="257"/>
      <c r="E710" s="257"/>
      <c r="F710" s="257"/>
      <c r="G710" s="257"/>
      <c r="H710" s="101"/>
      <c r="I710" s="102" t="str">
        <f t="shared" si="19"/>
        <v/>
      </c>
    </row>
    <row r="711" spans="1:9" ht="13" x14ac:dyDescent="0.15">
      <c r="A711" s="257"/>
      <c r="B711" s="257"/>
      <c r="C711" s="257"/>
      <c r="D711" s="257"/>
      <c r="E711" s="257"/>
      <c r="F711" s="257"/>
      <c r="G711" s="257"/>
      <c r="H711" s="101"/>
      <c r="I711" s="102" t="str">
        <f t="shared" si="19"/>
        <v/>
      </c>
    </row>
    <row r="712" spans="1:9" ht="13" x14ac:dyDescent="0.15">
      <c r="A712" s="257"/>
      <c r="B712" s="257"/>
      <c r="C712" s="257"/>
      <c r="D712" s="257"/>
      <c r="E712" s="257"/>
      <c r="F712" s="257"/>
      <c r="G712" s="257"/>
      <c r="H712" s="101"/>
      <c r="I712" s="102" t="str">
        <f t="shared" si="19"/>
        <v/>
      </c>
    </row>
    <row r="713" spans="1:9" ht="13" x14ac:dyDescent="0.15">
      <c r="A713" s="257"/>
      <c r="B713" s="257"/>
      <c r="C713" s="257"/>
      <c r="D713" s="257"/>
      <c r="E713" s="257"/>
      <c r="F713" s="257"/>
      <c r="G713" s="257"/>
      <c r="H713" s="101"/>
      <c r="I713" s="102" t="str">
        <f t="shared" si="19"/>
        <v/>
      </c>
    </row>
    <row r="714" spans="1:9" ht="13" x14ac:dyDescent="0.15">
      <c r="A714" s="257"/>
      <c r="B714" s="257"/>
      <c r="C714" s="257"/>
      <c r="D714" s="257"/>
      <c r="E714" s="257"/>
      <c r="F714" s="257"/>
      <c r="G714" s="257"/>
      <c r="H714" s="101"/>
      <c r="I714" s="102" t="str">
        <f t="shared" si="19"/>
        <v/>
      </c>
    </row>
    <row r="715" spans="1:9" ht="13" x14ac:dyDescent="0.15">
      <c r="A715" s="257"/>
      <c r="B715" s="257"/>
      <c r="C715" s="257"/>
      <c r="D715" s="257"/>
      <c r="E715" s="257"/>
      <c r="F715" s="257"/>
      <c r="G715" s="257"/>
      <c r="H715" s="101"/>
      <c r="I715" s="102" t="str">
        <f t="shared" si="19"/>
        <v/>
      </c>
    </row>
    <row r="716" spans="1:9" ht="13" x14ac:dyDescent="0.15">
      <c r="A716" s="257"/>
      <c r="B716" s="257"/>
      <c r="C716" s="257"/>
      <c r="D716" s="257"/>
      <c r="E716" s="257"/>
      <c r="F716" s="257"/>
      <c r="G716" s="257"/>
      <c r="H716" s="101"/>
      <c r="I716" s="102" t="str">
        <f t="shared" si="19"/>
        <v/>
      </c>
    </row>
    <row r="717" spans="1:9" ht="13" x14ac:dyDescent="0.15">
      <c r="A717" s="257"/>
      <c r="B717" s="257"/>
      <c r="C717" s="257"/>
      <c r="D717" s="257"/>
      <c r="E717" s="257"/>
      <c r="F717" s="257"/>
      <c r="G717" s="257"/>
      <c r="H717" s="101"/>
      <c r="I717" s="102" t="str">
        <f t="shared" si="19"/>
        <v/>
      </c>
    </row>
    <row r="718" spans="1:9" ht="13" x14ac:dyDescent="0.15">
      <c r="A718" s="257"/>
      <c r="B718" s="257"/>
      <c r="C718" s="257"/>
      <c r="D718" s="257"/>
      <c r="E718" s="257"/>
      <c r="F718" s="257"/>
      <c r="G718" s="257"/>
      <c r="H718" s="101"/>
      <c r="I718" s="102" t="str">
        <f t="shared" si="19"/>
        <v/>
      </c>
    </row>
    <row r="719" spans="1:9" ht="13" x14ac:dyDescent="0.15">
      <c r="A719" s="257"/>
      <c r="B719" s="257"/>
      <c r="C719" s="257"/>
      <c r="D719" s="257"/>
      <c r="E719" s="257"/>
      <c r="F719" s="257"/>
      <c r="G719" s="257"/>
      <c r="H719" s="101"/>
      <c r="I719" s="102" t="str">
        <f t="shared" si="19"/>
        <v/>
      </c>
    </row>
    <row r="720" spans="1:9" ht="13" x14ac:dyDescent="0.15">
      <c r="A720" s="257"/>
      <c r="B720" s="257"/>
      <c r="C720" s="257"/>
      <c r="D720" s="257"/>
      <c r="E720" s="257"/>
      <c r="F720" s="257"/>
      <c r="G720" s="257"/>
      <c r="H720" s="101"/>
      <c r="I720" s="102" t="str">
        <f t="shared" si="19"/>
        <v/>
      </c>
    </row>
    <row r="721" spans="1:9" ht="13" x14ac:dyDescent="0.15">
      <c r="A721" s="257"/>
      <c r="B721" s="257"/>
      <c r="C721" s="257"/>
      <c r="D721" s="257"/>
      <c r="E721" s="257"/>
      <c r="F721" s="257"/>
      <c r="G721" s="257"/>
      <c r="H721" s="101"/>
      <c r="I721" s="102" t="str">
        <f t="shared" si="19"/>
        <v/>
      </c>
    </row>
    <row r="722" spans="1:9" ht="13" x14ac:dyDescent="0.15">
      <c r="A722" s="257"/>
      <c r="B722" s="257"/>
      <c r="C722" s="257"/>
      <c r="D722" s="257"/>
      <c r="E722" s="257"/>
      <c r="F722" s="257"/>
      <c r="G722" s="257"/>
      <c r="H722" s="101"/>
      <c r="I722" s="102" t="str">
        <f t="shared" si="19"/>
        <v/>
      </c>
    </row>
    <row r="723" spans="1:9" ht="13" x14ac:dyDescent="0.15">
      <c r="A723" s="257"/>
      <c r="B723" s="257"/>
      <c r="C723" s="257"/>
      <c r="D723" s="257"/>
      <c r="E723" s="257"/>
      <c r="F723" s="257"/>
      <c r="G723" s="257"/>
      <c r="H723" s="101"/>
      <c r="I723" s="102" t="str">
        <f t="shared" si="19"/>
        <v/>
      </c>
    </row>
    <row r="724" spans="1:9" ht="13" x14ac:dyDescent="0.15">
      <c r="A724" s="257"/>
      <c r="B724" s="257"/>
      <c r="C724" s="257"/>
      <c r="D724" s="257"/>
      <c r="E724" s="257"/>
      <c r="F724" s="257"/>
      <c r="G724" s="257"/>
      <c r="H724" s="101"/>
      <c r="I724" s="102" t="str">
        <f t="shared" si="19"/>
        <v/>
      </c>
    </row>
    <row r="725" spans="1:9" ht="13" x14ac:dyDescent="0.15">
      <c r="A725" s="257"/>
      <c r="B725" s="257"/>
      <c r="C725" s="257"/>
      <c r="D725" s="257"/>
      <c r="E725" s="257"/>
      <c r="F725" s="257"/>
      <c r="G725" s="257"/>
      <c r="H725" s="101"/>
      <c r="I725" s="102" t="str">
        <f t="shared" si="19"/>
        <v/>
      </c>
    </row>
    <row r="726" spans="1:9" ht="13" x14ac:dyDescent="0.15">
      <c r="A726" s="257"/>
      <c r="B726" s="257"/>
      <c r="C726" s="257"/>
      <c r="D726" s="257"/>
      <c r="E726" s="257"/>
      <c r="F726" s="257"/>
      <c r="G726" s="257"/>
      <c r="H726" s="101"/>
      <c r="I726" s="102" t="str">
        <f t="shared" si="19"/>
        <v/>
      </c>
    </row>
    <row r="727" spans="1:9" ht="13" x14ac:dyDescent="0.15">
      <c r="A727" s="257"/>
      <c r="B727" s="257"/>
      <c r="C727" s="257"/>
      <c r="D727" s="257"/>
      <c r="E727" s="257"/>
      <c r="F727" s="257"/>
      <c r="G727" s="257"/>
      <c r="H727" s="101"/>
      <c r="I727" s="102" t="str">
        <f t="shared" si="19"/>
        <v/>
      </c>
    </row>
    <row r="728" spans="1:9" ht="13" x14ac:dyDescent="0.15">
      <c r="A728" s="257"/>
      <c r="B728" s="257"/>
      <c r="C728" s="257"/>
      <c r="D728" s="257"/>
      <c r="E728" s="257"/>
      <c r="F728" s="257"/>
      <c r="G728" s="257"/>
      <c r="H728" s="101"/>
      <c r="I728" s="102" t="str">
        <f t="shared" si="19"/>
        <v/>
      </c>
    </row>
    <row r="729" spans="1:9" ht="13" x14ac:dyDescent="0.15">
      <c r="A729" s="257"/>
      <c r="B729" s="257"/>
      <c r="C729" s="257"/>
      <c r="D729" s="257"/>
      <c r="E729" s="257"/>
      <c r="F729" s="257"/>
      <c r="G729" s="257"/>
      <c r="H729" s="101"/>
      <c r="I729" s="102" t="str">
        <f t="shared" si="19"/>
        <v/>
      </c>
    </row>
    <row r="730" spans="1:9" ht="13" x14ac:dyDescent="0.15">
      <c r="A730" s="257"/>
      <c r="B730" s="257"/>
      <c r="C730" s="257"/>
      <c r="D730" s="257"/>
      <c r="E730" s="257"/>
      <c r="F730" s="257"/>
      <c r="G730" s="257"/>
      <c r="H730" s="101"/>
      <c r="I730" s="102" t="str">
        <f t="shared" si="19"/>
        <v/>
      </c>
    </row>
    <row r="731" spans="1:9" ht="13" x14ac:dyDescent="0.15">
      <c r="A731" s="257"/>
      <c r="B731" s="257"/>
      <c r="C731" s="257"/>
      <c r="D731" s="257"/>
      <c r="E731" s="257"/>
      <c r="F731" s="257"/>
      <c r="G731" s="257"/>
      <c r="H731" s="101"/>
      <c r="I731" s="102" t="str">
        <f t="shared" si="19"/>
        <v/>
      </c>
    </row>
    <row r="732" spans="1:9" ht="13" x14ac:dyDescent="0.15">
      <c r="A732" s="257"/>
      <c r="B732" s="257"/>
      <c r="C732" s="257"/>
      <c r="D732" s="257"/>
      <c r="E732" s="257"/>
      <c r="F732" s="257"/>
      <c r="G732" s="257"/>
      <c r="H732" s="101"/>
      <c r="I732" s="102" t="str">
        <f t="shared" si="19"/>
        <v/>
      </c>
    </row>
    <row r="733" spans="1:9" ht="13" x14ac:dyDescent="0.15">
      <c r="A733" s="257"/>
      <c r="B733" s="257"/>
      <c r="C733" s="257"/>
      <c r="D733" s="257"/>
      <c r="E733" s="257"/>
      <c r="F733" s="257"/>
      <c r="G733" s="257"/>
      <c r="H733" s="101"/>
      <c r="I733" s="102" t="str">
        <f t="shared" si="19"/>
        <v/>
      </c>
    </row>
    <row r="734" spans="1:9" ht="13" x14ac:dyDescent="0.15">
      <c r="A734" s="257"/>
      <c r="B734" s="257"/>
      <c r="C734" s="257"/>
      <c r="D734" s="257"/>
      <c r="E734" s="257"/>
      <c r="F734" s="257"/>
      <c r="G734" s="257"/>
      <c r="H734" s="101"/>
      <c r="I734" s="102" t="str">
        <f t="shared" si="19"/>
        <v/>
      </c>
    </row>
    <row r="735" spans="1:9" ht="13" x14ac:dyDescent="0.15">
      <c r="A735" s="257"/>
      <c r="B735" s="257"/>
      <c r="C735" s="257"/>
      <c r="D735" s="257"/>
      <c r="E735" s="257"/>
      <c r="F735" s="257"/>
      <c r="G735" s="257"/>
      <c r="H735" s="101"/>
      <c r="I735" s="102" t="str">
        <f t="shared" si="19"/>
        <v/>
      </c>
    </row>
    <row r="736" spans="1:9" ht="13" x14ac:dyDescent="0.15">
      <c r="A736" s="257"/>
      <c r="B736" s="257"/>
      <c r="C736" s="257"/>
      <c r="D736" s="257"/>
      <c r="E736" s="257"/>
      <c r="F736" s="257"/>
      <c r="G736" s="257"/>
      <c r="H736" s="101"/>
      <c r="I736" s="102" t="str">
        <f t="shared" si="19"/>
        <v/>
      </c>
    </row>
    <row r="737" spans="1:9" ht="13" x14ac:dyDescent="0.15">
      <c r="A737" s="257"/>
      <c r="B737" s="257"/>
      <c r="C737" s="257"/>
      <c r="D737" s="257"/>
      <c r="E737" s="257"/>
      <c r="F737" s="257"/>
      <c r="G737" s="257"/>
      <c r="H737" s="101"/>
      <c r="I737" s="102" t="str">
        <f t="shared" si="19"/>
        <v/>
      </c>
    </row>
    <row r="738" spans="1:9" ht="13" x14ac:dyDescent="0.15">
      <c r="A738" s="257"/>
      <c r="B738" s="257"/>
      <c r="C738" s="257"/>
      <c r="D738" s="257"/>
      <c r="E738" s="257"/>
      <c r="F738" s="257"/>
      <c r="G738" s="257"/>
      <c r="H738" s="101"/>
      <c r="I738" s="102" t="str">
        <f t="shared" si="19"/>
        <v/>
      </c>
    </row>
    <row r="739" spans="1:9" ht="13" x14ac:dyDescent="0.15">
      <c r="A739" s="257"/>
      <c r="B739" s="257"/>
      <c r="C739" s="257"/>
      <c r="D739" s="257"/>
      <c r="E739" s="257"/>
      <c r="F739" s="257"/>
      <c r="G739" s="257"/>
      <c r="H739" s="101"/>
      <c r="I739" s="102" t="str">
        <f t="shared" si="19"/>
        <v/>
      </c>
    </row>
    <row r="740" spans="1:9" ht="13" x14ac:dyDescent="0.15">
      <c r="A740" s="257"/>
      <c r="B740" s="257"/>
      <c r="C740" s="257"/>
      <c r="D740" s="257"/>
      <c r="E740" s="257"/>
      <c r="F740" s="257"/>
      <c r="G740" s="257"/>
      <c r="H740" s="101"/>
      <c r="I740" s="102" t="str">
        <f t="shared" si="19"/>
        <v/>
      </c>
    </row>
    <row r="741" spans="1:9" ht="13" x14ac:dyDescent="0.15">
      <c r="A741" s="257"/>
      <c r="B741" s="257"/>
      <c r="C741" s="257"/>
      <c r="D741" s="257"/>
      <c r="E741" s="257"/>
      <c r="F741" s="257"/>
      <c r="G741" s="257"/>
      <c r="H741" s="101"/>
      <c r="I741" s="102" t="str">
        <f t="shared" si="19"/>
        <v/>
      </c>
    </row>
    <row r="742" spans="1:9" ht="13" x14ac:dyDescent="0.15">
      <c r="A742" s="257"/>
      <c r="B742" s="257"/>
      <c r="C742" s="257"/>
      <c r="D742" s="257"/>
      <c r="E742" s="257"/>
      <c r="F742" s="257"/>
      <c r="G742" s="257"/>
      <c r="H742" s="101"/>
      <c r="I742" s="102" t="str">
        <f t="shared" si="19"/>
        <v/>
      </c>
    </row>
    <row r="743" spans="1:9" ht="13" x14ac:dyDescent="0.15">
      <c r="A743" s="257"/>
      <c r="B743" s="257"/>
      <c r="C743" s="257"/>
      <c r="D743" s="257"/>
      <c r="E743" s="257"/>
      <c r="F743" s="257"/>
      <c r="G743" s="257"/>
      <c r="H743" s="101"/>
      <c r="I743" s="102" t="str">
        <f t="shared" si="19"/>
        <v/>
      </c>
    </row>
    <row r="744" spans="1:9" ht="13" x14ac:dyDescent="0.15">
      <c r="A744" s="257"/>
      <c r="B744" s="257"/>
      <c r="C744" s="257"/>
      <c r="D744" s="257"/>
      <c r="E744" s="257"/>
      <c r="F744" s="257"/>
      <c r="G744" s="257"/>
      <c r="H744" s="101"/>
      <c r="I744" s="102" t="str">
        <f t="shared" si="19"/>
        <v/>
      </c>
    </row>
    <row r="745" spans="1:9" ht="13" x14ac:dyDescent="0.15">
      <c r="A745" s="257"/>
      <c r="B745" s="257"/>
      <c r="C745" s="257"/>
      <c r="D745" s="257"/>
      <c r="E745" s="257"/>
      <c r="F745" s="257"/>
      <c r="G745" s="257"/>
      <c r="H745" s="101"/>
      <c r="I745" s="102" t="str">
        <f t="shared" si="19"/>
        <v/>
      </c>
    </row>
    <row r="746" spans="1:9" ht="13" x14ac:dyDescent="0.15">
      <c r="A746" s="257"/>
      <c r="B746" s="257"/>
      <c r="C746" s="257"/>
      <c r="D746" s="257"/>
      <c r="E746" s="257"/>
      <c r="F746" s="257"/>
      <c r="G746" s="257"/>
      <c r="H746" s="101"/>
      <c r="I746" s="102" t="str">
        <f t="shared" si="19"/>
        <v/>
      </c>
    </row>
    <row r="747" spans="1:9" ht="13" x14ac:dyDescent="0.15">
      <c r="A747" s="257"/>
      <c r="B747" s="257"/>
      <c r="C747" s="257"/>
      <c r="D747" s="257"/>
      <c r="E747" s="257"/>
      <c r="F747" s="257"/>
      <c r="G747" s="257"/>
      <c r="H747" s="101"/>
      <c r="I747" s="102" t="str">
        <f t="shared" si="19"/>
        <v/>
      </c>
    </row>
    <row r="748" spans="1:9" ht="13" x14ac:dyDescent="0.15">
      <c r="A748" s="257"/>
      <c r="B748" s="257"/>
      <c r="C748" s="257"/>
      <c r="D748" s="257"/>
      <c r="E748" s="257"/>
      <c r="F748" s="257"/>
      <c r="G748" s="257"/>
      <c r="H748" s="101"/>
      <c r="I748" s="102" t="str">
        <f t="shared" si="19"/>
        <v/>
      </c>
    </row>
    <row r="749" spans="1:9" ht="13" x14ac:dyDescent="0.15">
      <c r="A749" s="257"/>
      <c r="B749" s="257"/>
      <c r="C749" s="257"/>
      <c r="D749" s="257"/>
      <c r="E749" s="257"/>
      <c r="F749" s="257"/>
      <c r="G749" s="257"/>
      <c r="H749" s="101"/>
      <c r="I749" s="102" t="str">
        <f t="shared" si="19"/>
        <v/>
      </c>
    </row>
    <row r="750" spans="1:9" ht="13" x14ac:dyDescent="0.15">
      <c r="A750" s="257"/>
      <c r="B750" s="257"/>
      <c r="C750" s="257"/>
      <c r="D750" s="257"/>
      <c r="E750" s="257"/>
      <c r="F750" s="257"/>
      <c r="G750" s="257"/>
      <c r="H750" s="101"/>
      <c r="I750" s="102" t="str">
        <f t="shared" si="19"/>
        <v/>
      </c>
    </row>
    <row r="751" spans="1:9" ht="13" x14ac:dyDescent="0.15">
      <c r="A751" s="257"/>
      <c r="B751" s="257"/>
      <c r="C751" s="257"/>
      <c r="D751" s="257"/>
      <c r="E751" s="257"/>
      <c r="F751" s="257"/>
      <c r="G751" s="257"/>
      <c r="H751" s="101"/>
      <c r="I751" s="102" t="str">
        <f t="shared" si="19"/>
        <v/>
      </c>
    </row>
    <row r="752" spans="1:9" ht="13" x14ac:dyDescent="0.15">
      <c r="A752" s="257"/>
      <c r="B752" s="257"/>
      <c r="C752" s="257"/>
      <c r="D752" s="257"/>
      <c r="E752" s="257"/>
      <c r="F752" s="257"/>
      <c r="G752" s="257"/>
      <c r="H752" s="101"/>
      <c r="I752" s="102" t="str">
        <f t="shared" si="19"/>
        <v/>
      </c>
    </row>
    <row r="753" spans="1:9" ht="13" x14ac:dyDescent="0.15">
      <c r="A753" s="257"/>
      <c r="B753" s="257"/>
      <c r="C753" s="257"/>
      <c r="D753" s="257"/>
      <c r="E753" s="257"/>
      <c r="F753" s="257"/>
      <c r="G753" s="257"/>
      <c r="H753" s="101"/>
      <c r="I753" s="102" t="str">
        <f t="shared" si="19"/>
        <v/>
      </c>
    </row>
    <row r="754" spans="1:9" ht="13" x14ac:dyDescent="0.15">
      <c r="A754" s="257"/>
      <c r="B754" s="257"/>
      <c r="C754" s="257"/>
      <c r="D754" s="257"/>
      <c r="E754" s="257"/>
      <c r="F754" s="257"/>
      <c r="G754" s="257"/>
      <c r="H754" s="101"/>
      <c r="I754" s="102" t="str">
        <f t="shared" si="19"/>
        <v/>
      </c>
    </row>
    <row r="755" spans="1:9" ht="13" x14ac:dyDescent="0.15">
      <c r="A755" s="257"/>
      <c r="B755" s="257"/>
      <c r="C755" s="257"/>
      <c r="D755" s="257"/>
      <c r="E755" s="257"/>
      <c r="F755" s="257"/>
      <c r="G755" s="257"/>
      <c r="H755" s="101"/>
      <c r="I755" s="102" t="str">
        <f t="shared" si="19"/>
        <v/>
      </c>
    </row>
    <row r="756" spans="1:9" ht="13" x14ac:dyDescent="0.15">
      <c r="A756" s="257"/>
      <c r="B756" s="257"/>
      <c r="C756" s="257"/>
      <c r="D756" s="257"/>
      <c r="E756" s="257"/>
      <c r="F756" s="257"/>
      <c r="G756" s="257"/>
      <c r="H756" s="101"/>
      <c r="I756" s="102" t="str">
        <f t="shared" si="19"/>
        <v/>
      </c>
    </row>
    <row r="757" spans="1:9" ht="13" x14ac:dyDescent="0.15">
      <c r="A757" s="257"/>
      <c r="B757" s="257"/>
      <c r="C757" s="257"/>
      <c r="D757" s="257"/>
      <c r="E757" s="257"/>
      <c r="F757" s="257"/>
      <c r="G757" s="257"/>
      <c r="H757" s="101"/>
      <c r="I757" s="102" t="str">
        <f t="shared" si="19"/>
        <v/>
      </c>
    </row>
    <row r="758" spans="1:9" ht="13" x14ac:dyDescent="0.15">
      <c r="A758" s="257"/>
      <c r="B758" s="257"/>
      <c r="C758" s="257"/>
      <c r="D758" s="257"/>
      <c r="E758" s="257"/>
      <c r="F758" s="257"/>
      <c r="G758" s="257"/>
      <c r="H758" s="101"/>
      <c r="I758" s="102" t="str">
        <f t="shared" si="19"/>
        <v/>
      </c>
    </row>
    <row r="759" spans="1:9" ht="13" x14ac:dyDescent="0.15">
      <c r="A759" s="257"/>
      <c r="B759" s="257"/>
      <c r="C759" s="257"/>
      <c r="D759" s="257"/>
      <c r="E759" s="257"/>
      <c r="F759" s="257"/>
      <c r="G759" s="257"/>
      <c r="H759" s="101"/>
      <c r="I759" s="102" t="str">
        <f t="shared" si="19"/>
        <v/>
      </c>
    </row>
    <row r="760" spans="1:9" ht="13" x14ac:dyDescent="0.15">
      <c r="A760" s="257"/>
      <c r="B760" s="257"/>
      <c r="C760" s="257"/>
      <c r="D760" s="257"/>
      <c r="E760" s="257"/>
      <c r="F760" s="257"/>
      <c r="G760" s="257"/>
      <c r="H760" s="101"/>
      <c r="I760" s="102" t="str">
        <f t="shared" si="19"/>
        <v/>
      </c>
    </row>
    <row r="761" spans="1:9" ht="13" x14ac:dyDescent="0.15">
      <c r="A761" s="257"/>
      <c r="B761" s="257"/>
      <c r="C761" s="257"/>
      <c r="D761" s="257"/>
      <c r="E761" s="257"/>
      <c r="F761" s="257"/>
      <c r="G761" s="257"/>
      <c r="H761" s="101"/>
      <c r="I761" s="102" t="str">
        <f t="shared" si="19"/>
        <v/>
      </c>
    </row>
    <row r="762" spans="1:9" ht="13" x14ac:dyDescent="0.15">
      <c r="A762" s="257"/>
      <c r="B762" s="257"/>
      <c r="C762" s="257"/>
      <c r="D762" s="257"/>
      <c r="E762" s="257"/>
      <c r="F762" s="257"/>
      <c r="G762" s="257"/>
      <c r="H762" s="101"/>
      <c r="I762" s="102" t="str">
        <f t="shared" si="19"/>
        <v/>
      </c>
    </row>
    <row r="763" spans="1:9" ht="13" x14ac:dyDescent="0.15">
      <c r="A763" s="257"/>
      <c r="B763" s="257"/>
      <c r="C763" s="257"/>
      <c r="D763" s="257"/>
      <c r="E763" s="257"/>
      <c r="F763" s="257"/>
      <c r="G763" s="257"/>
      <c r="H763" s="101"/>
      <c r="I763" s="102" t="str">
        <f t="shared" si="19"/>
        <v/>
      </c>
    </row>
    <row r="764" spans="1:9" ht="13" x14ac:dyDescent="0.15">
      <c r="A764" s="257"/>
      <c r="B764" s="257"/>
      <c r="C764" s="257"/>
      <c r="D764" s="257"/>
      <c r="E764" s="257"/>
      <c r="F764" s="257"/>
      <c r="G764" s="257"/>
      <c r="H764" s="101"/>
      <c r="I764" s="102" t="str">
        <f t="shared" si="19"/>
        <v/>
      </c>
    </row>
    <row r="765" spans="1:9" ht="13" x14ac:dyDescent="0.15">
      <c r="A765" s="257"/>
      <c r="B765" s="257"/>
      <c r="C765" s="257"/>
      <c r="D765" s="257"/>
      <c r="E765" s="257"/>
      <c r="F765" s="257"/>
      <c r="G765" s="257"/>
      <c r="H765" s="101"/>
      <c r="I765" s="102" t="str">
        <f t="shared" si="19"/>
        <v/>
      </c>
    </row>
    <row r="766" spans="1:9" ht="13" x14ac:dyDescent="0.15">
      <c r="A766" s="257"/>
      <c r="B766" s="257"/>
      <c r="C766" s="257"/>
      <c r="D766" s="257"/>
      <c r="E766" s="257"/>
      <c r="F766" s="257"/>
      <c r="G766" s="257"/>
      <c r="H766" s="101"/>
      <c r="I766" s="102" t="str">
        <f t="shared" si="19"/>
        <v/>
      </c>
    </row>
    <row r="767" spans="1:9" ht="13" x14ac:dyDescent="0.15">
      <c r="A767" s="257"/>
      <c r="B767" s="257"/>
      <c r="C767" s="257"/>
      <c r="D767" s="257"/>
      <c r="E767" s="257"/>
      <c r="F767" s="257"/>
      <c r="G767" s="257"/>
      <c r="H767" s="101"/>
      <c r="I767" s="102" t="str">
        <f t="shared" si="19"/>
        <v/>
      </c>
    </row>
    <row r="768" spans="1:9" ht="13" x14ac:dyDescent="0.15">
      <c r="A768" s="257"/>
      <c r="B768" s="257"/>
      <c r="C768" s="257"/>
      <c r="D768" s="257"/>
      <c r="E768" s="257"/>
      <c r="F768" s="257"/>
      <c r="G768" s="257"/>
      <c r="H768" s="101"/>
      <c r="I768" s="102" t="str">
        <f t="shared" si="19"/>
        <v/>
      </c>
    </row>
    <row r="769" spans="1:9" ht="13" x14ac:dyDescent="0.15">
      <c r="A769" s="257"/>
      <c r="B769" s="257"/>
      <c r="C769" s="257"/>
      <c r="D769" s="257"/>
      <c r="E769" s="257"/>
      <c r="F769" s="257"/>
      <c r="G769" s="257"/>
      <c r="H769" s="101"/>
      <c r="I769" s="102" t="str">
        <f t="shared" si="19"/>
        <v/>
      </c>
    </row>
    <row r="770" spans="1:9" ht="13" x14ac:dyDescent="0.15">
      <c r="A770" s="257"/>
      <c r="B770" s="257"/>
      <c r="C770" s="257"/>
      <c r="D770" s="257"/>
      <c r="E770" s="257"/>
      <c r="F770" s="257"/>
      <c r="G770" s="257"/>
      <c r="H770" s="101"/>
      <c r="I770" s="102" t="str">
        <f t="shared" ref="I770:I833" si="20">IF(ISNUMBER(H770),IF(ABS(H770-$L$14)&gt;$M$16,"OUT",""),"")</f>
        <v/>
      </c>
    </row>
    <row r="771" spans="1:9" ht="13" x14ac:dyDescent="0.15">
      <c r="A771" s="257"/>
      <c r="B771" s="257"/>
      <c r="C771" s="257"/>
      <c r="D771" s="257"/>
      <c r="E771" s="257"/>
      <c r="F771" s="257"/>
      <c r="G771" s="257"/>
      <c r="H771" s="101"/>
      <c r="I771" s="102" t="str">
        <f t="shared" si="20"/>
        <v/>
      </c>
    </row>
    <row r="772" spans="1:9" ht="13" x14ac:dyDescent="0.15">
      <c r="A772" s="257"/>
      <c r="B772" s="257"/>
      <c r="C772" s="257"/>
      <c r="D772" s="257"/>
      <c r="E772" s="257"/>
      <c r="F772" s="257"/>
      <c r="G772" s="257"/>
      <c r="H772" s="101"/>
      <c r="I772" s="102" t="str">
        <f t="shared" si="20"/>
        <v/>
      </c>
    </row>
    <row r="773" spans="1:9" ht="13" x14ac:dyDescent="0.15">
      <c r="A773" s="257"/>
      <c r="B773" s="257"/>
      <c r="C773" s="257"/>
      <c r="D773" s="257"/>
      <c r="E773" s="257"/>
      <c r="F773" s="257"/>
      <c r="G773" s="257"/>
      <c r="H773" s="101"/>
      <c r="I773" s="102" t="str">
        <f t="shared" si="20"/>
        <v/>
      </c>
    </row>
    <row r="774" spans="1:9" ht="13" x14ac:dyDescent="0.15">
      <c r="A774" s="257"/>
      <c r="B774" s="257"/>
      <c r="C774" s="257"/>
      <c r="D774" s="257"/>
      <c r="E774" s="257"/>
      <c r="F774" s="257"/>
      <c r="G774" s="257"/>
      <c r="H774" s="101"/>
      <c r="I774" s="102" t="str">
        <f t="shared" si="20"/>
        <v/>
      </c>
    </row>
    <row r="775" spans="1:9" ht="13" x14ac:dyDescent="0.15">
      <c r="A775" s="257"/>
      <c r="B775" s="257"/>
      <c r="C775" s="257"/>
      <c r="D775" s="257"/>
      <c r="E775" s="257"/>
      <c r="F775" s="257"/>
      <c r="G775" s="257"/>
      <c r="H775" s="101"/>
      <c r="I775" s="102" t="str">
        <f t="shared" si="20"/>
        <v/>
      </c>
    </row>
    <row r="776" spans="1:9" ht="13" x14ac:dyDescent="0.15">
      <c r="A776" s="257"/>
      <c r="B776" s="257"/>
      <c r="C776" s="257"/>
      <c r="D776" s="257"/>
      <c r="E776" s="257"/>
      <c r="F776" s="257"/>
      <c r="G776" s="257"/>
      <c r="H776" s="101"/>
      <c r="I776" s="102" t="str">
        <f t="shared" si="20"/>
        <v/>
      </c>
    </row>
    <row r="777" spans="1:9" ht="13" x14ac:dyDescent="0.15">
      <c r="A777" s="257"/>
      <c r="B777" s="257"/>
      <c r="C777" s="257"/>
      <c r="D777" s="257"/>
      <c r="E777" s="257"/>
      <c r="F777" s="257"/>
      <c r="G777" s="257"/>
      <c r="H777" s="101"/>
      <c r="I777" s="102" t="str">
        <f t="shared" si="20"/>
        <v/>
      </c>
    </row>
    <row r="778" spans="1:9" ht="13" x14ac:dyDescent="0.15">
      <c r="A778" s="257"/>
      <c r="B778" s="257"/>
      <c r="C778" s="257"/>
      <c r="D778" s="257"/>
      <c r="E778" s="257"/>
      <c r="F778" s="257"/>
      <c r="G778" s="257"/>
      <c r="H778" s="101"/>
      <c r="I778" s="102" t="str">
        <f t="shared" si="20"/>
        <v/>
      </c>
    </row>
    <row r="779" spans="1:9" ht="13" x14ac:dyDescent="0.15">
      <c r="A779" s="257"/>
      <c r="B779" s="257"/>
      <c r="C779" s="257"/>
      <c r="D779" s="257"/>
      <c r="E779" s="257"/>
      <c r="F779" s="257"/>
      <c r="G779" s="257"/>
      <c r="H779" s="101"/>
      <c r="I779" s="102" t="str">
        <f t="shared" si="20"/>
        <v/>
      </c>
    </row>
    <row r="780" spans="1:9" ht="13" x14ac:dyDescent="0.15">
      <c r="A780" s="257"/>
      <c r="B780" s="257"/>
      <c r="C780" s="257"/>
      <c r="D780" s="257"/>
      <c r="E780" s="257"/>
      <c r="F780" s="257"/>
      <c r="G780" s="257"/>
      <c r="H780" s="101"/>
      <c r="I780" s="102" t="str">
        <f t="shared" si="20"/>
        <v/>
      </c>
    </row>
    <row r="781" spans="1:9" ht="13" x14ac:dyDescent="0.15">
      <c r="A781" s="257"/>
      <c r="B781" s="257"/>
      <c r="C781" s="257"/>
      <c r="D781" s="257"/>
      <c r="E781" s="257"/>
      <c r="F781" s="257"/>
      <c r="G781" s="257"/>
      <c r="H781" s="101"/>
      <c r="I781" s="102" t="str">
        <f t="shared" si="20"/>
        <v/>
      </c>
    </row>
    <row r="782" spans="1:9" ht="13" x14ac:dyDescent="0.15">
      <c r="A782" s="257"/>
      <c r="B782" s="257"/>
      <c r="C782" s="257"/>
      <c r="D782" s="257"/>
      <c r="E782" s="257"/>
      <c r="F782" s="257"/>
      <c r="G782" s="257"/>
      <c r="H782" s="101"/>
      <c r="I782" s="102" t="str">
        <f t="shared" si="20"/>
        <v/>
      </c>
    </row>
    <row r="783" spans="1:9" ht="13" x14ac:dyDescent="0.15">
      <c r="A783" s="257"/>
      <c r="B783" s="257"/>
      <c r="C783" s="257"/>
      <c r="D783" s="257"/>
      <c r="E783" s="257"/>
      <c r="F783" s="257"/>
      <c r="G783" s="257"/>
      <c r="H783" s="101"/>
      <c r="I783" s="102" t="str">
        <f t="shared" si="20"/>
        <v/>
      </c>
    </row>
    <row r="784" spans="1:9" ht="13" x14ac:dyDescent="0.15">
      <c r="A784" s="257"/>
      <c r="B784" s="257"/>
      <c r="C784" s="257"/>
      <c r="D784" s="257"/>
      <c r="E784" s="257"/>
      <c r="F784" s="257"/>
      <c r="G784" s="257"/>
      <c r="H784" s="101"/>
      <c r="I784" s="102" t="str">
        <f t="shared" si="20"/>
        <v/>
      </c>
    </row>
    <row r="785" spans="1:9" ht="13" x14ac:dyDescent="0.15">
      <c r="A785" s="257"/>
      <c r="B785" s="257"/>
      <c r="C785" s="257"/>
      <c r="D785" s="257"/>
      <c r="E785" s="257"/>
      <c r="F785" s="257"/>
      <c r="G785" s="257"/>
      <c r="H785" s="101"/>
      <c r="I785" s="102" t="str">
        <f t="shared" si="20"/>
        <v/>
      </c>
    </row>
    <row r="786" spans="1:9" ht="13" x14ac:dyDescent="0.15">
      <c r="A786" s="257"/>
      <c r="B786" s="257"/>
      <c r="C786" s="257"/>
      <c r="D786" s="257"/>
      <c r="E786" s="257"/>
      <c r="F786" s="257"/>
      <c r="G786" s="257"/>
      <c r="H786" s="101"/>
      <c r="I786" s="102" t="str">
        <f t="shared" si="20"/>
        <v/>
      </c>
    </row>
    <row r="787" spans="1:9" ht="13" x14ac:dyDescent="0.15">
      <c r="A787" s="257"/>
      <c r="B787" s="257"/>
      <c r="C787" s="257"/>
      <c r="D787" s="257"/>
      <c r="E787" s="257"/>
      <c r="F787" s="257"/>
      <c r="G787" s="257"/>
      <c r="H787" s="101"/>
      <c r="I787" s="102" t="str">
        <f t="shared" si="20"/>
        <v/>
      </c>
    </row>
    <row r="788" spans="1:9" ht="13" x14ac:dyDescent="0.15">
      <c r="A788" s="257"/>
      <c r="B788" s="257"/>
      <c r="C788" s="257"/>
      <c r="D788" s="257"/>
      <c r="E788" s="257"/>
      <c r="F788" s="257"/>
      <c r="G788" s="257"/>
      <c r="H788" s="101"/>
      <c r="I788" s="102" t="str">
        <f t="shared" si="20"/>
        <v/>
      </c>
    </row>
    <row r="789" spans="1:9" ht="13" x14ac:dyDescent="0.15">
      <c r="A789" s="257"/>
      <c r="B789" s="257"/>
      <c r="C789" s="257"/>
      <c r="D789" s="257"/>
      <c r="E789" s="257"/>
      <c r="F789" s="257"/>
      <c r="G789" s="257"/>
      <c r="H789" s="101"/>
      <c r="I789" s="102" t="str">
        <f t="shared" si="20"/>
        <v/>
      </c>
    </row>
    <row r="790" spans="1:9" ht="13" x14ac:dyDescent="0.15">
      <c r="A790" s="257"/>
      <c r="B790" s="257"/>
      <c r="C790" s="257"/>
      <c r="D790" s="257"/>
      <c r="E790" s="257"/>
      <c r="F790" s="257"/>
      <c r="G790" s="257"/>
      <c r="H790" s="101"/>
      <c r="I790" s="102" t="str">
        <f t="shared" si="20"/>
        <v/>
      </c>
    </row>
    <row r="791" spans="1:9" ht="13" x14ac:dyDescent="0.15">
      <c r="A791" s="257"/>
      <c r="B791" s="257"/>
      <c r="C791" s="257"/>
      <c r="D791" s="257"/>
      <c r="E791" s="257"/>
      <c r="F791" s="257"/>
      <c r="G791" s="257"/>
      <c r="H791" s="101"/>
      <c r="I791" s="102" t="str">
        <f t="shared" si="20"/>
        <v/>
      </c>
    </row>
    <row r="792" spans="1:9" ht="13" x14ac:dyDescent="0.15">
      <c r="A792" s="257"/>
      <c r="B792" s="257"/>
      <c r="C792" s="257"/>
      <c r="D792" s="257"/>
      <c r="E792" s="257"/>
      <c r="F792" s="257"/>
      <c r="G792" s="257"/>
      <c r="H792" s="101"/>
      <c r="I792" s="102" t="str">
        <f t="shared" si="20"/>
        <v/>
      </c>
    </row>
    <row r="793" spans="1:9" ht="13" x14ac:dyDescent="0.15">
      <c r="A793" s="257"/>
      <c r="B793" s="257"/>
      <c r="C793" s="257"/>
      <c r="D793" s="257"/>
      <c r="E793" s="257"/>
      <c r="F793" s="257"/>
      <c r="G793" s="257"/>
      <c r="H793" s="101"/>
      <c r="I793" s="102" t="str">
        <f t="shared" si="20"/>
        <v/>
      </c>
    </row>
    <row r="794" spans="1:9" ht="13" x14ac:dyDescent="0.15">
      <c r="A794" s="257"/>
      <c r="B794" s="257"/>
      <c r="C794" s="257"/>
      <c r="D794" s="257"/>
      <c r="E794" s="257"/>
      <c r="F794" s="257"/>
      <c r="G794" s="257"/>
      <c r="H794" s="101"/>
      <c r="I794" s="102" t="str">
        <f t="shared" si="20"/>
        <v/>
      </c>
    </row>
    <row r="795" spans="1:9" ht="13" x14ac:dyDescent="0.15">
      <c r="A795" s="257"/>
      <c r="B795" s="257"/>
      <c r="C795" s="257"/>
      <c r="D795" s="257"/>
      <c r="E795" s="257"/>
      <c r="F795" s="257"/>
      <c r="G795" s="257"/>
      <c r="H795" s="101"/>
      <c r="I795" s="102" t="str">
        <f t="shared" si="20"/>
        <v/>
      </c>
    </row>
    <row r="796" spans="1:9" ht="13" x14ac:dyDescent="0.15">
      <c r="A796" s="257"/>
      <c r="B796" s="257"/>
      <c r="C796" s="257"/>
      <c r="D796" s="257"/>
      <c r="E796" s="257"/>
      <c r="F796" s="257"/>
      <c r="G796" s="257"/>
      <c r="H796" s="101"/>
      <c r="I796" s="102" t="str">
        <f t="shared" si="20"/>
        <v/>
      </c>
    </row>
    <row r="797" spans="1:9" ht="13" x14ac:dyDescent="0.15">
      <c r="A797" s="257"/>
      <c r="B797" s="257"/>
      <c r="C797" s="257"/>
      <c r="D797" s="257"/>
      <c r="E797" s="257"/>
      <c r="F797" s="257"/>
      <c r="G797" s="257"/>
      <c r="H797" s="101"/>
      <c r="I797" s="102" t="str">
        <f t="shared" si="20"/>
        <v/>
      </c>
    </row>
    <row r="798" spans="1:9" ht="13" x14ac:dyDescent="0.15">
      <c r="A798" s="257"/>
      <c r="B798" s="257"/>
      <c r="C798" s="257"/>
      <c r="D798" s="257"/>
      <c r="E798" s="257"/>
      <c r="F798" s="257"/>
      <c r="G798" s="257"/>
      <c r="H798" s="101"/>
      <c r="I798" s="102" t="str">
        <f t="shared" si="20"/>
        <v/>
      </c>
    </row>
    <row r="799" spans="1:9" ht="13" x14ac:dyDescent="0.15">
      <c r="A799" s="257"/>
      <c r="B799" s="257"/>
      <c r="C799" s="257"/>
      <c r="D799" s="257"/>
      <c r="E799" s="257"/>
      <c r="F799" s="257"/>
      <c r="G799" s="257"/>
      <c r="H799" s="101"/>
      <c r="I799" s="102" t="str">
        <f t="shared" si="20"/>
        <v/>
      </c>
    </row>
    <row r="800" spans="1:9" ht="13" x14ac:dyDescent="0.15">
      <c r="A800" s="257"/>
      <c r="B800" s="257"/>
      <c r="C800" s="257"/>
      <c r="D800" s="257"/>
      <c r="E800" s="257"/>
      <c r="F800" s="257"/>
      <c r="G800" s="257"/>
      <c r="H800" s="101"/>
      <c r="I800" s="102" t="str">
        <f t="shared" si="20"/>
        <v/>
      </c>
    </row>
    <row r="801" spans="1:9" ht="13" x14ac:dyDescent="0.15">
      <c r="A801" s="257"/>
      <c r="B801" s="257"/>
      <c r="C801" s="257"/>
      <c r="D801" s="257"/>
      <c r="E801" s="257"/>
      <c r="F801" s="257"/>
      <c r="G801" s="257"/>
      <c r="H801" s="101"/>
      <c r="I801" s="102" t="str">
        <f t="shared" si="20"/>
        <v/>
      </c>
    </row>
    <row r="802" spans="1:9" ht="13" x14ac:dyDescent="0.15">
      <c r="A802" s="257"/>
      <c r="B802" s="257"/>
      <c r="C802" s="257"/>
      <c r="D802" s="257"/>
      <c r="E802" s="257"/>
      <c r="F802" s="257"/>
      <c r="G802" s="257"/>
      <c r="H802" s="101"/>
      <c r="I802" s="102" t="str">
        <f t="shared" si="20"/>
        <v/>
      </c>
    </row>
    <row r="803" spans="1:9" ht="13" x14ac:dyDescent="0.15">
      <c r="A803" s="257"/>
      <c r="B803" s="257"/>
      <c r="C803" s="257"/>
      <c r="D803" s="257"/>
      <c r="E803" s="257"/>
      <c r="F803" s="257"/>
      <c r="G803" s="257"/>
      <c r="H803" s="101"/>
      <c r="I803" s="102" t="str">
        <f t="shared" si="20"/>
        <v/>
      </c>
    </row>
    <row r="804" spans="1:9" ht="13" x14ac:dyDescent="0.15">
      <c r="A804" s="257"/>
      <c r="B804" s="257"/>
      <c r="C804" s="257"/>
      <c r="D804" s="257"/>
      <c r="E804" s="257"/>
      <c r="F804" s="257"/>
      <c r="G804" s="257"/>
      <c r="H804" s="101"/>
      <c r="I804" s="102" t="str">
        <f t="shared" si="20"/>
        <v/>
      </c>
    </row>
    <row r="805" spans="1:9" ht="13" x14ac:dyDescent="0.15">
      <c r="A805" s="257"/>
      <c r="B805" s="257"/>
      <c r="C805" s="257"/>
      <c r="D805" s="257"/>
      <c r="E805" s="257"/>
      <c r="F805" s="257"/>
      <c r="G805" s="257"/>
      <c r="H805" s="101"/>
      <c r="I805" s="102" t="str">
        <f t="shared" si="20"/>
        <v/>
      </c>
    </row>
    <row r="806" spans="1:9" ht="13" x14ac:dyDescent="0.15">
      <c r="A806" s="257"/>
      <c r="B806" s="257"/>
      <c r="C806" s="257"/>
      <c r="D806" s="257"/>
      <c r="E806" s="257"/>
      <c r="F806" s="257"/>
      <c r="G806" s="257"/>
      <c r="H806" s="101"/>
      <c r="I806" s="102" t="str">
        <f t="shared" si="20"/>
        <v/>
      </c>
    </row>
    <row r="807" spans="1:9" ht="13" x14ac:dyDescent="0.15">
      <c r="A807" s="257"/>
      <c r="B807" s="257"/>
      <c r="C807" s="257"/>
      <c r="D807" s="257"/>
      <c r="E807" s="257"/>
      <c r="F807" s="257"/>
      <c r="G807" s="257"/>
      <c r="H807" s="101"/>
      <c r="I807" s="102" t="str">
        <f t="shared" si="20"/>
        <v/>
      </c>
    </row>
    <row r="808" spans="1:9" ht="13" x14ac:dyDescent="0.15">
      <c r="A808" s="257"/>
      <c r="B808" s="257"/>
      <c r="C808" s="257"/>
      <c r="D808" s="257"/>
      <c r="E808" s="257"/>
      <c r="F808" s="257"/>
      <c r="G808" s="257"/>
      <c r="H808" s="101"/>
      <c r="I808" s="102" t="str">
        <f t="shared" si="20"/>
        <v/>
      </c>
    </row>
    <row r="809" spans="1:9" ht="13" x14ac:dyDescent="0.15">
      <c r="A809" s="257"/>
      <c r="B809" s="257"/>
      <c r="C809" s="257"/>
      <c r="D809" s="257"/>
      <c r="E809" s="257"/>
      <c r="F809" s="257"/>
      <c r="G809" s="257"/>
      <c r="H809" s="101"/>
      <c r="I809" s="102" t="str">
        <f t="shared" si="20"/>
        <v/>
      </c>
    </row>
    <row r="810" spans="1:9" ht="13" x14ac:dyDescent="0.15">
      <c r="A810" s="257"/>
      <c r="B810" s="257"/>
      <c r="C810" s="257"/>
      <c r="D810" s="257"/>
      <c r="E810" s="257"/>
      <c r="F810" s="257"/>
      <c r="G810" s="257"/>
      <c r="H810" s="101"/>
      <c r="I810" s="102" t="str">
        <f t="shared" si="20"/>
        <v/>
      </c>
    </row>
    <row r="811" spans="1:9" ht="13" x14ac:dyDescent="0.15">
      <c r="A811" s="257"/>
      <c r="B811" s="257"/>
      <c r="C811" s="257"/>
      <c r="D811" s="257"/>
      <c r="E811" s="257"/>
      <c r="F811" s="257"/>
      <c r="G811" s="257"/>
      <c r="H811" s="101"/>
      <c r="I811" s="102" t="str">
        <f t="shared" si="20"/>
        <v/>
      </c>
    </row>
    <row r="812" spans="1:9" ht="13" x14ac:dyDescent="0.15">
      <c r="A812" s="257"/>
      <c r="B812" s="257"/>
      <c r="C812" s="257"/>
      <c r="D812" s="257"/>
      <c r="E812" s="257"/>
      <c r="F812" s="257"/>
      <c r="G812" s="257"/>
      <c r="H812" s="101"/>
      <c r="I812" s="102" t="str">
        <f t="shared" si="20"/>
        <v/>
      </c>
    </row>
    <row r="813" spans="1:9" ht="13" x14ac:dyDescent="0.15">
      <c r="A813" s="257"/>
      <c r="B813" s="257"/>
      <c r="C813" s="257"/>
      <c r="D813" s="257"/>
      <c r="E813" s="257"/>
      <c r="F813" s="257"/>
      <c r="G813" s="257"/>
      <c r="H813" s="101"/>
      <c r="I813" s="102" t="str">
        <f t="shared" si="20"/>
        <v/>
      </c>
    </row>
    <row r="814" spans="1:9" ht="13" x14ac:dyDescent="0.15">
      <c r="A814" s="257"/>
      <c r="B814" s="257"/>
      <c r="C814" s="257"/>
      <c r="D814" s="257"/>
      <c r="E814" s="257"/>
      <c r="F814" s="257"/>
      <c r="G814" s="257"/>
      <c r="H814" s="101"/>
      <c r="I814" s="102" t="str">
        <f t="shared" si="20"/>
        <v/>
      </c>
    </row>
    <row r="815" spans="1:9" ht="13" x14ac:dyDescent="0.15">
      <c r="A815" s="257"/>
      <c r="B815" s="257"/>
      <c r="C815" s="257"/>
      <c r="D815" s="257"/>
      <c r="E815" s="257"/>
      <c r="F815" s="257"/>
      <c r="G815" s="257"/>
      <c r="H815" s="101"/>
      <c r="I815" s="102" t="str">
        <f t="shared" si="20"/>
        <v/>
      </c>
    </row>
    <row r="816" spans="1:9" ht="13" x14ac:dyDescent="0.15">
      <c r="A816" s="257"/>
      <c r="B816" s="257"/>
      <c r="C816" s="257"/>
      <c r="D816" s="257"/>
      <c r="E816" s="257"/>
      <c r="F816" s="257"/>
      <c r="G816" s="257"/>
      <c r="H816" s="101"/>
      <c r="I816" s="102" t="str">
        <f t="shared" si="20"/>
        <v/>
      </c>
    </row>
    <row r="817" spans="1:9" ht="13" x14ac:dyDescent="0.15">
      <c r="A817" s="257"/>
      <c r="B817" s="257"/>
      <c r="C817" s="257"/>
      <c r="D817" s="257"/>
      <c r="E817" s="257"/>
      <c r="F817" s="257"/>
      <c r="G817" s="257"/>
      <c r="H817" s="101"/>
      <c r="I817" s="102" t="str">
        <f t="shared" si="20"/>
        <v/>
      </c>
    </row>
    <row r="818" spans="1:9" ht="13" x14ac:dyDescent="0.15">
      <c r="A818" s="257"/>
      <c r="B818" s="257"/>
      <c r="C818" s="257"/>
      <c r="D818" s="257"/>
      <c r="E818" s="257"/>
      <c r="F818" s="257"/>
      <c r="G818" s="257"/>
      <c r="H818" s="101"/>
      <c r="I818" s="102" t="str">
        <f t="shared" si="20"/>
        <v/>
      </c>
    </row>
    <row r="819" spans="1:9" ht="13" x14ac:dyDescent="0.15">
      <c r="A819" s="257"/>
      <c r="B819" s="257"/>
      <c r="C819" s="257"/>
      <c r="D819" s="257"/>
      <c r="E819" s="257"/>
      <c r="F819" s="257"/>
      <c r="G819" s="257"/>
      <c r="H819" s="101"/>
      <c r="I819" s="102" t="str">
        <f t="shared" si="20"/>
        <v/>
      </c>
    </row>
    <row r="820" spans="1:9" ht="13" x14ac:dyDescent="0.15">
      <c r="A820" s="257"/>
      <c r="B820" s="257"/>
      <c r="C820" s="257"/>
      <c r="D820" s="257"/>
      <c r="E820" s="257"/>
      <c r="F820" s="257"/>
      <c r="G820" s="257"/>
      <c r="H820" s="101"/>
      <c r="I820" s="102" t="str">
        <f t="shared" si="20"/>
        <v/>
      </c>
    </row>
    <row r="821" spans="1:9" ht="13" x14ac:dyDescent="0.15">
      <c r="A821" s="257"/>
      <c r="B821" s="257"/>
      <c r="C821" s="257"/>
      <c r="D821" s="257"/>
      <c r="E821" s="257"/>
      <c r="F821" s="257"/>
      <c r="G821" s="257"/>
      <c r="H821" s="101"/>
      <c r="I821" s="102" t="str">
        <f t="shared" si="20"/>
        <v/>
      </c>
    </row>
    <row r="822" spans="1:9" ht="13" x14ac:dyDescent="0.15">
      <c r="A822" s="257"/>
      <c r="B822" s="257"/>
      <c r="C822" s="257"/>
      <c r="D822" s="257"/>
      <c r="E822" s="257"/>
      <c r="F822" s="257"/>
      <c r="G822" s="257"/>
      <c r="H822" s="101"/>
      <c r="I822" s="102" t="str">
        <f t="shared" si="20"/>
        <v/>
      </c>
    </row>
    <row r="823" spans="1:9" ht="13" x14ac:dyDescent="0.15">
      <c r="A823" s="257"/>
      <c r="B823" s="257"/>
      <c r="C823" s="257"/>
      <c r="D823" s="257"/>
      <c r="E823" s="257"/>
      <c r="F823" s="257"/>
      <c r="G823" s="257"/>
      <c r="H823" s="101"/>
      <c r="I823" s="102" t="str">
        <f t="shared" si="20"/>
        <v/>
      </c>
    </row>
    <row r="824" spans="1:9" ht="13" x14ac:dyDescent="0.15">
      <c r="A824" s="257"/>
      <c r="B824" s="257"/>
      <c r="C824" s="257"/>
      <c r="D824" s="257"/>
      <c r="E824" s="257"/>
      <c r="F824" s="257"/>
      <c r="G824" s="257"/>
      <c r="H824" s="101"/>
      <c r="I824" s="102" t="str">
        <f t="shared" si="20"/>
        <v/>
      </c>
    </row>
    <row r="825" spans="1:9" ht="13" x14ac:dyDescent="0.15">
      <c r="A825" s="257"/>
      <c r="B825" s="257"/>
      <c r="C825" s="257"/>
      <c r="D825" s="257"/>
      <c r="E825" s="257"/>
      <c r="F825" s="257"/>
      <c r="G825" s="257"/>
      <c r="H825" s="101"/>
      <c r="I825" s="102" t="str">
        <f t="shared" si="20"/>
        <v/>
      </c>
    </row>
    <row r="826" spans="1:9" ht="13" x14ac:dyDescent="0.15">
      <c r="A826" s="257"/>
      <c r="B826" s="257"/>
      <c r="C826" s="257"/>
      <c r="D826" s="257"/>
      <c r="E826" s="257"/>
      <c r="F826" s="257"/>
      <c r="G826" s="257"/>
      <c r="H826" s="101"/>
      <c r="I826" s="102" t="str">
        <f t="shared" si="20"/>
        <v/>
      </c>
    </row>
    <row r="827" spans="1:9" ht="13" x14ac:dyDescent="0.15">
      <c r="A827" s="257"/>
      <c r="B827" s="257"/>
      <c r="C827" s="257"/>
      <c r="D827" s="257"/>
      <c r="E827" s="257"/>
      <c r="F827" s="257"/>
      <c r="G827" s="257"/>
      <c r="H827" s="101"/>
      <c r="I827" s="102" t="str">
        <f t="shared" si="20"/>
        <v/>
      </c>
    </row>
    <row r="828" spans="1:9" ht="13" x14ac:dyDescent="0.15">
      <c r="A828" s="257"/>
      <c r="B828" s="257"/>
      <c r="C828" s="257"/>
      <c r="D828" s="257"/>
      <c r="E828" s="257"/>
      <c r="F828" s="257"/>
      <c r="G828" s="257"/>
      <c r="H828" s="101"/>
      <c r="I828" s="102" t="str">
        <f t="shared" si="20"/>
        <v/>
      </c>
    </row>
    <row r="829" spans="1:9" ht="13" x14ac:dyDescent="0.15">
      <c r="A829" s="257"/>
      <c r="B829" s="257"/>
      <c r="C829" s="257"/>
      <c r="D829" s="257"/>
      <c r="E829" s="257"/>
      <c r="F829" s="257"/>
      <c r="G829" s="257"/>
      <c r="H829" s="101"/>
      <c r="I829" s="102" t="str">
        <f t="shared" si="20"/>
        <v/>
      </c>
    </row>
    <row r="830" spans="1:9" ht="13" x14ac:dyDescent="0.15">
      <c r="A830" s="257"/>
      <c r="B830" s="257"/>
      <c r="C830" s="257"/>
      <c r="D830" s="257"/>
      <c r="E830" s="257"/>
      <c r="F830" s="257"/>
      <c r="G830" s="257"/>
      <c r="H830" s="101"/>
      <c r="I830" s="102" t="str">
        <f t="shared" si="20"/>
        <v/>
      </c>
    </row>
    <row r="831" spans="1:9" ht="13" x14ac:dyDescent="0.15">
      <c r="A831" s="257"/>
      <c r="B831" s="257"/>
      <c r="C831" s="257"/>
      <c r="D831" s="257"/>
      <c r="E831" s="257"/>
      <c r="F831" s="257"/>
      <c r="G831" s="257"/>
      <c r="H831" s="101"/>
      <c r="I831" s="102" t="str">
        <f t="shared" si="20"/>
        <v/>
      </c>
    </row>
    <row r="832" spans="1:9" ht="13" x14ac:dyDescent="0.15">
      <c r="A832" s="257"/>
      <c r="B832" s="257"/>
      <c r="C832" s="257"/>
      <c r="D832" s="257"/>
      <c r="E832" s="257"/>
      <c r="F832" s="257"/>
      <c r="G832" s="257"/>
      <c r="H832" s="101"/>
      <c r="I832" s="102" t="str">
        <f t="shared" si="20"/>
        <v/>
      </c>
    </row>
    <row r="833" spans="1:9" ht="13" x14ac:dyDescent="0.15">
      <c r="A833" s="257"/>
      <c r="B833" s="257"/>
      <c r="C833" s="257"/>
      <c r="D833" s="257"/>
      <c r="E833" s="257"/>
      <c r="F833" s="257"/>
      <c r="G833" s="257"/>
      <c r="H833" s="101"/>
      <c r="I833" s="102" t="str">
        <f t="shared" si="20"/>
        <v/>
      </c>
    </row>
    <row r="834" spans="1:9" ht="13" x14ac:dyDescent="0.15">
      <c r="A834" s="257"/>
      <c r="B834" s="257"/>
      <c r="C834" s="257"/>
      <c r="D834" s="257"/>
      <c r="E834" s="257"/>
      <c r="F834" s="257"/>
      <c r="G834" s="257"/>
      <c r="H834" s="101"/>
      <c r="I834" s="102" t="str">
        <f t="shared" ref="I834:I897" si="21">IF(ISNUMBER(H834),IF(ABS(H834-$L$14)&gt;$M$16,"OUT",""),"")</f>
        <v/>
      </c>
    </row>
    <row r="835" spans="1:9" ht="13" x14ac:dyDescent="0.15">
      <c r="A835" s="257"/>
      <c r="B835" s="257"/>
      <c r="C835" s="257"/>
      <c r="D835" s="257"/>
      <c r="E835" s="257"/>
      <c r="F835" s="257"/>
      <c r="G835" s="257"/>
      <c r="H835" s="101"/>
      <c r="I835" s="102" t="str">
        <f t="shared" si="21"/>
        <v/>
      </c>
    </row>
    <row r="836" spans="1:9" ht="13" x14ac:dyDescent="0.15">
      <c r="A836" s="257"/>
      <c r="B836" s="257"/>
      <c r="C836" s="257"/>
      <c r="D836" s="257"/>
      <c r="E836" s="257"/>
      <c r="F836" s="257"/>
      <c r="G836" s="257"/>
      <c r="H836" s="101"/>
      <c r="I836" s="102" t="str">
        <f t="shared" si="21"/>
        <v/>
      </c>
    </row>
    <row r="837" spans="1:9" ht="13" x14ac:dyDescent="0.15">
      <c r="A837" s="257"/>
      <c r="B837" s="257"/>
      <c r="C837" s="257"/>
      <c r="D837" s="257"/>
      <c r="E837" s="257"/>
      <c r="F837" s="257"/>
      <c r="G837" s="257"/>
      <c r="H837" s="101"/>
      <c r="I837" s="102" t="str">
        <f t="shared" si="21"/>
        <v/>
      </c>
    </row>
    <row r="838" spans="1:9" ht="13" x14ac:dyDescent="0.15">
      <c r="A838" s="257"/>
      <c r="B838" s="257"/>
      <c r="C838" s="257"/>
      <c r="D838" s="257"/>
      <c r="E838" s="257"/>
      <c r="F838" s="257"/>
      <c r="G838" s="257"/>
      <c r="H838" s="101"/>
      <c r="I838" s="102" t="str">
        <f t="shared" si="21"/>
        <v/>
      </c>
    </row>
    <row r="839" spans="1:9" ht="13" x14ac:dyDescent="0.15">
      <c r="A839" s="257"/>
      <c r="B839" s="257"/>
      <c r="C839" s="257"/>
      <c r="D839" s="257"/>
      <c r="E839" s="257"/>
      <c r="F839" s="257"/>
      <c r="G839" s="257"/>
      <c r="H839" s="101"/>
      <c r="I839" s="102" t="str">
        <f t="shared" si="21"/>
        <v/>
      </c>
    </row>
    <row r="840" spans="1:9" ht="13" x14ac:dyDescent="0.15">
      <c r="A840" s="257"/>
      <c r="B840" s="257"/>
      <c r="C840" s="257"/>
      <c r="D840" s="257"/>
      <c r="E840" s="257"/>
      <c r="F840" s="257"/>
      <c r="G840" s="257"/>
      <c r="H840" s="101"/>
      <c r="I840" s="102" t="str">
        <f t="shared" si="21"/>
        <v/>
      </c>
    </row>
    <row r="841" spans="1:9" ht="13" x14ac:dyDescent="0.15">
      <c r="A841" s="257"/>
      <c r="B841" s="257"/>
      <c r="C841" s="257"/>
      <c r="D841" s="257"/>
      <c r="E841" s="257"/>
      <c r="F841" s="257"/>
      <c r="G841" s="257"/>
      <c r="H841" s="101"/>
      <c r="I841" s="102" t="str">
        <f t="shared" si="21"/>
        <v/>
      </c>
    </row>
    <row r="842" spans="1:9" ht="13" x14ac:dyDescent="0.15">
      <c r="A842" s="257"/>
      <c r="B842" s="257"/>
      <c r="C842" s="257"/>
      <c r="D842" s="257"/>
      <c r="E842" s="257"/>
      <c r="F842" s="257"/>
      <c r="G842" s="257"/>
      <c r="H842" s="101"/>
      <c r="I842" s="102" t="str">
        <f t="shared" si="21"/>
        <v/>
      </c>
    </row>
    <row r="843" spans="1:9" ht="13" x14ac:dyDescent="0.15">
      <c r="A843" s="257"/>
      <c r="B843" s="257"/>
      <c r="C843" s="257"/>
      <c r="D843" s="257"/>
      <c r="E843" s="257"/>
      <c r="F843" s="257"/>
      <c r="G843" s="257"/>
      <c r="H843" s="101"/>
      <c r="I843" s="102" t="str">
        <f t="shared" si="21"/>
        <v/>
      </c>
    </row>
    <row r="844" spans="1:9" ht="13" x14ac:dyDescent="0.15">
      <c r="A844" s="257"/>
      <c r="B844" s="257"/>
      <c r="C844" s="257"/>
      <c r="D844" s="257"/>
      <c r="E844" s="257"/>
      <c r="F844" s="257"/>
      <c r="G844" s="257"/>
      <c r="H844" s="101"/>
      <c r="I844" s="102" t="str">
        <f t="shared" si="21"/>
        <v/>
      </c>
    </row>
    <row r="845" spans="1:9" ht="13" x14ac:dyDescent="0.15">
      <c r="A845" s="257"/>
      <c r="B845" s="257"/>
      <c r="C845" s="257"/>
      <c r="D845" s="257"/>
      <c r="E845" s="257"/>
      <c r="F845" s="257"/>
      <c r="G845" s="257"/>
      <c r="H845" s="101"/>
      <c r="I845" s="102" t="str">
        <f t="shared" si="21"/>
        <v/>
      </c>
    </row>
    <row r="846" spans="1:9" ht="13" x14ac:dyDescent="0.15">
      <c r="A846" s="257"/>
      <c r="B846" s="257"/>
      <c r="C846" s="257"/>
      <c r="D846" s="257"/>
      <c r="E846" s="257"/>
      <c r="F846" s="257"/>
      <c r="G846" s="257"/>
      <c r="H846" s="101"/>
      <c r="I846" s="102" t="str">
        <f t="shared" si="21"/>
        <v/>
      </c>
    </row>
    <row r="847" spans="1:9" ht="13" x14ac:dyDescent="0.15">
      <c r="A847" s="257"/>
      <c r="B847" s="257"/>
      <c r="C847" s="257"/>
      <c r="D847" s="257"/>
      <c r="E847" s="257"/>
      <c r="F847" s="257"/>
      <c r="G847" s="257"/>
      <c r="H847" s="101"/>
      <c r="I847" s="102" t="str">
        <f t="shared" si="21"/>
        <v/>
      </c>
    </row>
    <row r="848" spans="1:9" ht="13" x14ac:dyDescent="0.15">
      <c r="A848" s="257"/>
      <c r="B848" s="257"/>
      <c r="C848" s="257"/>
      <c r="D848" s="257"/>
      <c r="E848" s="257"/>
      <c r="F848" s="257"/>
      <c r="G848" s="257"/>
      <c r="H848" s="101"/>
      <c r="I848" s="102" t="str">
        <f t="shared" si="21"/>
        <v/>
      </c>
    </row>
    <row r="849" spans="1:9" ht="13" x14ac:dyDescent="0.15">
      <c r="A849" s="257"/>
      <c r="B849" s="257"/>
      <c r="C849" s="257"/>
      <c r="D849" s="257"/>
      <c r="E849" s="257"/>
      <c r="F849" s="257"/>
      <c r="G849" s="257"/>
      <c r="H849" s="101"/>
      <c r="I849" s="102" t="str">
        <f t="shared" si="21"/>
        <v/>
      </c>
    </row>
    <row r="850" spans="1:9" ht="13" x14ac:dyDescent="0.15">
      <c r="A850" s="257"/>
      <c r="B850" s="257"/>
      <c r="C850" s="257"/>
      <c r="D850" s="257"/>
      <c r="E850" s="257"/>
      <c r="F850" s="257"/>
      <c r="G850" s="257"/>
      <c r="H850" s="101"/>
      <c r="I850" s="102" t="str">
        <f t="shared" si="21"/>
        <v/>
      </c>
    </row>
    <row r="851" spans="1:9" ht="13" x14ac:dyDescent="0.15">
      <c r="A851" s="257"/>
      <c r="B851" s="257"/>
      <c r="C851" s="257"/>
      <c r="D851" s="257"/>
      <c r="E851" s="257"/>
      <c r="F851" s="257"/>
      <c r="G851" s="257"/>
      <c r="H851" s="101"/>
      <c r="I851" s="102" t="str">
        <f t="shared" si="21"/>
        <v/>
      </c>
    </row>
    <row r="852" spans="1:9" ht="13" x14ac:dyDescent="0.15">
      <c r="A852" s="257"/>
      <c r="B852" s="257"/>
      <c r="C852" s="257"/>
      <c r="D852" s="257"/>
      <c r="E852" s="257"/>
      <c r="F852" s="257"/>
      <c r="G852" s="257"/>
      <c r="H852" s="101"/>
      <c r="I852" s="102" t="str">
        <f t="shared" si="21"/>
        <v/>
      </c>
    </row>
    <row r="853" spans="1:9" ht="13" x14ac:dyDescent="0.15">
      <c r="A853" s="257"/>
      <c r="B853" s="257"/>
      <c r="C853" s="257"/>
      <c r="D853" s="257"/>
      <c r="E853" s="257"/>
      <c r="F853" s="257"/>
      <c r="G853" s="257"/>
      <c r="H853" s="101"/>
      <c r="I853" s="102" t="str">
        <f t="shared" si="21"/>
        <v/>
      </c>
    </row>
    <row r="854" spans="1:9" ht="13" x14ac:dyDescent="0.15">
      <c r="A854" s="257"/>
      <c r="B854" s="257"/>
      <c r="C854" s="257"/>
      <c r="D854" s="257"/>
      <c r="E854" s="257"/>
      <c r="F854" s="257"/>
      <c r="G854" s="257"/>
      <c r="H854" s="101"/>
      <c r="I854" s="102" t="str">
        <f t="shared" si="21"/>
        <v/>
      </c>
    </row>
    <row r="855" spans="1:9" ht="13" x14ac:dyDescent="0.15">
      <c r="A855" s="257"/>
      <c r="B855" s="257"/>
      <c r="C855" s="257"/>
      <c r="D855" s="257"/>
      <c r="E855" s="257"/>
      <c r="F855" s="257"/>
      <c r="G855" s="257"/>
      <c r="H855" s="101"/>
      <c r="I855" s="102" t="str">
        <f t="shared" si="21"/>
        <v/>
      </c>
    </row>
    <row r="856" spans="1:9" ht="13" x14ac:dyDescent="0.15">
      <c r="A856" s="257"/>
      <c r="B856" s="257"/>
      <c r="C856" s="257"/>
      <c r="D856" s="257"/>
      <c r="E856" s="257"/>
      <c r="F856" s="257"/>
      <c r="G856" s="257"/>
      <c r="H856" s="101"/>
      <c r="I856" s="102" t="str">
        <f t="shared" si="21"/>
        <v/>
      </c>
    </row>
    <row r="857" spans="1:9" ht="13" x14ac:dyDescent="0.15">
      <c r="A857" s="257"/>
      <c r="B857" s="257"/>
      <c r="C857" s="257"/>
      <c r="D857" s="257"/>
      <c r="E857" s="257"/>
      <c r="F857" s="257"/>
      <c r="G857" s="257"/>
      <c r="H857" s="101"/>
      <c r="I857" s="102" t="str">
        <f t="shared" si="21"/>
        <v/>
      </c>
    </row>
    <row r="858" spans="1:9" ht="13" x14ac:dyDescent="0.15">
      <c r="A858" s="257"/>
      <c r="B858" s="257"/>
      <c r="C858" s="257"/>
      <c r="D858" s="257"/>
      <c r="E858" s="257"/>
      <c r="F858" s="257"/>
      <c r="G858" s="257"/>
      <c r="H858" s="101"/>
      <c r="I858" s="102" t="str">
        <f t="shared" si="21"/>
        <v/>
      </c>
    </row>
    <row r="859" spans="1:9" ht="13" x14ac:dyDescent="0.15">
      <c r="A859" s="257"/>
      <c r="B859" s="257"/>
      <c r="C859" s="257"/>
      <c r="D859" s="257"/>
      <c r="E859" s="257"/>
      <c r="F859" s="257"/>
      <c r="G859" s="257"/>
      <c r="H859" s="101"/>
      <c r="I859" s="102" t="str">
        <f t="shared" si="21"/>
        <v/>
      </c>
    </row>
    <row r="860" spans="1:9" ht="13" x14ac:dyDescent="0.15">
      <c r="A860" s="257"/>
      <c r="B860" s="257"/>
      <c r="C860" s="257"/>
      <c r="D860" s="257"/>
      <c r="E860" s="257"/>
      <c r="F860" s="257"/>
      <c r="G860" s="257"/>
      <c r="H860" s="101"/>
      <c r="I860" s="102" t="str">
        <f t="shared" si="21"/>
        <v/>
      </c>
    </row>
    <row r="861" spans="1:9" ht="13" x14ac:dyDescent="0.15">
      <c r="A861" s="257"/>
      <c r="B861" s="257"/>
      <c r="C861" s="257"/>
      <c r="D861" s="257"/>
      <c r="E861" s="257"/>
      <c r="F861" s="257"/>
      <c r="G861" s="257"/>
      <c r="H861" s="101"/>
      <c r="I861" s="102" t="str">
        <f t="shared" si="21"/>
        <v/>
      </c>
    </row>
    <row r="862" spans="1:9" ht="13" x14ac:dyDescent="0.15">
      <c r="A862" s="257"/>
      <c r="B862" s="257"/>
      <c r="C862" s="257"/>
      <c r="D862" s="257"/>
      <c r="E862" s="257"/>
      <c r="F862" s="257"/>
      <c r="G862" s="257"/>
      <c r="H862" s="101"/>
      <c r="I862" s="102" t="str">
        <f t="shared" si="21"/>
        <v/>
      </c>
    </row>
    <row r="863" spans="1:9" ht="13" x14ac:dyDescent="0.15">
      <c r="A863" s="257"/>
      <c r="B863" s="257"/>
      <c r="C863" s="257"/>
      <c r="D863" s="257"/>
      <c r="E863" s="257"/>
      <c r="F863" s="257"/>
      <c r="G863" s="257"/>
      <c r="H863" s="101"/>
      <c r="I863" s="102" t="str">
        <f t="shared" si="21"/>
        <v/>
      </c>
    </row>
    <row r="864" spans="1:9" ht="13" x14ac:dyDescent="0.15">
      <c r="A864" s="257"/>
      <c r="B864" s="257"/>
      <c r="C864" s="257"/>
      <c r="D864" s="257"/>
      <c r="E864" s="257"/>
      <c r="F864" s="257"/>
      <c r="G864" s="257"/>
      <c r="H864" s="101"/>
      <c r="I864" s="102" t="str">
        <f t="shared" si="21"/>
        <v/>
      </c>
    </row>
    <row r="865" spans="1:9" ht="13" x14ac:dyDescent="0.15">
      <c r="A865" s="257"/>
      <c r="B865" s="257"/>
      <c r="C865" s="257"/>
      <c r="D865" s="257"/>
      <c r="E865" s="257"/>
      <c r="F865" s="257"/>
      <c r="G865" s="257"/>
      <c r="H865" s="101"/>
      <c r="I865" s="102" t="str">
        <f t="shared" si="21"/>
        <v/>
      </c>
    </row>
    <row r="866" spans="1:9" ht="13" x14ac:dyDescent="0.15">
      <c r="A866" s="257"/>
      <c r="B866" s="257"/>
      <c r="C866" s="257"/>
      <c r="D866" s="257"/>
      <c r="E866" s="257"/>
      <c r="F866" s="257"/>
      <c r="G866" s="257"/>
      <c r="H866" s="101"/>
      <c r="I866" s="102" t="str">
        <f t="shared" si="21"/>
        <v/>
      </c>
    </row>
    <row r="867" spans="1:9" ht="13" x14ac:dyDescent="0.15">
      <c r="A867" s="257"/>
      <c r="B867" s="257"/>
      <c r="C867" s="257"/>
      <c r="D867" s="257"/>
      <c r="E867" s="257"/>
      <c r="F867" s="257"/>
      <c r="G867" s="257"/>
      <c r="H867" s="101"/>
      <c r="I867" s="102" t="str">
        <f t="shared" si="21"/>
        <v/>
      </c>
    </row>
    <row r="868" spans="1:9" ht="13" x14ac:dyDescent="0.15">
      <c r="A868" s="257"/>
      <c r="B868" s="257"/>
      <c r="C868" s="257"/>
      <c r="D868" s="257"/>
      <c r="E868" s="257"/>
      <c r="F868" s="257"/>
      <c r="G868" s="257"/>
      <c r="H868" s="101"/>
      <c r="I868" s="102" t="str">
        <f t="shared" si="21"/>
        <v/>
      </c>
    </row>
    <row r="869" spans="1:9" ht="13" x14ac:dyDescent="0.15">
      <c r="A869" s="257"/>
      <c r="B869" s="257"/>
      <c r="C869" s="257"/>
      <c r="D869" s="257"/>
      <c r="E869" s="257"/>
      <c r="F869" s="257"/>
      <c r="G869" s="257"/>
      <c r="H869" s="101"/>
      <c r="I869" s="102" t="str">
        <f t="shared" si="21"/>
        <v/>
      </c>
    </row>
    <row r="870" spans="1:9" ht="13" x14ac:dyDescent="0.15">
      <c r="A870" s="257"/>
      <c r="B870" s="257"/>
      <c r="C870" s="257"/>
      <c r="D870" s="257"/>
      <c r="E870" s="257"/>
      <c r="F870" s="257"/>
      <c r="G870" s="257"/>
      <c r="H870" s="101"/>
      <c r="I870" s="102" t="str">
        <f t="shared" si="21"/>
        <v/>
      </c>
    </row>
    <row r="871" spans="1:9" ht="13" x14ac:dyDescent="0.15">
      <c r="A871" s="257"/>
      <c r="B871" s="257"/>
      <c r="C871" s="257"/>
      <c r="D871" s="257"/>
      <c r="E871" s="257"/>
      <c r="F871" s="257"/>
      <c r="G871" s="257"/>
      <c r="H871" s="101"/>
      <c r="I871" s="102" t="str">
        <f t="shared" si="21"/>
        <v/>
      </c>
    </row>
    <row r="872" spans="1:9" ht="13" x14ac:dyDescent="0.15">
      <c r="A872" s="257"/>
      <c r="B872" s="257"/>
      <c r="C872" s="257"/>
      <c r="D872" s="257"/>
      <c r="E872" s="257"/>
      <c r="F872" s="257"/>
      <c r="G872" s="257"/>
      <c r="H872" s="101"/>
      <c r="I872" s="102" t="str">
        <f t="shared" si="21"/>
        <v/>
      </c>
    </row>
    <row r="873" spans="1:9" ht="13" x14ac:dyDescent="0.15">
      <c r="A873" s="257"/>
      <c r="B873" s="257"/>
      <c r="C873" s="257"/>
      <c r="D873" s="257"/>
      <c r="E873" s="257"/>
      <c r="F873" s="257"/>
      <c r="G873" s="257"/>
      <c r="H873" s="101"/>
      <c r="I873" s="102" t="str">
        <f t="shared" si="21"/>
        <v/>
      </c>
    </row>
    <row r="874" spans="1:9" ht="13" x14ac:dyDescent="0.15">
      <c r="A874" s="257"/>
      <c r="B874" s="257"/>
      <c r="C874" s="257"/>
      <c r="D874" s="257"/>
      <c r="E874" s="257"/>
      <c r="F874" s="257"/>
      <c r="G874" s="257"/>
      <c r="H874" s="101"/>
      <c r="I874" s="102" t="str">
        <f t="shared" si="21"/>
        <v/>
      </c>
    </row>
    <row r="875" spans="1:9" ht="13" x14ac:dyDescent="0.15">
      <c r="A875" s="257"/>
      <c r="B875" s="257"/>
      <c r="C875" s="257"/>
      <c r="D875" s="257"/>
      <c r="E875" s="257"/>
      <c r="F875" s="257"/>
      <c r="G875" s="257"/>
      <c r="H875" s="101"/>
      <c r="I875" s="102" t="str">
        <f t="shared" si="21"/>
        <v/>
      </c>
    </row>
    <row r="876" spans="1:9" ht="13" x14ac:dyDescent="0.15">
      <c r="A876" s="257"/>
      <c r="B876" s="257"/>
      <c r="C876" s="257"/>
      <c r="D876" s="257"/>
      <c r="E876" s="257"/>
      <c r="F876" s="257"/>
      <c r="G876" s="257"/>
      <c r="H876" s="101"/>
      <c r="I876" s="102" t="str">
        <f t="shared" si="21"/>
        <v/>
      </c>
    </row>
    <row r="877" spans="1:9" ht="13" x14ac:dyDescent="0.15">
      <c r="A877" s="257"/>
      <c r="B877" s="257"/>
      <c r="C877" s="257"/>
      <c r="D877" s="257"/>
      <c r="E877" s="257"/>
      <c r="F877" s="257"/>
      <c r="G877" s="257"/>
      <c r="H877" s="101"/>
      <c r="I877" s="102" t="str">
        <f t="shared" si="21"/>
        <v/>
      </c>
    </row>
    <row r="878" spans="1:9" ht="13" x14ac:dyDescent="0.15">
      <c r="A878" s="257"/>
      <c r="B878" s="257"/>
      <c r="C878" s="257"/>
      <c r="D878" s="257"/>
      <c r="E878" s="257"/>
      <c r="F878" s="257"/>
      <c r="G878" s="257"/>
      <c r="H878" s="101"/>
      <c r="I878" s="102" t="str">
        <f t="shared" si="21"/>
        <v/>
      </c>
    </row>
    <row r="879" spans="1:9" ht="13" x14ac:dyDescent="0.15">
      <c r="A879" s="257"/>
      <c r="B879" s="257"/>
      <c r="C879" s="257"/>
      <c r="D879" s="257"/>
      <c r="E879" s="257"/>
      <c r="F879" s="257"/>
      <c r="G879" s="257"/>
      <c r="H879" s="101"/>
      <c r="I879" s="102" t="str">
        <f t="shared" si="21"/>
        <v/>
      </c>
    </row>
    <row r="880" spans="1:9" ht="13" x14ac:dyDescent="0.15">
      <c r="A880" s="257"/>
      <c r="B880" s="257"/>
      <c r="C880" s="257"/>
      <c r="D880" s="257"/>
      <c r="E880" s="257"/>
      <c r="F880" s="257"/>
      <c r="G880" s="257"/>
      <c r="H880" s="101"/>
      <c r="I880" s="102" t="str">
        <f t="shared" si="21"/>
        <v/>
      </c>
    </row>
    <row r="881" spans="1:9" ht="13" x14ac:dyDescent="0.15">
      <c r="A881" s="257"/>
      <c r="B881" s="257"/>
      <c r="C881" s="257"/>
      <c r="D881" s="257"/>
      <c r="E881" s="257"/>
      <c r="F881" s="257"/>
      <c r="G881" s="257"/>
      <c r="H881" s="101"/>
      <c r="I881" s="102" t="str">
        <f t="shared" si="21"/>
        <v/>
      </c>
    </row>
    <row r="882" spans="1:9" ht="13" x14ac:dyDescent="0.15">
      <c r="A882" s="257"/>
      <c r="B882" s="257"/>
      <c r="C882" s="257"/>
      <c r="D882" s="257"/>
      <c r="E882" s="257"/>
      <c r="F882" s="257"/>
      <c r="G882" s="257"/>
      <c r="H882" s="101"/>
      <c r="I882" s="102" t="str">
        <f t="shared" si="21"/>
        <v/>
      </c>
    </row>
    <row r="883" spans="1:9" ht="13" x14ac:dyDescent="0.15">
      <c r="A883" s="257"/>
      <c r="B883" s="257"/>
      <c r="C883" s="257"/>
      <c r="D883" s="257"/>
      <c r="E883" s="257"/>
      <c r="F883" s="257"/>
      <c r="G883" s="257"/>
      <c r="H883" s="101"/>
      <c r="I883" s="102" t="str">
        <f t="shared" si="21"/>
        <v/>
      </c>
    </row>
    <row r="884" spans="1:9" ht="13" x14ac:dyDescent="0.15">
      <c r="A884" s="257"/>
      <c r="B884" s="257"/>
      <c r="C884" s="257"/>
      <c r="D884" s="257"/>
      <c r="E884" s="257"/>
      <c r="F884" s="257"/>
      <c r="G884" s="257"/>
      <c r="H884" s="101"/>
      <c r="I884" s="102" t="str">
        <f t="shared" si="21"/>
        <v/>
      </c>
    </row>
    <row r="885" spans="1:9" ht="13" x14ac:dyDescent="0.15">
      <c r="A885" s="257"/>
      <c r="B885" s="257"/>
      <c r="C885" s="257"/>
      <c r="D885" s="257"/>
      <c r="E885" s="257"/>
      <c r="F885" s="257"/>
      <c r="G885" s="257"/>
      <c r="H885" s="101"/>
      <c r="I885" s="102" t="str">
        <f t="shared" si="21"/>
        <v/>
      </c>
    </row>
    <row r="886" spans="1:9" ht="13" x14ac:dyDescent="0.15">
      <c r="A886" s="257"/>
      <c r="B886" s="257"/>
      <c r="C886" s="257"/>
      <c r="D886" s="257"/>
      <c r="E886" s="257"/>
      <c r="F886" s="257"/>
      <c r="G886" s="257"/>
      <c r="H886" s="101"/>
      <c r="I886" s="102" t="str">
        <f t="shared" si="21"/>
        <v/>
      </c>
    </row>
    <row r="887" spans="1:9" ht="13" x14ac:dyDescent="0.15">
      <c r="A887" s="257"/>
      <c r="B887" s="257"/>
      <c r="C887" s="257"/>
      <c r="D887" s="257"/>
      <c r="E887" s="257"/>
      <c r="F887" s="257"/>
      <c r="G887" s="257"/>
      <c r="H887" s="101"/>
      <c r="I887" s="102" t="str">
        <f t="shared" si="21"/>
        <v/>
      </c>
    </row>
    <row r="888" spans="1:9" ht="13" x14ac:dyDescent="0.15">
      <c r="A888" s="257"/>
      <c r="B888" s="257"/>
      <c r="C888" s="257"/>
      <c r="D888" s="257"/>
      <c r="E888" s="257"/>
      <c r="F888" s="257"/>
      <c r="G888" s="257"/>
      <c r="H888" s="101"/>
      <c r="I888" s="102" t="str">
        <f t="shared" si="21"/>
        <v/>
      </c>
    </row>
    <row r="889" spans="1:9" ht="13" x14ac:dyDescent="0.15">
      <c r="A889" s="257"/>
      <c r="B889" s="257"/>
      <c r="C889" s="257"/>
      <c r="D889" s="257"/>
      <c r="E889" s="257"/>
      <c r="F889" s="257"/>
      <c r="G889" s="257"/>
      <c r="H889" s="101"/>
      <c r="I889" s="102" t="str">
        <f t="shared" si="21"/>
        <v/>
      </c>
    </row>
    <row r="890" spans="1:9" ht="13" x14ac:dyDescent="0.15">
      <c r="A890" s="257"/>
      <c r="B890" s="257"/>
      <c r="C890" s="257"/>
      <c r="D890" s="257"/>
      <c r="E890" s="257"/>
      <c r="F890" s="257"/>
      <c r="G890" s="257"/>
      <c r="H890" s="101"/>
      <c r="I890" s="102" t="str">
        <f t="shared" si="21"/>
        <v/>
      </c>
    </row>
    <row r="891" spans="1:9" ht="13" x14ac:dyDescent="0.15">
      <c r="A891" s="257"/>
      <c r="B891" s="257"/>
      <c r="C891" s="257"/>
      <c r="D891" s="257"/>
      <c r="E891" s="257"/>
      <c r="F891" s="257"/>
      <c r="G891" s="257"/>
      <c r="H891" s="101"/>
      <c r="I891" s="102" t="str">
        <f t="shared" si="21"/>
        <v/>
      </c>
    </row>
    <row r="892" spans="1:9" ht="13" x14ac:dyDescent="0.15">
      <c r="A892" s="257"/>
      <c r="B892" s="257"/>
      <c r="C892" s="257"/>
      <c r="D892" s="257"/>
      <c r="E892" s="257"/>
      <c r="F892" s="257"/>
      <c r="G892" s="257"/>
      <c r="H892" s="101"/>
      <c r="I892" s="102" t="str">
        <f t="shared" si="21"/>
        <v/>
      </c>
    </row>
    <row r="893" spans="1:9" ht="13" x14ac:dyDescent="0.15">
      <c r="A893" s="257"/>
      <c r="B893" s="257"/>
      <c r="C893" s="257"/>
      <c r="D893" s="257"/>
      <c r="E893" s="257"/>
      <c r="F893" s="257"/>
      <c r="G893" s="257"/>
      <c r="H893" s="101"/>
      <c r="I893" s="102" t="str">
        <f t="shared" si="21"/>
        <v/>
      </c>
    </row>
    <row r="894" spans="1:9" ht="13" x14ac:dyDescent="0.15">
      <c r="A894" s="257"/>
      <c r="B894" s="257"/>
      <c r="C894" s="257"/>
      <c r="D894" s="257"/>
      <c r="E894" s="257"/>
      <c r="F894" s="257"/>
      <c r="G894" s="257"/>
      <c r="H894" s="101"/>
      <c r="I894" s="102" t="str">
        <f t="shared" si="21"/>
        <v/>
      </c>
    </row>
    <row r="895" spans="1:9" ht="13" x14ac:dyDescent="0.15">
      <c r="A895" s="257"/>
      <c r="B895" s="257"/>
      <c r="C895" s="257"/>
      <c r="D895" s="257"/>
      <c r="E895" s="257"/>
      <c r="F895" s="257"/>
      <c r="G895" s="257"/>
      <c r="H895" s="101"/>
      <c r="I895" s="102" t="str">
        <f t="shared" si="21"/>
        <v/>
      </c>
    </row>
    <row r="896" spans="1:9" ht="13" x14ac:dyDescent="0.15">
      <c r="A896" s="257"/>
      <c r="B896" s="257"/>
      <c r="C896" s="257"/>
      <c r="D896" s="257"/>
      <c r="E896" s="257"/>
      <c r="F896" s="257"/>
      <c r="G896" s="257"/>
      <c r="H896" s="101"/>
      <c r="I896" s="102" t="str">
        <f t="shared" si="21"/>
        <v/>
      </c>
    </row>
    <row r="897" spans="1:9" ht="13" x14ac:dyDescent="0.15">
      <c r="A897" s="257"/>
      <c r="B897" s="257"/>
      <c r="C897" s="257"/>
      <c r="D897" s="257"/>
      <c r="E897" s="257"/>
      <c r="F897" s="257"/>
      <c r="G897" s="257"/>
      <c r="H897" s="101"/>
      <c r="I897" s="102" t="str">
        <f t="shared" si="21"/>
        <v/>
      </c>
    </row>
    <row r="898" spans="1:9" ht="13" x14ac:dyDescent="0.15">
      <c r="A898" s="257"/>
      <c r="B898" s="257"/>
      <c r="C898" s="257"/>
      <c r="D898" s="257"/>
      <c r="E898" s="257"/>
      <c r="F898" s="257"/>
      <c r="G898" s="257"/>
      <c r="H898" s="101"/>
      <c r="I898" s="102" t="str">
        <f t="shared" ref="I898:I912" si="22">IF(ISNUMBER(H898),IF(ABS(H898-$L$14)&gt;$M$16,"OUT",""),"")</f>
        <v/>
      </c>
    </row>
    <row r="899" spans="1:9" ht="13" x14ac:dyDescent="0.15">
      <c r="A899" s="257"/>
      <c r="B899" s="257"/>
      <c r="C899" s="257"/>
      <c r="D899" s="257"/>
      <c r="E899" s="257"/>
      <c r="F899" s="257"/>
      <c r="G899" s="257"/>
      <c r="H899" s="101"/>
      <c r="I899" s="102" t="str">
        <f t="shared" si="22"/>
        <v/>
      </c>
    </row>
    <row r="900" spans="1:9" ht="13" x14ac:dyDescent="0.15">
      <c r="A900" s="257"/>
      <c r="B900" s="257"/>
      <c r="C900" s="257"/>
      <c r="D900" s="257"/>
      <c r="E900" s="257"/>
      <c r="F900" s="257"/>
      <c r="G900" s="257"/>
      <c r="H900" s="101"/>
      <c r="I900" s="102" t="str">
        <f t="shared" si="22"/>
        <v/>
      </c>
    </row>
    <row r="901" spans="1:9" ht="13" x14ac:dyDescent="0.15">
      <c r="A901" s="257"/>
      <c r="B901" s="257"/>
      <c r="C901" s="257"/>
      <c r="D901" s="257"/>
      <c r="E901" s="257"/>
      <c r="F901" s="257"/>
      <c r="G901" s="257"/>
      <c r="H901" s="101"/>
      <c r="I901" s="102" t="str">
        <f t="shared" si="22"/>
        <v/>
      </c>
    </row>
    <row r="902" spans="1:9" ht="13" x14ac:dyDescent="0.15">
      <c r="A902" s="257"/>
      <c r="B902" s="257"/>
      <c r="C902" s="257"/>
      <c r="D902" s="257"/>
      <c r="E902" s="257"/>
      <c r="F902" s="257"/>
      <c r="G902" s="257"/>
      <c r="H902" s="101"/>
      <c r="I902" s="102" t="str">
        <f t="shared" si="22"/>
        <v/>
      </c>
    </row>
    <row r="903" spans="1:9" ht="13" x14ac:dyDescent="0.15">
      <c r="A903" s="257"/>
      <c r="B903" s="257"/>
      <c r="C903" s="257"/>
      <c r="D903" s="257"/>
      <c r="E903" s="257"/>
      <c r="F903" s="257"/>
      <c r="G903" s="257"/>
      <c r="H903" s="101"/>
      <c r="I903" s="102" t="str">
        <f t="shared" si="22"/>
        <v/>
      </c>
    </row>
    <row r="904" spans="1:9" ht="13" x14ac:dyDescent="0.15">
      <c r="A904" s="257"/>
      <c r="B904" s="257"/>
      <c r="C904" s="257"/>
      <c r="D904" s="257"/>
      <c r="E904" s="257"/>
      <c r="F904" s="257"/>
      <c r="G904" s="257"/>
      <c r="H904" s="101"/>
      <c r="I904" s="102" t="str">
        <f t="shared" si="22"/>
        <v/>
      </c>
    </row>
    <row r="905" spans="1:9" ht="13" x14ac:dyDescent="0.15">
      <c r="A905" s="257"/>
      <c r="B905" s="257"/>
      <c r="C905" s="257"/>
      <c r="D905" s="257"/>
      <c r="E905" s="257"/>
      <c r="F905" s="257"/>
      <c r="G905" s="257"/>
      <c r="H905" s="101"/>
      <c r="I905" s="102" t="str">
        <f t="shared" si="22"/>
        <v/>
      </c>
    </row>
    <row r="906" spans="1:9" ht="13" x14ac:dyDescent="0.15">
      <c r="A906" s="257"/>
      <c r="B906" s="257"/>
      <c r="C906" s="257"/>
      <c r="D906" s="257"/>
      <c r="E906" s="257"/>
      <c r="F906" s="257"/>
      <c r="G906" s="257"/>
      <c r="H906" s="101"/>
      <c r="I906" s="102" t="str">
        <f t="shared" si="22"/>
        <v/>
      </c>
    </row>
    <row r="907" spans="1:9" ht="13" x14ac:dyDescent="0.15">
      <c r="A907" s="257"/>
      <c r="B907" s="257"/>
      <c r="C907" s="257"/>
      <c r="D907" s="257"/>
      <c r="E907" s="257"/>
      <c r="F907" s="257"/>
      <c r="G907" s="257"/>
      <c r="H907" s="101"/>
      <c r="I907" s="102" t="str">
        <f t="shared" si="22"/>
        <v/>
      </c>
    </row>
    <row r="908" spans="1:9" ht="13" x14ac:dyDescent="0.15">
      <c r="A908" s="257"/>
      <c r="B908" s="257"/>
      <c r="C908" s="257"/>
      <c r="D908" s="257"/>
      <c r="E908" s="257"/>
      <c r="F908" s="257"/>
      <c r="G908" s="257"/>
      <c r="H908" s="101"/>
      <c r="I908" s="102" t="str">
        <f t="shared" si="22"/>
        <v/>
      </c>
    </row>
    <row r="909" spans="1:9" ht="13" x14ac:dyDescent="0.15">
      <c r="A909" s="257"/>
      <c r="B909" s="257"/>
      <c r="C909" s="257"/>
      <c r="D909" s="257"/>
      <c r="E909" s="257"/>
      <c r="F909" s="257"/>
      <c r="G909" s="257"/>
      <c r="H909" s="101"/>
      <c r="I909" s="102" t="str">
        <f t="shared" si="22"/>
        <v/>
      </c>
    </row>
    <row r="910" spans="1:9" ht="13" x14ac:dyDescent="0.15">
      <c r="A910" s="257"/>
      <c r="B910" s="257"/>
      <c r="C910" s="257"/>
      <c r="D910" s="257"/>
      <c r="E910" s="257"/>
      <c r="F910" s="257"/>
      <c r="G910" s="257"/>
      <c r="H910" s="101"/>
      <c r="I910" s="102" t="str">
        <f t="shared" si="22"/>
        <v/>
      </c>
    </row>
    <row r="911" spans="1:9" ht="13" x14ac:dyDescent="0.15">
      <c r="A911" s="257"/>
      <c r="B911" s="257"/>
      <c r="C911" s="257"/>
      <c r="D911" s="257"/>
      <c r="E911" s="257"/>
      <c r="F911" s="257"/>
      <c r="G911" s="257"/>
      <c r="H911" s="101"/>
      <c r="I911" s="102" t="str">
        <f t="shared" si="22"/>
        <v/>
      </c>
    </row>
    <row r="912" spans="1:9" ht="13" x14ac:dyDescent="0.15">
      <c r="A912" s="257"/>
      <c r="B912" s="257"/>
      <c r="C912" s="257"/>
      <c r="D912" s="257"/>
      <c r="E912" s="257"/>
      <c r="F912" s="257"/>
      <c r="G912" s="257"/>
      <c r="H912" s="101"/>
      <c r="I912" s="102" t="str">
        <f t="shared" si="22"/>
        <v/>
      </c>
    </row>
    <row r="913" spans="1:8" ht="13" x14ac:dyDescent="0.15">
      <c r="A913" s="257"/>
      <c r="B913" s="257"/>
      <c r="C913" s="257"/>
      <c r="D913" s="257"/>
      <c r="E913" s="257"/>
      <c r="F913" s="257"/>
      <c r="G913" s="257"/>
      <c r="H913" s="101"/>
    </row>
    <row r="914" spans="1:8" ht="13" x14ac:dyDescent="0.15">
      <c r="A914" s="257"/>
      <c r="B914" s="257"/>
      <c r="C914" s="257"/>
      <c r="D914" s="257"/>
      <c r="E914" s="257"/>
      <c r="F914" s="257"/>
      <c r="G914" s="257"/>
      <c r="H914" s="101"/>
    </row>
    <row r="915" spans="1:8" ht="13" x14ac:dyDescent="0.15">
      <c r="A915" s="257"/>
      <c r="B915" s="257"/>
      <c r="C915" s="257"/>
      <c r="D915" s="257"/>
      <c r="E915" s="257"/>
      <c r="F915" s="257"/>
      <c r="G915" s="257"/>
      <c r="H915" s="101"/>
    </row>
    <row r="916" spans="1:8" ht="13" x14ac:dyDescent="0.15">
      <c r="A916" s="257"/>
      <c r="B916" s="257"/>
      <c r="C916" s="257"/>
      <c r="D916" s="257"/>
      <c r="E916" s="257"/>
      <c r="F916" s="257"/>
      <c r="G916" s="257"/>
      <c r="H916" s="101"/>
    </row>
    <row r="917" spans="1:8" ht="13" x14ac:dyDescent="0.15">
      <c r="A917" s="257"/>
      <c r="B917" s="257"/>
      <c r="C917" s="257"/>
      <c r="D917" s="257"/>
      <c r="E917" s="257"/>
      <c r="F917" s="257"/>
      <c r="G917" s="257"/>
      <c r="H917" s="101"/>
    </row>
    <row r="918" spans="1:8" ht="13" x14ac:dyDescent="0.15">
      <c r="A918" s="257"/>
      <c r="B918" s="257"/>
      <c r="C918" s="257"/>
      <c r="D918" s="257"/>
      <c r="E918" s="257"/>
      <c r="F918" s="257"/>
      <c r="G918" s="257"/>
      <c r="H918" s="101"/>
    </row>
    <row r="919" spans="1:8" ht="13" x14ac:dyDescent="0.15">
      <c r="A919" s="257"/>
      <c r="B919" s="257"/>
      <c r="C919" s="257"/>
      <c r="D919" s="257"/>
      <c r="E919" s="257"/>
      <c r="F919" s="257"/>
      <c r="G919" s="257"/>
      <c r="H919" s="101"/>
    </row>
    <row r="920" spans="1:8" ht="13" x14ac:dyDescent="0.15">
      <c r="A920" s="257"/>
      <c r="B920" s="257"/>
      <c r="C920" s="257"/>
      <c r="D920" s="257"/>
      <c r="E920" s="257"/>
      <c r="F920" s="257"/>
      <c r="G920" s="257"/>
      <c r="H920" s="101"/>
    </row>
    <row r="921" spans="1:8" ht="13" x14ac:dyDescent="0.15">
      <c r="A921" s="257"/>
      <c r="B921" s="257"/>
      <c r="C921" s="257"/>
      <c r="D921" s="257"/>
      <c r="E921" s="257"/>
      <c r="F921" s="257"/>
      <c r="G921" s="257"/>
      <c r="H921" s="101"/>
    </row>
    <row r="922" spans="1:8" ht="13" x14ac:dyDescent="0.15">
      <c r="A922" s="257"/>
      <c r="B922" s="257"/>
      <c r="C922" s="257"/>
      <c r="D922" s="257"/>
      <c r="E922" s="257"/>
      <c r="F922" s="257"/>
      <c r="G922" s="257"/>
      <c r="H922" s="101"/>
    </row>
    <row r="923" spans="1:8" ht="13" x14ac:dyDescent="0.15">
      <c r="A923" s="257"/>
      <c r="B923" s="257"/>
      <c r="C923" s="257"/>
      <c r="D923" s="257"/>
      <c r="E923" s="257"/>
      <c r="F923" s="257"/>
      <c r="G923" s="257"/>
      <c r="H923" s="101"/>
    </row>
    <row r="924" spans="1:8" ht="13" x14ac:dyDescent="0.15">
      <c r="A924" s="257"/>
      <c r="B924" s="257"/>
      <c r="C924" s="257"/>
      <c r="D924" s="257"/>
      <c r="E924" s="257"/>
      <c r="F924" s="257"/>
      <c r="G924" s="257"/>
      <c r="H924" s="101"/>
    </row>
    <row r="925" spans="1:8" ht="13" x14ac:dyDescent="0.15">
      <c r="A925" s="257"/>
      <c r="B925" s="257"/>
      <c r="C925" s="257"/>
      <c r="D925" s="257"/>
      <c r="E925" s="257"/>
      <c r="F925" s="257"/>
      <c r="G925" s="257"/>
      <c r="H925" s="101"/>
    </row>
    <row r="926" spans="1:8" ht="13" x14ac:dyDescent="0.15">
      <c r="A926" s="257"/>
      <c r="B926" s="257"/>
      <c r="C926" s="257"/>
      <c r="D926" s="257"/>
      <c r="E926" s="257"/>
      <c r="F926" s="257"/>
      <c r="G926" s="257"/>
      <c r="H926" s="101"/>
    </row>
    <row r="927" spans="1:8" ht="13" x14ac:dyDescent="0.15">
      <c r="A927" s="257"/>
      <c r="B927" s="257"/>
      <c r="C927" s="257"/>
      <c r="D927" s="257"/>
      <c r="E927" s="257"/>
      <c r="F927" s="257"/>
      <c r="G927" s="257"/>
      <c r="H927" s="101"/>
    </row>
    <row r="928" spans="1:8" ht="13" x14ac:dyDescent="0.15">
      <c r="A928" s="257"/>
      <c r="B928" s="257"/>
      <c r="C928" s="257"/>
      <c r="D928" s="257"/>
      <c r="E928" s="257"/>
      <c r="F928" s="257"/>
      <c r="G928" s="257"/>
      <c r="H928" s="101"/>
    </row>
    <row r="929" spans="1:8" ht="13" x14ac:dyDescent="0.15">
      <c r="A929" s="257"/>
      <c r="B929" s="257"/>
      <c r="C929" s="257"/>
      <c r="D929" s="257"/>
      <c r="E929" s="257"/>
      <c r="F929" s="257"/>
      <c r="G929" s="257"/>
      <c r="H929" s="101"/>
    </row>
    <row r="930" spans="1:8" ht="13" x14ac:dyDescent="0.15">
      <c r="A930" s="257"/>
      <c r="B930" s="257"/>
      <c r="C930" s="257"/>
      <c r="D930" s="257"/>
      <c r="E930" s="257"/>
      <c r="F930" s="257"/>
      <c r="G930" s="257"/>
      <c r="H930" s="101"/>
    </row>
    <row r="931" spans="1:8" ht="13" x14ac:dyDescent="0.15">
      <c r="A931" s="257"/>
      <c r="B931" s="257"/>
      <c r="C931" s="257"/>
      <c r="D931" s="257"/>
      <c r="E931" s="257"/>
      <c r="F931" s="257"/>
      <c r="G931" s="257"/>
      <c r="H931" s="101"/>
    </row>
    <row r="932" spans="1:8" ht="13" x14ac:dyDescent="0.15">
      <c r="A932" s="257"/>
      <c r="B932" s="257"/>
      <c r="C932" s="257"/>
      <c r="D932" s="257"/>
      <c r="E932" s="257"/>
      <c r="F932" s="257"/>
      <c r="G932" s="257"/>
      <c r="H932" s="101"/>
    </row>
    <row r="933" spans="1:8" ht="13" x14ac:dyDescent="0.15">
      <c r="A933" s="257"/>
      <c r="B933" s="257"/>
      <c r="C933" s="257"/>
      <c r="D933" s="257"/>
      <c r="E933" s="257"/>
      <c r="F933" s="257"/>
      <c r="G933" s="257"/>
      <c r="H933" s="101"/>
    </row>
    <row r="934" spans="1:8" ht="13" x14ac:dyDescent="0.15">
      <c r="A934" s="257"/>
      <c r="B934" s="257"/>
      <c r="C934" s="257"/>
      <c r="D934" s="257"/>
      <c r="E934" s="257"/>
      <c r="F934" s="257"/>
      <c r="G934" s="257"/>
      <c r="H934" s="101"/>
    </row>
    <row r="935" spans="1:8" ht="13" x14ac:dyDescent="0.15">
      <c r="A935" s="257"/>
      <c r="B935" s="257"/>
      <c r="C935" s="257"/>
      <c r="D935" s="257"/>
      <c r="E935" s="257"/>
      <c r="F935" s="257"/>
      <c r="G935" s="257"/>
      <c r="H935" s="101"/>
    </row>
    <row r="936" spans="1:8" ht="13" x14ac:dyDescent="0.15">
      <c r="A936" s="257"/>
      <c r="B936" s="257"/>
      <c r="C936" s="257"/>
      <c r="D936" s="257"/>
      <c r="E936" s="257"/>
      <c r="F936" s="257"/>
      <c r="G936" s="257"/>
      <c r="H936" s="101"/>
    </row>
    <row r="937" spans="1:8" ht="13" x14ac:dyDescent="0.15">
      <c r="A937" s="257"/>
      <c r="B937" s="257"/>
      <c r="C937" s="257"/>
      <c r="D937" s="257"/>
      <c r="E937" s="257"/>
      <c r="F937" s="257"/>
      <c r="G937" s="257"/>
      <c r="H937" s="101"/>
    </row>
    <row r="938" spans="1:8" ht="13" x14ac:dyDescent="0.15">
      <c r="A938" s="257"/>
      <c r="B938" s="257"/>
      <c r="C938" s="257"/>
      <c r="D938" s="257"/>
      <c r="E938" s="257"/>
      <c r="F938" s="257"/>
      <c r="G938" s="257"/>
      <c r="H938" s="101"/>
    </row>
    <row r="939" spans="1:8" ht="13" x14ac:dyDescent="0.15">
      <c r="A939" s="257"/>
      <c r="B939" s="257"/>
      <c r="C939" s="257"/>
      <c r="D939" s="257"/>
      <c r="E939" s="257"/>
      <c r="F939" s="257"/>
      <c r="G939" s="257"/>
      <c r="H939" s="101"/>
    </row>
    <row r="940" spans="1:8" ht="13" x14ac:dyDescent="0.15">
      <c r="A940" s="257"/>
      <c r="B940" s="257"/>
      <c r="C940" s="257"/>
      <c r="D940" s="257"/>
      <c r="E940" s="257"/>
      <c r="F940" s="257"/>
      <c r="G940" s="257"/>
      <c r="H940" s="101"/>
    </row>
    <row r="941" spans="1:8" ht="13" x14ac:dyDescent="0.15">
      <c r="A941" s="257"/>
      <c r="B941" s="257"/>
      <c r="C941" s="257"/>
      <c r="D941" s="257"/>
      <c r="E941" s="257"/>
      <c r="F941" s="257"/>
      <c r="G941" s="257"/>
      <c r="H941" s="101"/>
    </row>
    <row r="942" spans="1:8" ht="13" x14ac:dyDescent="0.15">
      <c r="A942" s="257"/>
      <c r="B942" s="257"/>
      <c r="C942" s="257"/>
      <c r="D942" s="257"/>
      <c r="E942" s="257"/>
      <c r="F942" s="257"/>
      <c r="G942" s="257"/>
      <c r="H942" s="101"/>
    </row>
    <row r="943" spans="1:8" ht="13" x14ac:dyDescent="0.15">
      <c r="A943" s="257"/>
      <c r="B943" s="257"/>
      <c r="C943" s="257"/>
      <c r="D943" s="257"/>
      <c r="E943" s="257"/>
      <c r="F943" s="257"/>
      <c r="G943" s="257"/>
      <c r="H943" s="101"/>
    </row>
    <row r="944" spans="1:8" ht="13" x14ac:dyDescent="0.15">
      <c r="A944" s="257"/>
      <c r="B944" s="257"/>
      <c r="C944" s="257"/>
      <c r="D944" s="257"/>
      <c r="E944" s="257"/>
      <c r="F944" s="257"/>
      <c r="G944" s="257"/>
      <c r="H944" s="101"/>
    </row>
    <row r="945" spans="1:8" ht="13" x14ac:dyDescent="0.15">
      <c r="A945" s="257"/>
      <c r="B945" s="257"/>
      <c r="C945" s="257"/>
      <c r="D945" s="257"/>
      <c r="E945" s="257"/>
      <c r="F945" s="257"/>
      <c r="G945" s="257"/>
      <c r="H945" s="101"/>
    </row>
    <row r="946" spans="1:8" ht="13" x14ac:dyDescent="0.15">
      <c r="A946" s="257"/>
      <c r="B946" s="257"/>
      <c r="C946" s="257"/>
      <c r="D946" s="257"/>
      <c r="E946" s="257"/>
      <c r="F946" s="257"/>
      <c r="G946" s="257"/>
      <c r="H946" s="101"/>
    </row>
    <row r="947" spans="1:8" ht="13" x14ac:dyDescent="0.15">
      <c r="A947" s="257"/>
      <c r="B947" s="257"/>
      <c r="C947" s="257"/>
      <c r="D947" s="257"/>
      <c r="E947" s="257"/>
      <c r="F947" s="257"/>
      <c r="G947" s="257"/>
      <c r="H947" s="101"/>
    </row>
    <row r="948" spans="1:8" ht="13" x14ac:dyDescent="0.15">
      <c r="A948" s="257"/>
      <c r="B948" s="257"/>
      <c r="C948" s="257"/>
      <c r="D948" s="257"/>
      <c r="E948" s="257"/>
      <c r="F948" s="257"/>
      <c r="G948" s="257"/>
      <c r="H948" s="101"/>
    </row>
    <row r="949" spans="1:8" ht="13" x14ac:dyDescent="0.15">
      <c r="A949" s="257"/>
      <c r="B949" s="257"/>
      <c r="C949" s="257"/>
      <c r="D949" s="257"/>
      <c r="E949" s="257"/>
      <c r="F949" s="257"/>
      <c r="G949" s="257"/>
      <c r="H949" s="101"/>
    </row>
    <row r="950" spans="1:8" ht="13" x14ac:dyDescent="0.15">
      <c r="A950" s="257"/>
      <c r="B950" s="257"/>
      <c r="C950" s="257"/>
      <c r="D950" s="257"/>
      <c r="E950" s="257"/>
      <c r="F950" s="257"/>
      <c r="G950" s="257"/>
      <c r="H950" s="101"/>
    </row>
    <row r="951" spans="1:8" ht="13" x14ac:dyDescent="0.15">
      <c r="A951" s="257"/>
      <c r="B951" s="257"/>
      <c r="C951" s="257"/>
      <c r="D951" s="257"/>
      <c r="E951" s="257"/>
      <c r="F951" s="257"/>
      <c r="G951" s="257"/>
      <c r="H951" s="101"/>
    </row>
    <row r="952" spans="1:8" ht="13" x14ac:dyDescent="0.15">
      <c r="A952" s="257"/>
      <c r="B952" s="257"/>
      <c r="C952" s="257"/>
      <c r="D952" s="257"/>
      <c r="E952" s="257"/>
      <c r="F952" s="257"/>
      <c r="G952" s="257"/>
      <c r="H952" s="101"/>
    </row>
    <row r="953" spans="1:8" ht="13" x14ac:dyDescent="0.15">
      <c r="A953" s="257"/>
      <c r="B953" s="257"/>
      <c r="C953" s="257"/>
      <c r="D953" s="257"/>
      <c r="E953" s="257"/>
      <c r="F953" s="257"/>
      <c r="G953" s="257"/>
      <c r="H953" s="101"/>
    </row>
    <row r="954" spans="1:8" ht="13" x14ac:dyDescent="0.15">
      <c r="A954" s="257"/>
      <c r="B954" s="257"/>
      <c r="C954" s="257"/>
      <c r="D954" s="257"/>
      <c r="E954" s="257"/>
      <c r="F954" s="257"/>
      <c r="G954" s="257"/>
      <c r="H954" s="101"/>
    </row>
    <row r="955" spans="1:8" ht="13" x14ac:dyDescent="0.15">
      <c r="A955" s="257"/>
      <c r="B955" s="257"/>
      <c r="C955" s="257"/>
      <c r="D955" s="257"/>
      <c r="E955" s="257"/>
      <c r="F955" s="257"/>
      <c r="G955" s="257"/>
      <c r="H955" s="101"/>
    </row>
    <row r="956" spans="1:8" ht="13" x14ac:dyDescent="0.15">
      <c r="A956" s="257"/>
      <c r="B956" s="257"/>
      <c r="C956" s="257"/>
      <c r="D956" s="257"/>
      <c r="E956" s="257"/>
      <c r="F956" s="257"/>
      <c r="G956" s="257"/>
      <c r="H956" s="101"/>
    </row>
    <row r="957" spans="1:8" ht="13" x14ac:dyDescent="0.15">
      <c r="A957" s="257"/>
      <c r="B957" s="257"/>
      <c r="C957" s="257"/>
      <c r="D957" s="257"/>
      <c r="E957" s="257"/>
      <c r="F957" s="257"/>
      <c r="G957" s="257"/>
      <c r="H957" s="101"/>
    </row>
    <row r="958" spans="1:8" ht="13" x14ac:dyDescent="0.15">
      <c r="A958" s="257"/>
      <c r="B958" s="257"/>
      <c r="C958" s="257"/>
      <c r="D958" s="257"/>
      <c r="E958" s="257"/>
      <c r="F958" s="257"/>
      <c r="G958" s="257"/>
      <c r="H958" s="101"/>
    </row>
    <row r="959" spans="1:8" ht="13" x14ac:dyDescent="0.15">
      <c r="A959" s="257"/>
      <c r="B959" s="257"/>
      <c r="C959" s="257"/>
      <c r="D959" s="257"/>
      <c r="E959" s="257"/>
      <c r="F959" s="257"/>
      <c r="G959" s="257"/>
      <c r="H959" s="101"/>
    </row>
    <row r="960" spans="1:8" ht="13" x14ac:dyDescent="0.15">
      <c r="A960" s="257"/>
      <c r="B960" s="257"/>
      <c r="C960" s="257"/>
      <c r="D960" s="257"/>
      <c r="E960" s="257"/>
      <c r="F960" s="257"/>
      <c r="G960" s="257"/>
      <c r="H960" s="101"/>
    </row>
    <row r="961" spans="1:8" ht="13" x14ac:dyDescent="0.15">
      <c r="A961" s="257"/>
      <c r="B961" s="257"/>
      <c r="C961" s="257"/>
      <c r="D961" s="257"/>
      <c r="E961" s="257"/>
      <c r="F961" s="257"/>
      <c r="G961" s="257"/>
      <c r="H961" s="101"/>
    </row>
    <row r="962" spans="1:8" ht="13" x14ac:dyDescent="0.15">
      <c r="A962" s="257"/>
      <c r="B962" s="257"/>
      <c r="C962" s="257"/>
      <c r="D962" s="257"/>
      <c r="E962" s="257"/>
      <c r="F962" s="257"/>
      <c r="G962" s="257"/>
      <c r="H962" s="101"/>
    </row>
    <row r="963" spans="1:8" ht="13" x14ac:dyDescent="0.15">
      <c r="A963" s="257"/>
      <c r="B963" s="257"/>
      <c r="C963" s="257"/>
      <c r="D963" s="257"/>
      <c r="E963" s="257"/>
      <c r="F963" s="257"/>
      <c r="G963" s="257"/>
      <c r="H963" s="101"/>
    </row>
    <row r="964" spans="1:8" ht="13" x14ac:dyDescent="0.15">
      <c r="A964" s="257"/>
      <c r="B964" s="257"/>
      <c r="C964" s="257"/>
      <c r="D964" s="257"/>
      <c r="E964" s="257"/>
      <c r="F964" s="257"/>
      <c r="G964" s="257"/>
      <c r="H964" s="101"/>
    </row>
    <row r="965" spans="1:8" ht="13" x14ac:dyDescent="0.15">
      <c r="A965" s="257"/>
      <c r="B965" s="257"/>
      <c r="C965" s="257"/>
      <c r="D965" s="257"/>
      <c r="E965" s="257"/>
      <c r="F965" s="257"/>
      <c r="G965" s="257"/>
      <c r="H965" s="101"/>
    </row>
    <row r="966" spans="1:8" ht="13" x14ac:dyDescent="0.15">
      <c r="A966" s="257"/>
      <c r="B966" s="257"/>
      <c r="C966" s="257"/>
      <c r="D966" s="257"/>
      <c r="E966" s="257"/>
      <c r="F966" s="257"/>
      <c r="G966" s="257"/>
      <c r="H966" s="101"/>
    </row>
    <row r="967" spans="1:8" ht="13" x14ac:dyDescent="0.15">
      <c r="A967" s="257"/>
      <c r="B967" s="257"/>
      <c r="C967" s="257"/>
      <c r="D967" s="257"/>
      <c r="E967" s="257"/>
      <c r="F967" s="257"/>
      <c r="G967" s="257"/>
      <c r="H967" s="101"/>
    </row>
    <row r="968" spans="1:8" ht="13" x14ac:dyDescent="0.15">
      <c r="A968" s="257"/>
      <c r="B968" s="257"/>
      <c r="C968" s="257"/>
      <c r="D968" s="257"/>
      <c r="E968" s="257"/>
      <c r="F968" s="257"/>
      <c r="G968" s="257"/>
      <c r="H968" s="101"/>
    </row>
    <row r="969" spans="1:8" ht="13" x14ac:dyDescent="0.15">
      <c r="A969" s="257"/>
      <c r="B969" s="257"/>
      <c r="C969" s="257"/>
      <c r="D969" s="257"/>
      <c r="E969" s="257"/>
      <c r="F969" s="257"/>
      <c r="G969" s="257"/>
      <c r="H969" s="101"/>
    </row>
    <row r="970" spans="1:8" ht="13" x14ac:dyDescent="0.15">
      <c r="A970" s="257"/>
      <c r="B970" s="257"/>
      <c r="C970" s="257"/>
      <c r="D970" s="257"/>
      <c r="E970" s="257"/>
      <c r="F970" s="257"/>
      <c r="G970" s="257"/>
      <c r="H970" s="101"/>
    </row>
    <row r="971" spans="1:8" ht="13" x14ac:dyDescent="0.15">
      <c r="A971" s="257"/>
      <c r="B971" s="257"/>
      <c r="C971" s="257"/>
      <c r="D971" s="257"/>
      <c r="E971" s="257"/>
      <c r="F971" s="257"/>
      <c r="G971" s="257"/>
      <c r="H971" s="101"/>
    </row>
    <row r="972" spans="1:8" ht="13" x14ac:dyDescent="0.15">
      <c r="A972" s="257"/>
      <c r="B972" s="257"/>
      <c r="C972" s="257"/>
      <c r="D972" s="257"/>
      <c r="E972" s="257"/>
      <c r="F972" s="257"/>
      <c r="G972" s="257"/>
      <c r="H972" s="101"/>
    </row>
    <row r="973" spans="1:8" ht="13" x14ac:dyDescent="0.15">
      <c r="A973" s="257"/>
      <c r="B973" s="257"/>
      <c r="C973" s="257"/>
      <c r="D973" s="257"/>
      <c r="E973" s="257"/>
      <c r="F973" s="257"/>
      <c r="G973" s="257"/>
      <c r="H973" s="101"/>
    </row>
    <row r="974" spans="1:8" ht="13" x14ac:dyDescent="0.15">
      <c r="A974" s="257"/>
      <c r="B974" s="257"/>
      <c r="C974" s="257"/>
      <c r="D974" s="257"/>
      <c r="E974" s="257"/>
      <c r="F974" s="257"/>
      <c r="G974" s="257"/>
      <c r="H974" s="101"/>
    </row>
    <row r="975" spans="1:8" ht="13" x14ac:dyDescent="0.15">
      <c r="A975" s="257"/>
      <c r="B975" s="257"/>
      <c r="C975" s="257"/>
      <c r="D975" s="257"/>
      <c r="E975" s="257"/>
      <c r="F975" s="257"/>
      <c r="G975" s="257"/>
      <c r="H975" s="101"/>
    </row>
    <row r="976" spans="1:8" ht="13" x14ac:dyDescent="0.15">
      <c r="A976" s="257"/>
      <c r="B976" s="257"/>
      <c r="C976" s="257"/>
      <c r="D976" s="257"/>
      <c r="E976" s="257"/>
      <c r="F976" s="257"/>
      <c r="G976" s="257"/>
      <c r="H976" s="101"/>
    </row>
    <row r="977" spans="1:8" ht="13" x14ac:dyDescent="0.15">
      <c r="A977" s="257"/>
      <c r="B977" s="257"/>
      <c r="C977" s="257"/>
      <c r="D977" s="257"/>
      <c r="E977" s="257"/>
      <c r="F977" s="257"/>
      <c r="G977" s="257"/>
      <c r="H977" s="101"/>
    </row>
    <row r="978" spans="1:8" ht="13" x14ac:dyDescent="0.15">
      <c r="A978" s="257"/>
      <c r="B978" s="257"/>
      <c r="C978" s="257"/>
      <c r="D978" s="257"/>
      <c r="E978" s="257"/>
      <c r="F978" s="257"/>
      <c r="G978" s="257"/>
      <c r="H978" s="101"/>
    </row>
    <row r="979" spans="1:8" ht="13" x14ac:dyDescent="0.15">
      <c r="A979" s="257"/>
      <c r="B979" s="257"/>
      <c r="C979" s="257"/>
      <c r="D979" s="257"/>
      <c r="E979" s="257"/>
      <c r="F979" s="257"/>
      <c r="G979" s="257"/>
      <c r="H979" s="101"/>
    </row>
    <row r="980" spans="1:8" ht="13" x14ac:dyDescent="0.15">
      <c r="A980" s="257"/>
      <c r="B980" s="257"/>
      <c r="C980" s="257"/>
      <c r="D980" s="257"/>
      <c r="E980" s="257"/>
      <c r="F980" s="257"/>
      <c r="G980" s="257"/>
      <c r="H980" s="101"/>
    </row>
    <row r="981" spans="1:8" ht="13" x14ac:dyDescent="0.15">
      <c r="A981" s="257"/>
      <c r="B981" s="257"/>
      <c r="C981" s="257"/>
      <c r="D981" s="257"/>
      <c r="E981" s="257"/>
      <c r="F981" s="257"/>
      <c r="G981" s="257"/>
      <c r="H981" s="101"/>
    </row>
    <row r="982" spans="1:8" ht="13" x14ac:dyDescent="0.15">
      <c r="A982" s="257"/>
      <c r="B982" s="257"/>
      <c r="C982" s="257"/>
      <c r="D982" s="257"/>
      <c r="E982" s="257"/>
      <c r="F982" s="257"/>
      <c r="G982" s="257"/>
      <c r="H982" s="101"/>
    </row>
    <row r="983" spans="1:8" ht="13" x14ac:dyDescent="0.15">
      <c r="A983" s="257"/>
      <c r="B983" s="257"/>
      <c r="C983" s="257"/>
      <c r="D983" s="257"/>
      <c r="E983" s="257"/>
      <c r="F983" s="257"/>
      <c r="G983" s="257"/>
      <c r="H983" s="101"/>
    </row>
    <row r="984" spans="1:8" ht="13" x14ac:dyDescent="0.15">
      <c r="A984" s="257"/>
      <c r="B984" s="257"/>
      <c r="C984" s="257"/>
      <c r="D984" s="257"/>
      <c r="E984" s="257"/>
      <c r="F984" s="257"/>
      <c r="G984" s="257"/>
      <c r="H984" s="101"/>
    </row>
    <row r="985" spans="1:8" ht="13" x14ac:dyDescent="0.15">
      <c r="A985" s="257"/>
      <c r="B985" s="257"/>
      <c r="C985" s="257"/>
      <c r="D985" s="257"/>
      <c r="E985" s="257"/>
      <c r="F985" s="257"/>
      <c r="G985" s="257"/>
      <c r="H985" s="101"/>
    </row>
    <row r="986" spans="1:8" ht="13" x14ac:dyDescent="0.15">
      <c r="A986" s="257"/>
      <c r="B986" s="257"/>
      <c r="C986" s="257"/>
      <c r="D986" s="257"/>
      <c r="E986" s="257"/>
      <c r="F986" s="257"/>
      <c r="G986" s="257"/>
      <c r="H986" s="101"/>
    </row>
    <row r="987" spans="1:8" ht="13" x14ac:dyDescent="0.15">
      <c r="A987" s="257"/>
      <c r="B987" s="257"/>
      <c r="C987" s="257"/>
      <c r="D987" s="257"/>
      <c r="E987" s="257"/>
      <c r="F987" s="257"/>
      <c r="G987" s="257"/>
      <c r="H987" s="101"/>
    </row>
    <row r="988" spans="1:8" ht="13" x14ac:dyDescent="0.15">
      <c r="A988" s="257"/>
      <c r="B988" s="257"/>
      <c r="C988" s="257"/>
      <c r="D988" s="257"/>
      <c r="E988" s="257"/>
      <c r="F988" s="257"/>
      <c r="G988" s="257"/>
      <c r="H988" s="101"/>
    </row>
    <row r="989" spans="1:8" ht="13" x14ac:dyDescent="0.15">
      <c r="A989" s="257"/>
      <c r="B989" s="257"/>
      <c r="C989" s="257"/>
      <c r="D989" s="257"/>
      <c r="E989" s="257"/>
      <c r="F989" s="257"/>
      <c r="G989" s="257"/>
      <c r="H989" s="101"/>
    </row>
    <row r="990" spans="1:8" ht="13" x14ac:dyDescent="0.15">
      <c r="A990" s="257"/>
      <c r="B990" s="257"/>
      <c r="C990" s="257"/>
      <c r="D990" s="257"/>
      <c r="E990" s="257"/>
      <c r="F990" s="257"/>
      <c r="G990" s="257"/>
      <c r="H990" s="101"/>
    </row>
    <row r="991" spans="1:8" ht="13" x14ac:dyDescent="0.15">
      <c r="A991" s="257"/>
      <c r="B991" s="257"/>
      <c r="C991" s="257"/>
      <c r="D991" s="257"/>
      <c r="E991" s="257"/>
      <c r="F991" s="257"/>
      <c r="G991" s="257"/>
      <c r="H991" s="101"/>
    </row>
    <row r="992" spans="1:8" ht="13" x14ac:dyDescent="0.15">
      <c r="A992" s="257"/>
      <c r="B992" s="257"/>
      <c r="C992" s="257"/>
      <c r="D992" s="257"/>
      <c r="E992" s="257"/>
      <c r="F992" s="257"/>
      <c r="G992" s="257"/>
      <c r="H992" s="101"/>
    </row>
    <row r="993" spans="1:8" ht="13" x14ac:dyDescent="0.15">
      <c r="A993" s="257"/>
      <c r="B993" s="257"/>
      <c r="C993" s="257"/>
      <c r="D993" s="257"/>
      <c r="E993" s="257"/>
      <c r="F993" s="257"/>
      <c r="G993" s="257"/>
      <c r="H993" s="101"/>
    </row>
    <row r="994" spans="1:8" ht="13" x14ac:dyDescent="0.15">
      <c r="A994" s="257"/>
      <c r="B994" s="257"/>
      <c r="C994" s="257"/>
      <c r="D994" s="257"/>
      <c r="E994" s="257"/>
      <c r="F994" s="257"/>
      <c r="G994" s="257"/>
      <c r="H994" s="101"/>
    </row>
    <row r="995" spans="1:8" ht="13" x14ac:dyDescent="0.15">
      <c r="A995" s="257"/>
      <c r="B995" s="257"/>
      <c r="C995" s="257"/>
      <c r="D995" s="257"/>
      <c r="E995" s="257"/>
      <c r="F995" s="257"/>
      <c r="G995" s="257"/>
      <c r="H995" s="101"/>
    </row>
    <row r="996" spans="1:8" ht="13" x14ac:dyDescent="0.15">
      <c r="A996" s="257"/>
      <c r="B996" s="257"/>
      <c r="C996" s="257"/>
      <c r="D996" s="257"/>
      <c r="E996" s="257"/>
      <c r="F996" s="257"/>
      <c r="G996" s="257"/>
      <c r="H996" s="101"/>
    </row>
    <row r="997" spans="1:8" ht="13" x14ac:dyDescent="0.15">
      <c r="A997" s="257"/>
      <c r="B997" s="257"/>
      <c r="C997" s="257"/>
      <c r="D997" s="257"/>
      <c r="E997" s="257"/>
      <c r="F997" s="257"/>
      <c r="G997" s="257"/>
      <c r="H997" s="101"/>
    </row>
    <row r="998" spans="1:8" ht="13" x14ac:dyDescent="0.15">
      <c r="A998" s="257"/>
      <c r="B998" s="257"/>
      <c r="C998" s="257"/>
      <c r="D998" s="257"/>
      <c r="E998" s="257"/>
      <c r="F998" s="257"/>
      <c r="G998" s="257"/>
      <c r="H998" s="101"/>
    </row>
    <row r="999" spans="1:8" ht="13" x14ac:dyDescent="0.15">
      <c r="A999" s="257"/>
      <c r="B999" s="257"/>
      <c r="C999" s="257"/>
      <c r="D999" s="257"/>
      <c r="E999" s="257"/>
      <c r="F999" s="257"/>
      <c r="G999" s="257"/>
      <c r="H999" s="101"/>
    </row>
    <row r="1000" spans="1:8" ht="13" x14ac:dyDescent="0.15">
      <c r="A1000" s="257"/>
      <c r="B1000" s="257"/>
      <c r="C1000" s="257"/>
      <c r="D1000" s="257"/>
      <c r="E1000" s="257"/>
      <c r="F1000" s="257"/>
      <c r="G1000" s="257"/>
      <c r="H1000" s="101"/>
    </row>
    <row r="1001" spans="1:8" ht="13" x14ac:dyDescent="0.15">
      <c r="H1001" s="101"/>
    </row>
    <row r="1002" spans="1:8" ht="13" x14ac:dyDescent="0.15">
      <c r="H1002" s="101"/>
    </row>
    <row r="1003" spans="1:8" ht="13" x14ac:dyDescent="0.15">
      <c r="H1003" s="101"/>
    </row>
    <row r="1004" spans="1:8" ht="13" x14ac:dyDescent="0.15">
      <c r="H1004" s="101"/>
    </row>
    <row r="1005" spans="1:8" ht="13" x14ac:dyDescent="0.15">
      <c r="H1005" s="101"/>
    </row>
    <row r="1006" spans="1:8" ht="13" x14ac:dyDescent="0.15">
      <c r="H1006" s="101"/>
    </row>
    <row r="1007" spans="1:8" ht="13" x14ac:dyDescent="0.15">
      <c r="H1007" s="101"/>
    </row>
    <row r="1008" spans="1:8" ht="13" x14ac:dyDescent="0.15">
      <c r="H1008" s="101"/>
    </row>
    <row r="1009" spans="8:8" ht="13" x14ac:dyDescent="0.15">
      <c r="H1009" s="101"/>
    </row>
    <row r="1010" spans="8:8" ht="13" x14ac:dyDescent="0.15">
      <c r="H1010" s="101"/>
    </row>
    <row r="1011" spans="8:8" ht="13" x14ac:dyDescent="0.15">
      <c r="H1011" s="101"/>
    </row>
    <row r="1012" spans="8:8" ht="13" x14ac:dyDescent="0.15">
      <c r="H1012" s="101"/>
    </row>
    <row r="1013" spans="8:8" ht="13" x14ac:dyDescent="0.15">
      <c r="H1013" s="101"/>
    </row>
    <row r="1014" spans="8:8" ht="13" x14ac:dyDescent="0.15">
      <c r="H1014" s="101"/>
    </row>
    <row r="1015" spans="8:8" ht="13" x14ac:dyDescent="0.15">
      <c r="H1015" s="101"/>
    </row>
    <row r="1016" spans="8:8" ht="13" x14ac:dyDescent="0.15">
      <c r="H1016" s="101"/>
    </row>
    <row r="1017" spans="8:8" ht="13" x14ac:dyDescent="0.15">
      <c r="H1017" s="101"/>
    </row>
    <row r="1018" spans="8:8" ht="13" x14ac:dyDescent="0.15">
      <c r="H1018" s="101"/>
    </row>
    <row r="1019" spans="8:8" ht="13" x14ac:dyDescent="0.15">
      <c r="H1019" s="101"/>
    </row>
    <row r="1020" spans="8:8" ht="13" x14ac:dyDescent="0.15">
      <c r="H1020" s="101"/>
    </row>
    <row r="1021" spans="8:8" ht="13" x14ac:dyDescent="0.15">
      <c r="H1021" s="101"/>
    </row>
    <row r="1022" spans="8:8" ht="13" x14ac:dyDescent="0.15">
      <c r="H1022" s="101"/>
    </row>
    <row r="1023" spans="8:8" ht="13" x14ac:dyDescent="0.15">
      <c r="H1023" s="101"/>
    </row>
    <row r="1024" spans="8:8" ht="13" x14ac:dyDescent="0.15">
      <c r="H1024" s="101"/>
    </row>
    <row r="1025" spans="8:8" ht="13" x14ac:dyDescent="0.15">
      <c r="H1025" s="101"/>
    </row>
    <row r="1026" spans="8:8" ht="13" x14ac:dyDescent="0.15">
      <c r="H1026" s="101"/>
    </row>
    <row r="1027" spans="8:8" ht="13" x14ac:dyDescent="0.15">
      <c r="H1027" s="101"/>
    </row>
    <row r="1028" spans="8:8" ht="13" x14ac:dyDescent="0.15">
      <c r="H1028" s="101"/>
    </row>
    <row r="1029" spans="8:8" ht="13" x14ac:dyDescent="0.15">
      <c r="H1029" s="101"/>
    </row>
    <row r="1030" spans="8:8" ht="13" x14ac:dyDescent="0.15">
      <c r="H1030" s="101"/>
    </row>
    <row r="1031" spans="8:8" ht="13" x14ac:dyDescent="0.15">
      <c r="H1031" s="101"/>
    </row>
    <row r="1032" spans="8:8" ht="13" x14ac:dyDescent="0.15">
      <c r="H1032" s="101"/>
    </row>
    <row r="1033" spans="8:8" ht="13" x14ac:dyDescent="0.15">
      <c r="H1033" s="101"/>
    </row>
    <row r="1034" spans="8:8" ht="13" x14ac:dyDescent="0.15">
      <c r="H1034" s="101"/>
    </row>
    <row r="1035" spans="8:8" ht="13" x14ac:dyDescent="0.15">
      <c r="H1035" s="101"/>
    </row>
    <row r="1036" spans="8:8" ht="13" x14ac:dyDescent="0.15">
      <c r="H1036" s="101"/>
    </row>
    <row r="1037" spans="8:8" ht="13" x14ac:dyDescent="0.15">
      <c r="H1037" s="101"/>
    </row>
    <row r="1038" spans="8:8" ht="13" x14ac:dyDescent="0.15">
      <c r="H1038" s="101"/>
    </row>
    <row r="1039" spans="8:8" ht="13" x14ac:dyDescent="0.15">
      <c r="H1039" s="101"/>
    </row>
    <row r="1040" spans="8:8" ht="13" x14ac:dyDescent="0.15">
      <c r="H1040" s="101"/>
    </row>
    <row r="1041" spans="8:8" ht="13" x14ac:dyDescent="0.15">
      <c r="H1041" s="101"/>
    </row>
    <row r="1042" spans="8:8" ht="13" x14ac:dyDescent="0.15">
      <c r="H1042" s="101"/>
    </row>
    <row r="1043" spans="8:8" ht="13" x14ac:dyDescent="0.15">
      <c r="H1043" s="101"/>
    </row>
    <row r="1044" spans="8:8" ht="13" x14ac:dyDescent="0.15">
      <c r="H1044" s="101"/>
    </row>
    <row r="1045" spans="8:8" ht="13" x14ac:dyDescent="0.15">
      <c r="H1045" s="101"/>
    </row>
    <row r="1046" spans="8:8" ht="13" x14ac:dyDescent="0.15">
      <c r="H1046" s="101"/>
    </row>
    <row r="1047" spans="8:8" ht="13" x14ac:dyDescent="0.15">
      <c r="H1047" s="101"/>
    </row>
    <row r="1048" spans="8:8" ht="13" x14ac:dyDescent="0.15">
      <c r="H1048" s="101"/>
    </row>
    <row r="1049" spans="8:8" ht="13" x14ac:dyDescent="0.15">
      <c r="H1049" s="101"/>
    </row>
    <row r="1050" spans="8:8" ht="13" x14ac:dyDescent="0.15">
      <c r="H1050" s="101"/>
    </row>
    <row r="1051" spans="8:8" ht="13" x14ac:dyDescent="0.15">
      <c r="H1051" s="101"/>
    </row>
    <row r="1052" spans="8:8" ht="13" x14ac:dyDescent="0.15">
      <c r="H1052" s="101"/>
    </row>
    <row r="1053" spans="8:8" ht="13" x14ac:dyDescent="0.15">
      <c r="H1053" s="101"/>
    </row>
    <row r="1054" spans="8:8" ht="13" x14ac:dyDescent="0.15">
      <c r="H1054" s="101"/>
    </row>
    <row r="1055" spans="8:8" ht="13" x14ac:dyDescent="0.15">
      <c r="H1055" s="101"/>
    </row>
    <row r="1056" spans="8:8" ht="13" x14ac:dyDescent="0.15">
      <c r="H1056" s="101"/>
    </row>
    <row r="1057" spans="8:8" ht="13" x14ac:dyDescent="0.15">
      <c r="H1057" s="101"/>
    </row>
    <row r="1058" spans="8:8" ht="13" x14ac:dyDescent="0.15">
      <c r="H1058" s="101"/>
    </row>
    <row r="1059" spans="8:8" ht="13" x14ac:dyDescent="0.15">
      <c r="H1059" s="101"/>
    </row>
    <row r="1060" spans="8:8" ht="13" x14ac:dyDescent="0.15">
      <c r="H1060" s="101"/>
    </row>
    <row r="1061" spans="8:8" ht="13" x14ac:dyDescent="0.15">
      <c r="H1061" s="101"/>
    </row>
    <row r="1062" spans="8:8" ht="13" x14ac:dyDescent="0.15">
      <c r="H1062" s="101"/>
    </row>
    <row r="1063" spans="8:8" ht="13" x14ac:dyDescent="0.15">
      <c r="H1063" s="101"/>
    </row>
    <row r="1064" spans="8:8" ht="13" x14ac:dyDescent="0.15">
      <c r="H1064" s="101"/>
    </row>
    <row r="1065" spans="8:8" ht="13" x14ac:dyDescent="0.15">
      <c r="H1065" s="101"/>
    </row>
    <row r="1066" spans="8:8" ht="13" x14ac:dyDescent="0.15">
      <c r="H1066" s="101"/>
    </row>
    <row r="1067" spans="8:8" ht="13" x14ac:dyDescent="0.15">
      <c r="H1067" s="101"/>
    </row>
    <row r="1068" spans="8:8" ht="13" x14ac:dyDescent="0.15">
      <c r="H1068" s="101"/>
    </row>
    <row r="1069" spans="8:8" ht="13" x14ac:dyDescent="0.15">
      <c r="H1069" s="101"/>
    </row>
    <row r="1070" spans="8:8" ht="13" x14ac:dyDescent="0.15">
      <c r="H1070" s="101"/>
    </row>
    <row r="1071" spans="8:8" ht="13" x14ac:dyDescent="0.15">
      <c r="H1071" s="101"/>
    </row>
    <row r="1072" spans="8:8" ht="13" x14ac:dyDescent="0.15">
      <c r="H1072" s="101"/>
    </row>
    <row r="1073" spans="8:8" ht="13" x14ac:dyDescent="0.15">
      <c r="H1073" s="101"/>
    </row>
    <row r="1074" spans="8:8" ht="13" x14ac:dyDescent="0.15">
      <c r="H1074" s="101"/>
    </row>
    <row r="1075" spans="8:8" ht="13" x14ac:dyDescent="0.15">
      <c r="H1075" s="101"/>
    </row>
    <row r="1076" spans="8:8" ht="13" x14ac:dyDescent="0.15">
      <c r="H1076" s="101"/>
    </row>
    <row r="1077" spans="8:8" ht="13" x14ac:dyDescent="0.15">
      <c r="H1077" s="101"/>
    </row>
    <row r="1078" spans="8:8" ht="13" x14ac:dyDescent="0.15">
      <c r="H1078" s="101"/>
    </row>
    <row r="1079" spans="8:8" ht="13" x14ac:dyDescent="0.15">
      <c r="H1079" s="101"/>
    </row>
    <row r="1080" spans="8:8" ht="13" x14ac:dyDescent="0.15">
      <c r="H1080" s="101"/>
    </row>
    <row r="1081" spans="8:8" ht="13" x14ac:dyDescent="0.15">
      <c r="H1081" s="101"/>
    </row>
    <row r="1082" spans="8:8" ht="13" x14ac:dyDescent="0.15">
      <c r="H1082" s="101"/>
    </row>
    <row r="1083" spans="8:8" ht="13" x14ac:dyDescent="0.15">
      <c r="H1083" s="101"/>
    </row>
    <row r="1084" spans="8:8" ht="13" x14ac:dyDescent="0.15">
      <c r="H1084" s="101"/>
    </row>
    <row r="1085" spans="8:8" ht="13" x14ac:dyDescent="0.15">
      <c r="H1085" s="101"/>
    </row>
    <row r="1086" spans="8:8" ht="13" x14ac:dyDescent="0.15">
      <c r="H1086" s="101"/>
    </row>
    <row r="1087" spans="8:8" ht="13" x14ac:dyDescent="0.15">
      <c r="H1087" s="101"/>
    </row>
    <row r="1088" spans="8:8" ht="13" x14ac:dyDescent="0.15">
      <c r="H1088" s="101"/>
    </row>
    <row r="1089" spans="8:8" ht="13" x14ac:dyDescent="0.15">
      <c r="H1089" s="101"/>
    </row>
    <row r="1090" spans="8:8" ht="13" x14ac:dyDescent="0.15">
      <c r="H1090" s="101"/>
    </row>
    <row r="1091" spans="8:8" ht="13" x14ac:dyDescent="0.15">
      <c r="H1091" s="101"/>
    </row>
    <row r="1092" spans="8:8" ht="13" x14ac:dyDescent="0.15">
      <c r="H1092" s="101"/>
    </row>
    <row r="1093" spans="8:8" ht="13" x14ac:dyDescent="0.15">
      <c r="H1093" s="101"/>
    </row>
    <row r="1094" spans="8:8" ht="13" x14ac:dyDescent="0.15">
      <c r="H1094" s="101"/>
    </row>
    <row r="1095" spans="8:8" ht="13" x14ac:dyDescent="0.15">
      <c r="H1095" s="101"/>
    </row>
    <row r="1096" spans="8:8" ht="13" x14ac:dyDescent="0.15">
      <c r="H1096" s="101"/>
    </row>
    <row r="1097" spans="8:8" ht="13" x14ac:dyDescent="0.15">
      <c r="H1097" s="101"/>
    </row>
    <row r="1098" spans="8:8" ht="13" x14ac:dyDescent="0.15">
      <c r="H1098" s="101"/>
    </row>
    <row r="1099" spans="8:8" ht="13" x14ac:dyDescent="0.15">
      <c r="H1099" s="101"/>
    </row>
    <row r="1100" spans="8:8" ht="13" x14ac:dyDescent="0.15">
      <c r="H1100" s="101"/>
    </row>
    <row r="1101" spans="8:8" ht="13" x14ac:dyDescent="0.15">
      <c r="H1101" s="101"/>
    </row>
    <row r="1102" spans="8:8" ht="13" x14ac:dyDescent="0.15">
      <c r="H1102" s="101"/>
    </row>
    <row r="1103" spans="8:8" ht="13" x14ac:dyDescent="0.15">
      <c r="H1103" s="101"/>
    </row>
    <row r="1104" spans="8:8" ht="13" x14ac:dyDescent="0.15">
      <c r="H1104" s="101"/>
    </row>
    <row r="1105" spans="8:8" ht="13" x14ac:dyDescent="0.15">
      <c r="H1105" s="101"/>
    </row>
    <row r="1106" spans="8:8" ht="13" x14ac:dyDescent="0.15">
      <c r="H1106" s="101"/>
    </row>
    <row r="1107" spans="8:8" ht="13" x14ac:dyDescent="0.15">
      <c r="H1107" s="101"/>
    </row>
    <row r="1108" spans="8:8" ht="13" x14ac:dyDescent="0.15">
      <c r="H1108" s="101"/>
    </row>
    <row r="1109" spans="8:8" ht="13" x14ac:dyDescent="0.15">
      <c r="H1109" s="101"/>
    </row>
    <row r="1110" spans="8:8" ht="13" x14ac:dyDescent="0.15">
      <c r="H1110" s="101"/>
    </row>
    <row r="1111" spans="8:8" ht="13" x14ac:dyDescent="0.15">
      <c r="H1111" s="101"/>
    </row>
    <row r="1112" spans="8:8" ht="13" x14ac:dyDescent="0.15">
      <c r="H1112" s="101"/>
    </row>
    <row r="1113" spans="8:8" ht="13" x14ac:dyDescent="0.15">
      <c r="H1113" s="101"/>
    </row>
    <row r="1114" spans="8:8" ht="13" x14ac:dyDescent="0.15">
      <c r="H1114" s="101"/>
    </row>
    <row r="1115" spans="8:8" ht="13" x14ac:dyDescent="0.15">
      <c r="H1115" s="101"/>
    </row>
    <row r="1116" spans="8:8" ht="13" x14ac:dyDescent="0.15">
      <c r="H1116" s="101"/>
    </row>
    <row r="1117" spans="8:8" ht="13" x14ac:dyDescent="0.15">
      <c r="H1117" s="101"/>
    </row>
    <row r="1118" spans="8:8" ht="13" x14ac:dyDescent="0.15">
      <c r="H1118" s="101"/>
    </row>
    <row r="1119" spans="8:8" ht="13" x14ac:dyDescent="0.15">
      <c r="H1119" s="101"/>
    </row>
    <row r="1120" spans="8:8" ht="13" x14ac:dyDescent="0.15">
      <c r="H1120" s="101"/>
    </row>
    <row r="1121" spans="8:8" ht="13" x14ac:dyDescent="0.15">
      <c r="H1121" s="101"/>
    </row>
    <row r="1122" spans="8:8" ht="13" x14ac:dyDescent="0.15">
      <c r="H1122" s="101"/>
    </row>
    <row r="1123" spans="8:8" ht="13" x14ac:dyDescent="0.15">
      <c r="H1123" s="101"/>
    </row>
    <row r="1124" spans="8:8" ht="13" x14ac:dyDescent="0.15">
      <c r="H1124" s="101"/>
    </row>
    <row r="1125" spans="8:8" ht="13" x14ac:dyDescent="0.15">
      <c r="H1125" s="101"/>
    </row>
    <row r="1126" spans="8:8" ht="13" x14ac:dyDescent="0.15">
      <c r="H1126" s="101"/>
    </row>
    <row r="1127" spans="8:8" ht="13" x14ac:dyDescent="0.15">
      <c r="H1127" s="101"/>
    </row>
    <row r="1128" spans="8:8" ht="13" x14ac:dyDescent="0.15">
      <c r="H1128" s="101"/>
    </row>
    <row r="1129" spans="8:8" ht="13" x14ac:dyDescent="0.15">
      <c r="H1129" s="101"/>
    </row>
    <row r="1130" spans="8:8" ht="13" x14ac:dyDescent="0.15">
      <c r="H1130" s="101"/>
    </row>
    <row r="1131" spans="8:8" ht="13" x14ac:dyDescent="0.15">
      <c r="H1131" s="101"/>
    </row>
    <row r="1132" spans="8:8" ht="13" x14ac:dyDescent="0.15">
      <c r="H1132" s="101"/>
    </row>
    <row r="1133" spans="8:8" ht="13" x14ac:dyDescent="0.15">
      <c r="H1133" s="101"/>
    </row>
    <row r="1134" spans="8:8" ht="13" x14ac:dyDescent="0.15">
      <c r="H1134" s="101"/>
    </row>
    <row r="1135" spans="8:8" ht="13" x14ac:dyDescent="0.15">
      <c r="H1135" s="101"/>
    </row>
    <row r="1136" spans="8:8" ht="13" x14ac:dyDescent="0.15">
      <c r="H1136" s="101"/>
    </row>
    <row r="1137" spans="8:8" ht="13" x14ac:dyDescent="0.15">
      <c r="H1137" s="101"/>
    </row>
    <row r="1138" spans="8:8" ht="13" x14ac:dyDescent="0.15">
      <c r="H1138" s="101"/>
    </row>
    <row r="1139" spans="8:8" ht="13" x14ac:dyDescent="0.15">
      <c r="H1139" s="101"/>
    </row>
    <row r="1140" spans="8:8" ht="13" x14ac:dyDescent="0.15">
      <c r="H1140" s="101"/>
    </row>
    <row r="1141" spans="8:8" ht="13" x14ac:dyDescent="0.15">
      <c r="H1141" s="101"/>
    </row>
    <row r="1142" spans="8:8" ht="13" x14ac:dyDescent="0.15">
      <c r="H1142" s="101"/>
    </row>
    <row r="1143" spans="8:8" ht="13" x14ac:dyDescent="0.15">
      <c r="H1143" s="101"/>
    </row>
    <row r="1144" spans="8:8" ht="13" x14ac:dyDescent="0.15">
      <c r="H1144" s="101"/>
    </row>
    <row r="1145" spans="8:8" ht="13" x14ac:dyDescent="0.15">
      <c r="H1145" s="101"/>
    </row>
    <row r="1146" spans="8:8" ht="13" x14ac:dyDescent="0.15">
      <c r="H1146" s="101"/>
    </row>
    <row r="1147" spans="8:8" ht="13" x14ac:dyDescent="0.15">
      <c r="H1147" s="101"/>
    </row>
    <row r="1148" spans="8:8" ht="13" x14ac:dyDescent="0.15">
      <c r="H1148" s="101"/>
    </row>
    <row r="1149" spans="8:8" ht="13" x14ac:dyDescent="0.15">
      <c r="H1149" s="101"/>
    </row>
    <row r="1150" spans="8:8" ht="13" x14ac:dyDescent="0.15">
      <c r="H1150" s="101"/>
    </row>
    <row r="1151" spans="8:8" ht="13" x14ac:dyDescent="0.15">
      <c r="H1151" s="101"/>
    </row>
    <row r="1152" spans="8:8" ht="13" x14ac:dyDescent="0.15">
      <c r="H1152" s="101"/>
    </row>
    <row r="1153" spans="8:8" ht="13" x14ac:dyDescent="0.15">
      <c r="H1153" s="101"/>
    </row>
    <row r="1154" spans="8:8" ht="13" x14ac:dyDescent="0.15">
      <c r="H1154" s="101"/>
    </row>
    <row r="1155" spans="8:8" ht="13" x14ac:dyDescent="0.15">
      <c r="H1155" s="101"/>
    </row>
    <row r="1156" spans="8:8" ht="13" x14ac:dyDescent="0.15">
      <c r="H1156" s="101"/>
    </row>
    <row r="1157" spans="8:8" ht="13" x14ac:dyDescent="0.15">
      <c r="H1157" s="101"/>
    </row>
    <row r="1158" spans="8:8" ht="13" x14ac:dyDescent="0.15">
      <c r="H1158" s="101"/>
    </row>
    <row r="1159" spans="8:8" ht="13" x14ac:dyDescent="0.15">
      <c r="H1159" s="101"/>
    </row>
    <row r="1160" spans="8:8" ht="13" x14ac:dyDescent="0.15">
      <c r="H1160" s="101"/>
    </row>
    <row r="1161" spans="8:8" ht="13" x14ac:dyDescent="0.15">
      <c r="H1161" s="101"/>
    </row>
    <row r="1162" spans="8:8" ht="13" x14ac:dyDescent="0.15">
      <c r="H1162" s="101"/>
    </row>
    <row r="1163" spans="8:8" ht="13" x14ac:dyDescent="0.15">
      <c r="H1163" s="101"/>
    </row>
    <row r="1164" spans="8:8" ht="13" x14ac:dyDescent="0.15">
      <c r="H1164" s="101"/>
    </row>
    <row r="1165" spans="8:8" ht="13" x14ac:dyDescent="0.15">
      <c r="H1165" s="101"/>
    </row>
    <row r="1166" spans="8:8" ht="13" x14ac:dyDescent="0.15">
      <c r="H1166" s="101"/>
    </row>
    <row r="1167" spans="8:8" ht="13" x14ac:dyDescent="0.15">
      <c r="H1167" s="101"/>
    </row>
    <row r="1168" spans="8:8" ht="13" x14ac:dyDescent="0.15">
      <c r="H1168" s="101"/>
    </row>
    <row r="1169" spans="8:8" ht="13" x14ac:dyDescent="0.15">
      <c r="H1169" s="101"/>
    </row>
    <row r="1170" spans="8:8" ht="13" x14ac:dyDescent="0.15">
      <c r="H1170" s="101"/>
    </row>
    <row r="1171" spans="8:8" ht="13" x14ac:dyDescent="0.15">
      <c r="H1171" s="101"/>
    </row>
    <row r="1172" spans="8:8" ht="13" x14ac:dyDescent="0.15">
      <c r="H1172" s="101"/>
    </row>
    <row r="1173" spans="8:8" ht="13" x14ac:dyDescent="0.15">
      <c r="H1173" s="101"/>
    </row>
    <row r="1174" spans="8:8" ht="13" x14ac:dyDescent="0.15">
      <c r="H1174" s="101"/>
    </row>
    <row r="1175" spans="8:8" ht="13" x14ac:dyDescent="0.15">
      <c r="H1175" s="101"/>
    </row>
    <row r="1176" spans="8:8" ht="13" x14ac:dyDescent="0.15">
      <c r="H1176" s="101"/>
    </row>
    <row r="1177" spans="8:8" ht="13" x14ac:dyDescent="0.15">
      <c r="H1177" s="101"/>
    </row>
    <row r="1178" spans="8:8" ht="13" x14ac:dyDescent="0.15">
      <c r="H1178" s="101"/>
    </row>
    <row r="1179" spans="8:8" ht="13" x14ac:dyDescent="0.15">
      <c r="H1179" s="101"/>
    </row>
    <row r="1180" spans="8:8" ht="13" x14ac:dyDescent="0.15">
      <c r="H1180" s="101"/>
    </row>
    <row r="1181" spans="8:8" ht="13" x14ac:dyDescent="0.15">
      <c r="H1181" s="101"/>
    </row>
    <row r="1182" spans="8:8" ht="13" x14ac:dyDescent="0.15">
      <c r="H1182" s="101"/>
    </row>
    <row r="1183" spans="8:8" ht="13" x14ac:dyDescent="0.15">
      <c r="H1183" s="101"/>
    </row>
    <row r="1184" spans="8:8" ht="13" x14ac:dyDescent="0.15">
      <c r="H1184" s="101"/>
    </row>
    <row r="1185" spans="8:8" ht="13" x14ac:dyDescent="0.15">
      <c r="H1185" s="101"/>
    </row>
    <row r="1186" spans="8:8" ht="13" x14ac:dyDescent="0.15">
      <c r="H1186" s="101"/>
    </row>
    <row r="1187" spans="8:8" ht="13" x14ac:dyDescent="0.15">
      <c r="H1187" s="101"/>
    </row>
    <row r="1188" spans="8:8" ht="13" x14ac:dyDescent="0.15">
      <c r="H1188" s="101"/>
    </row>
    <row r="1189" spans="8:8" ht="13" x14ac:dyDescent="0.15">
      <c r="H1189" s="101"/>
    </row>
    <row r="1190" spans="8:8" ht="13" x14ac:dyDescent="0.15">
      <c r="H1190" s="101"/>
    </row>
    <row r="1191" spans="8:8" ht="13" x14ac:dyDescent="0.15">
      <c r="H1191" s="101"/>
    </row>
    <row r="1192" spans="8:8" ht="13" x14ac:dyDescent="0.15">
      <c r="H1192" s="101"/>
    </row>
    <row r="1193" spans="8:8" ht="13" x14ac:dyDescent="0.15">
      <c r="H1193" s="101"/>
    </row>
    <row r="1194" spans="8:8" ht="13" x14ac:dyDescent="0.15">
      <c r="H1194" s="101"/>
    </row>
    <row r="1195" spans="8:8" ht="13" x14ac:dyDescent="0.15">
      <c r="H1195" s="101"/>
    </row>
    <row r="1196" spans="8:8" ht="13" x14ac:dyDescent="0.15">
      <c r="H1196" s="101"/>
    </row>
    <row r="1197" spans="8:8" ht="13" x14ac:dyDescent="0.15">
      <c r="H1197" s="101"/>
    </row>
    <row r="1198" spans="8:8" ht="13" x14ac:dyDescent="0.15">
      <c r="H1198" s="101"/>
    </row>
    <row r="1199" spans="8:8" ht="13" x14ac:dyDescent="0.15">
      <c r="H1199" s="101"/>
    </row>
    <row r="1200" spans="8:8" ht="13" x14ac:dyDescent="0.15">
      <c r="H1200" s="101"/>
    </row>
    <row r="1201" spans="8:8" ht="13" x14ac:dyDescent="0.15">
      <c r="H1201" s="101"/>
    </row>
    <row r="1202" spans="8:8" ht="13" x14ac:dyDescent="0.15">
      <c r="H1202" s="101"/>
    </row>
    <row r="1203" spans="8:8" ht="13" x14ac:dyDescent="0.15">
      <c r="H1203" s="101"/>
    </row>
    <row r="1204" spans="8:8" ht="13" x14ac:dyDescent="0.15">
      <c r="H1204" s="101"/>
    </row>
    <row r="1205" spans="8:8" ht="13" x14ac:dyDescent="0.15">
      <c r="H1205" s="101"/>
    </row>
    <row r="1206" spans="8:8" ht="13" x14ac:dyDescent="0.15">
      <c r="H1206" s="101"/>
    </row>
    <row r="1207" spans="8:8" ht="13" x14ac:dyDescent="0.15">
      <c r="H1207" s="101"/>
    </row>
    <row r="1208" spans="8:8" ht="13" x14ac:dyDescent="0.15">
      <c r="H1208" s="101"/>
    </row>
    <row r="1209" spans="8:8" ht="13" x14ac:dyDescent="0.15">
      <c r="H1209" s="101"/>
    </row>
    <row r="1210" spans="8:8" ht="13" x14ac:dyDescent="0.15">
      <c r="H1210" s="101"/>
    </row>
    <row r="1211" spans="8:8" ht="13" x14ac:dyDescent="0.15">
      <c r="H1211" s="101"/>
    </row>
    <row r="1212" spans="8:8" ht="13" x14ac:dyDescent="0.15">
      <c r="H1212" s="101"/>
    </row>
    <row r="1213" spans="8:8" ht="13" x14ac:dyDescent="0.15">
      <c r="H1213" s="101"/>
    </row>
    <row r="1214" spans="8:8" ht="13" x14ac:dyDescent="0.15">
      <c r="H1214" s="101"/>
    </row>
    <row r="1215" spans="8:8" ht="13" x14ac:dyDescent="0.15">
      <c r="H1215" s="101"/>
    </row>
    <row r="1216" spans="8:8" ht="13" x14ac:dyDescent="0.15">
      <c r="H1216" s="101"/>
    </row>
    <row r="1217" spans="8:8" ht="13" x14ac:dyDescent="0.15">
      <c r="H1217" s="101"/>
    </row>
    <row r="1218" spans="8:8" ht="13" x14ac:dyDescent="0.15">
      <c r="H1218" s="101"/>
    </row>
    <row r="1219" spans="8:8" ht="13" x14ac:dyDescent="0.15">
      <c r="H1219" s="101"/>
    </row>
    <row r="1220" spans="8:8" ht="13" x14ac:dyDescent="0.15">
      <c r="H1220" s="101"/>
    </row>
    <row r="1221" spans="8:8" ht="13" x14ac:dyDescent="0.15">
      <c r="H1221" s="101"/>
    </row>
    <row r="1222" spans="8:8" ht="13" x14ac:dyDescent="0.15">
      <c r="H1222" s="101"/>
    </row>
    <row r="1223" spans="8:8" ht="13" x14ac:dyDescent="0.15">
      <c r="H1223" s="101"/>
    </row>
    <row r="1224" spans="8:8" ht="13" x14ac:dyDescent="0.15">
      <c r="H1224" s="101"/>
    </row>
    <row r="1225" spans="8:8" ht="13" x14ac:dyDescent="0.15">
      <c r="H1225" s="101"/>
    </row>
    <row r="1226" spans="8:8" ht="13" x14ac:dyDescent="0.15">
      <c r="H1226" s="101"/>
    </row>
    <row r="1227" spans="8:8" ht="13" x14ac:dyDescent="0.15">
      <c r="H1227" s="101"/>
    </row>
    <row r="1228" spans="8:8" ht="13" x14ac:dyDescent="0.15">
      <c r="H1228" s="101"/>
    </row>
    <row r="1229" spans="8:8" ht="13" x14ac:dyDescent="0.15">
      <c r="H1229" s="101"/>
    </row>
    <row r="1230" spans="8:8" ht="13" x14ac:dyDescent="0.15">
      <c r="H1230" s="101"/>
    </row>
    <row r="1231" spans="8:8" ht="13" x14ac:dyDescent="0.15">
      <c r="H1231" s="101"/>
    </row>
    <row r="1232" spans="8:8" ht="13" x14ac:dyDescent="0.15">
      <c r="H1232" s="101"/>
    </row>
    <row r="1233" spans="8:8" ht="13" x14ac:dyDescent="0.15">
      <c r="H1233" s="101"/>
    </row>
    <row r="1234" spans="8:8" ht="13" x14ac:dyDescent="0.15">
      <c r="H1234" s="101"/>
    </row>
    <row r="1235" spans="8:8" ht="13" x14ac:dyDescent="0.15">
      <c r="H1235" s="101"/>
    </row>
    <row r="1236" spans="8:8" ht="13" x14ac:dyDescent="0.15">
      <c r="H1236" s="101"/>
    </row>
    <row r="1237" spans="8:8" ht="13" x14ac:dyDescent="0.15">
      <c r="H1237" s="101"/>
    </row>
    <row r="1238" spans="8:8" ht="13" x14ac:dyDescent="0.15">
      <c r="H1238" s="101"/>
    </row>
    <row r="1239" spans="8:8" ht="13" x14ac:dyDescent="0.15">
      <c r="H1239" s="101"/>
    </row>
    <row r="1240" spans="8:8" ht="13" x14ac:dyDescent="0.15">
      <c r="H1240" s="101"/>
    </row>
    <row r="1241" spans="8:8" ht="13" x14ac:dyDescent="0.15">
      <c r="H1241" s="101"/>
    </row>
    <row r="1242" spans="8:8" ht="13" x14ac:dyDescent="0.15">
      <c r="H1242" s="101"/>
    </row>
    <row r="1243" spans="8:8" ht="13" x14ac:dyDescent="0.15">
      <c r="H1243" s="101"/>
    </row>
    <row r="1244" spans="8:8" ht="13" x14ac:dyDescent="0.15">
      <c r="H1244" s="101"/>
    </row>
    <row r="1245" spans="8:8" ht="13" x14ac:dyDescent="0.15">
      <c r="H1245" s="101"/>
    </row>
    <row r="1246" spans="8:8" ht="13" x14ac:dyDescent="0.15">
      <c r="H1246" s="101"/>
    </row>
    <row r="1247" spans="8:8" ht="13" x14ac:dyDescent="0.15">
      <c r="H1247" s="101"/>
    </row>
    <row r="1248" spans="8:8" ht="13" x14ac:dyDescent="0.15">
      <c r="H1248" s="101"/>
    </row>
    <row r="1249" spans="8:8" ht="13" x14ac:dyDescent="0.15">
      <c r="H1249" s="101"/>
    </row>
    <row r="1250" spans="8:8" ht="13" x14ac:dyDescent="0.15">
      <c r="H1250" s="101"/>
    </row>
    <row r="1251" spans="8:8" ht="13" x14ac:dyDescent="0.15">
      <c r="H1251" s="101"/>
    </row>
    <row r="1252" spans="8:8" ht="13" x14ac:dyDescent="0.15">
      <c r="H1252" s="101"/>
    </row>
    <row r="1253" spans="8:8" ht="13" x14ac:dyDescent="0.15">
      <c r="H1253" s="101"/>
    </row>
    <row r="1254" spans="8:8" ht="13" x14ac:dyDescent="0.15">
      <c r="H1254" s="101"/>
    </row>
    <row r="1255" spans="8:8" ht="13" x14ac:dyDescent="0.15">
      <c r="H1255" s="101"/>
    </row>
    <row r="1256" spans="8:8" ht="13" x14ac:dyDescent="0.15">
      <c r="H1256" s="101"/>
    </row>
    <row r="1257" spans="8:8" ht="13" x14ac:dyDescent="0.15">
      <c r="H1257" s="101"/>
    </row>
    <row r="1258" spans="8:8" ht="13" x14ac:dyDescent="0.15">
      <c r="H1258" s="101"/>
    </row>
    <row r="1259" spans="8:8" ht="13" x14ac:dyDescent="0.15">
      <c r="H1259" s="101"/>
    </row>
    <row r="1260" spans="8:8" ht="13" x14ac:dyDescent="0.15">
      <c r="H1260" s="101"/>
    </row>
    <row r="1261" spans="8:8" ht="13" x14ac:dyDescent="0.15">
      <c r="H1261" s="101"/>
    </row>
    <row r="1262" spans="8:8" ht="13" x14ac:dyDescent="0.15">
      <c r="H1262" s="101"/>
    </row>
    <row r="1263" spans="8:8" ht="13" x14ac:dyDescent="0.15">
      <c r="H1263" s="101"/>
    </row>
    <row r="1264" spans="8:8" ht="13" x14ac:dyDescent="0.15">
      <c r="H1264" s="101"/>
    </row>
    <row r="1265" spans="8:8" ht="13" x14ac:dyDescent="0.15">
      <c r="H1265" s="101"/>
    </row>
    <row r="1266" spans="8:8" ht="13" x14ac:dyDescent="0.15">
      <c r="H1266" s="101"/>
    </row>
    <row r="1267" spans="8:8" ht="13" x14ac:dyDescent="0.15">
      <c r="H1267" s="101"/>
    </row>
    <row r="1268" spans="8:8" ht="13" x14ac:dyDescent="0.15">
      <c r="H1268" s="101"/>
    </row>
    <row r="1269" spans="8:8" ht="13" x14ac:dyDescent="0.15">
      <c r="H1269" s="101"/>
    </row>
    <row r="1270" spans="8:8" ht="13" x14ac:dyDescent="0.15">
      <c r="H1270" s="101"/>
    </row>
    <row r="1271" spans="8:8" ht="13" x14ac:dyDescent="0.15">
      <c r="H1271" s="101"/>
    </row>
    <row r="1272" spans="8:8" ht="13" x14ac:dyDescent="0.15">
      <c r="H1272" s="101"/>
    </row>
    <row r="1273" spans="8:8" ht="13" x14ac:dyDescent="0.15">
      <c r="H1273" s="101"/>
    </row>
    <row r="1274" spans="8:8" ht="13" x14ac:dyDescent="0.15">
      <c r="H1274" s="101"/>
    </row>
    <row r="1275" spans="8:8" ht="13" x14ac:dyDescent="0.15">
      <c r="H1275" s="101"/>
    </row>
    <row r="1276" spans="8:8" ht="13" x14ac:dyDescent="0.15">
      <c r="H1276" s="101"/>
    </row>
    <row r="1277" spans="8:8" ht="13" x14ac:dyDescent="0.15">
      <c r="H1277" s="101"/>
    </row>
    <row r="1278" spans="8:8" ht="13" x14ac:dyDescent="0.15">
      <c r="H1278" s="101"/>
    </row>
    <row r="1279" spans="8:8" ht="13" x14ac:dyDescent="0.15">
      <c r="H1279" s="101"/>
    </row>
    <row r="1280" spans="8:8" ht="13" x14ac:dyDescent="0.15">
      <c r="H1280" s="101"/>
    </row>
    <row r="1281" spans="8:8" ht="13" x14ac:dyDescent="0.15">
      <c r="H1281" s="101"/>
    </row>
    <row r="1282" spans="8:8" ht="13" x14ac:dyDescent="0.15">
      <c r="H1282" s="101"/>
    </row>
    <row r="1283" spans="8:8" ht="13" x14ac:dyDescent="0.15">
      <c r="H1283" s="101"/>
    </row>
    <row r="1284" spans="8:8" ht="13" x14ac:dyDescent="0.15">
      <c r="H1284" s="101"/>
    </row>
    <row r="1285" spans="8:8" ht="13" x14ac:dyDescent="0.15">
      <c r="H1285" s="101"/>
    </row>
    <row r="1286" spans="8:8" ht="13" x14ac:dyDescent="0.15">
      <c r="H1286" s="101"/>
    </row>
    <row r="1287" spans="8:8" ht="13" x14ac:dyDescent="0.15">
      <c r="H1287" s="101"/>
    </row>
    <row r="1288" spans="8:8" ht="13" x14ac:dyDescent="0.15">
      <c r="H1288" s="101"/>
    </row>
    <row r="1289" spans="8:8" ht="13" x14ac:dyDescent="0.15">
      <c r="H1289" s="101"/>
    </row>
    <row r="1290" spans="8:8" ht="13" x14ac:dyDescent="0.15">
      <c r="H1290" s="101"/>
    </row>
    <row r="1291" spans="8:8" ht="13" x14ac:dyDescent="0.15">
      <c r="H1291" s="101"/>
    </row>
    <row r="1292" spans="8:8" ht="13" x14ac:dyDescent="0.15">
      <c r="H1292" s="101"/>
    </row>
    <row r="1293" spans="8:8" ht="13" x14ac:dyDescent="0.15">
      <c r="H1293" s="101"/>
    </row>
    <row r="1294" spans="8:8" ht="13" x14ac:dyDescent="0.15">
      <c r="H1294" s="101"/>
    </row>
    <row r="1295" spans="8:8" ht="13" x14ac:dyDescent="0.15">
      <c r="H1295" s="101"/>
    </row>
    <row r="1296" spans="8:8" ht="13" x14ac:dyDescent="0.15">
      <c r="H1296" s="101"/>
    </row>
    <row r="1297" spans="8:8" ht="13" x14ac:dyDescent="0.15">
      <c r="H1297" s="101"/>
    </row>
    <row r="1298" spans="8:8" ht="13" x14ac:dyDescent="0.15">
      <c r="H1298" s="101"/>
    </row>
    <row r="1299" spans="8:8" ht="13" x14ac:dyDescent="0.15">
      <c r="H1299" s="101"/>
    </row>
    <row r="1300" spans="8:8" ht="13" x14ac:dyDescent="0.15">
      <c r="H1300" s="101"/>
    </row>
    <row r="1301" spans="8:8" ht="13" x14ac:dyDescent="0.15">
      <c r="H1301" s="101"/>
    </row>
    <row r="1302" spans="8:8" ht="13" x14ac:dyDescent="0.15">
      <c r="H1302" s="101"/>
    </row>
    <row r="1303" spans="8:8" ht="13" x14ac:dyDescent="0.15">
      <c r="H1303" s="101"/>
    </row>
    <row r="1304" spans="8:8" ht="13" x14ac:dyDescent="0.15">
      <c r="H1304" s="101"/>
    </row>
    <row r="1305" spans="8:8" ht="13" x14ac:dyDescent="0.15">
      <c r="H1305" s="101"/>
    </row>
    <row r="1306" spans="8:8" ht="13" x14ac:dyDescent="0.15">
      <c r="H1306" s="101"/>
    </row>
    <row r="1307" spans="8:8" ht="13" x14ac:dyDescent="0.15">
      <c r="H1307" s="101"/>
    </row>
    <row r="1308" spans="8:8" ht="13" x14ac:dyDescent="0.15">
      <c r="H1308" s="101"/>
    </row>
    <row r="1309" spans="8:8" ht="13" x14ac:dyDescent="0.15">
      <c r="H1309" s="101"/>
    </row>
    <row r="1310" spans="8:8" ht="13" x14ac:dyDescent="0.15">
      <c r="H1310" s="101"/>
    </row>
    <row r="1311" spans="8:8" ht="13" x14ac:dyDescent="0.15">
      <c r="H1311" s="101"/>
    </row>
    <row r="1312" spans="8:8" ht="13" x14ac:dyDescent="0.15">
      <c r="H1312" s="101"/>
    </row>
    <row r="1313" spans="8:8" ht="13" x14ac:dyDescent="0.15">
      <c r="H1313" s="101"/>
    </row>
    <row r="1314" spans="8:8" ht="13" x14ac:dyDescent="0.15">
      <c r="H1314" s="101"/>
    </row>
    <row r="1315" spans="8:8" ht="13" x14ac:dyDescent="0.15">
      <c r="H1315" s="101"/>
    </row>
    <row r="1316" spans="8:8" ht="13" x14ac:dyDescent="0.15">
      <c r="H1316" s="101"/>
    </row>
    <row r="1317" spans="8:8" ht="13" x14ac:dyDescent="0.15">
      <c r="H1317" s="101"/>
    </row>
    <row r="1318" spans="8:8" ht="13" x14ac:dyDescent="0.15">
      <c r="H1318" s="101"/>
    </row>
    <row r="1319" spans="8:8" ht="13" x14ac:dyDescent="0.15">
      <c r="H1319" s="101"/>
    </row>
    <row r="1320" spans="8:8" ht="13" x14ac:dyDescent="0.15">
      <c r="H1320" s="101"/>
    </row>
    <row r="1321" spans="8:8" ht="13" x14ac:dyDescent="0.15">
      <c r="H1321" s="101"/>
    </row>
    <row r="1322" spans="8:8" ht="13" x14ac:dyDescent="0.15">
      <c r="H1322" s="101"/>
    </row>
    <row r="1323" spans="8:8" ht="13" x14ac:dyDescent="0.15">
      <c r="H1323" s="101"/>
    </row>
    <row r="1324" spans="8:8" ht="13" x14ac:dyDescent="0.15">
      <c r="H1324" s="101"/>
    </row>
    <row r="1325" spans="8:8" ht="13" x14ac:dyDescent="0.15">
      <c r="H1325" s="101"/>
    </row>
    <row r="1326" spans="8:8" ht="13" x14ac:dyDescent="0.15">
      <c r="H1326" s="101"/>
    </row>
    <row r="1327" spans="8:8" ht="13" x14ac:dyDescent="0.15">
      <c r="H1327" s="101"/>
    </row>
    <row r="1328" spans="8:8" ht="13" x14ac:dyDescent="0.15">
      <c r="H1328" s="101"/>
    </row>
    <row r="1329" spans="8:8" ht="13" x14ac:dyDescent="0.15">
      <c r="H1329" s="101"/>
    </row>
    <row r="1330" spans="8:8" ht="13" x14ac:dyDescent="0.15">
      <c r="H1330" s="101"/>
    </row>
    <row r="1331" spans="8:8" ht="13" x14ac:dyDescent="0.15">
      <c r="H1331" s="101"/>
    </row>
    <row r="1332" spans="8:8" ht="13" x14ac:dyDescent="0.15">
      <c r="H1332" s="101"/>
    </row>
    <row r="1333" spans="8:8" ht="13" x14ac:dyDescent="0.15">
      <c r="H1333" s="101"/>
    </row>
    <row r="1334" spans="8:8" ht="13" x14ac:dyDescent="0.15">
      <c r="H1334" s="101"/>
    </row>
    <row r="1335" spans="8:8" ht="13" x14ac:dyDescent="0.15">
      <c r="H1335" s="101"/>
    </row>
    <row r="1336" spans="8:8" ht="13" x14ac:dyDescent="0.15">
      <c r="H1336" s="101"/>
    </row>
    <row r="1337" spans="8:8" ht="13" x14ac:dyDescent="0.15">
      <c r="H1337" s="101"/>
    </row>
    <row r="1338" spans="8:8" ht="13" x14ac:dyDescent="0.15">
      <c r="H1338" s="101"/>
    </row>
    <row r="1339" spans="8:8" ht="13" x14ac:dyDescent="0.15">
      <c r="H1339" s="101"/>
    </row>
    <row r="1340" spans="8:8" ht="13" x14ac:dyDescent="0.15">
      <c r="H1340" s="101"/>
    </row>
    <row r="1341" spans="8:8" ht="13" x14ac:dyDescent="0.15">
      <c r="H1341" s="101"/>
    </row>
    <row r="1342" spans="8:8" ht="13" x14ac:dyDescent="0.15">
      <c r="H1342" s="101"/>
    </row>
    <row r="1343" spans="8:8" ht="13" x14ac:dyDescent="0.15">
      <c r="H1343" s="101"/>
    </row>
    <row r="1344" spans="8:8" ht="13" x14ac:dyDescent="0.15">
      <c r="H1344" s="101"/>
    </row>
    <row r="1345" spans="8:8" ht="13" x14ac:dyDescent="0.15">
      <c r="H1345" s="101"/>
    </row>
    <row r="1346" spans="8:8" ht="13" x14ac:dyDescent="0.15">
      <c r="H1346" s="101"/>
    </row>
    <row r="1347" spans="8:8" ht="13" x14ac:dyDescent="0.15">
      <c r="H1347" s="101"/>
    </row>
    <row r="1348" spans="8:8" ht="13" x14ac:dyDescent="0.15">
      <c r="H1348" s="101"/>
    </row>
    <row r="1349" spans="8:8" ht="13" x14ac:dyDescent="0.15">
      <c r="H1349" s="101"/>
    </row>
    <row r="1350" spans="8:8" ht="13" x14ac:dyDescent="0.15">
      <c r="H1350" s="101"/>
    </row>
    <row r="1351" spans="8:8" ht="13" x14ac:dyDescent="0.15">
      <c r="H1351" s="101"/>
    </row>
    <row r="1352" spans="8:8" ht="13" x14ac:dyDescent="0.15">
      <c r="H1352" s="101"/>
    </row>
    <row r="1353" spans="8:8" ht="13" x14ac:dyDescent="0.15">
      <c r="H1353" s="101"/>
    </row>
    <row r="1354" spans="8:8" ht="13" x14ac:dyDescent="0.15">
      <c r="H1354" s="101"/>
    </row>
    <row r="1355" spans="8:8" ht="13" x14ac:dyDescent="0.15">
      <c r="H1355" s="101"/>
    </row>
    <row r="1356" spans="8:8" ht="13" x14ac:dyDescent="0.15">
      <c r="H1356" s="101"/>
    </row>
    <row r="1357" spans="8:8" ht="13" x14ac:dyDescent="0.15">
      <c r="H1357" s="101"/>
    </row>
    <row r="1358" spans="8:8" ht="13" x14ac:dyDescent="0.15">
      <c r="H1358" s="101"/>
    </row>
    <row r="1359" spans="8:8" ht="13" x14ac:dyDescent="0.15">
      <c r="H1359" s="101"/>
    </row>
    <row r="1360" spans="8:8" ht="13" x14ac:dyDescent="0.15">
      <c r="H1360" s="101"/>
    </row>
    <row r="1361" spans="8:8" ht="13" x14ac:dyDescent="0.15">
      <c r="H1361" s="101"/>
    </row>
    <row r="1362" spans="8:8" ht="13" x14ac:dyDescent="0.15">
      <c r="H1362" s="101"/>
    </row>
    <row r="1363" spans="8:8" ht="13" x14ac:dyDescent="0.15">
      <c r="H1363" s="101"/>
    </row>
    <row r="1364" spans="8:8" ht="13" x14ac:dyDescent="0.15">
      <c r="H1364" s="101"/>
    </row>
    <row r="1365" spans="8:8" ht="13" x14ac:dyDescent="0.15">
      <c r="H1365" s="101"/>
    </row>
    <row r="1366" spans="8:8" ht="13" x14ac:dyDescent="0.15">
      <c r="H1366" s="101"/>
    </row>
    <row r="1367" spans="8:8" ht="13" x14ac:dyDescent="0.15">
      <c r="H1367" s="101"/>
    </row>
    <row r="1368" spans="8:8" ht="13" x14ac:dyDescent="0.15">
      <c r="H1368" s="101"/>
    </row>
    <row r="1369" spans="8:8" ht="13" x14ac:dyDescent="0.15">
      <c r="H1369" s="101"/>
    </row>
    <row r="1370" spans="8:8" ht="13" x14ac:dyDescent="0.15">
      <c r="H1370" s="101"/>
    </row>
    <row r="1371" spans="8:8" ht="13" x14ac:dyDescent="0.15">
      <c r="H1371" s="101"/>
    </row>
    <row r="1372" spans="8:8" ht="13" x14ac:dyDescent="0.15">
      <c r="H1372" s="101"/>
    </row>
    <row r="1373" spans="8:8" ht="13" x14ac:dyDescent="0.15">
      <c r="H1373" s="101"/>
    </row>
    <row r="1374" spans="8:8" ht="13" x14ac:dyDescent="0.15">
      <c r="H1374" s="101"/>
    </row>
    <row r="1375" spans="8:8" ht="13" x14ac:dyDescent="0.15">
      <c r="H1375" s="101"/>
    </row>
    <row r="1376" spans="8:8" ht="13" x14ac:dyDescent="0.15">
      <c r="H1376" s="101"/>
    </row>
    <row r="1377" spans="8:8" ht="13" x14ac:dyDescent="0.15">
      <c r="H1377" s="101"/>
    </row>
    <row r="1378" spans="8:8" ht="13" x14ac:dyDescent="0.15">
      <c r="H1378" s="101"/>
    </row>
    <row r="1379" spans="8:8" ht="13" x14ac:dyDescent="0.15">
      <c r="H1379" s="101"/>
    </row>
    <row r="1380" spans="8:8" ht="13" x14ac:dyDescent="0.15">
      <c r="H1380" s="101"/>
    </row>
    <row r="1381" spans="8:8" ht="13" x14ac:dyDescent="0.15">
      <c r="H1381" s="101"/>
    </row>
    <row r="1382" spans="8:8" ht="13" x14ac:dyDescent="0.15">
      <c r="H1382" s="101"/>
    </row>
    <row r="1383" spans="8:8" ht="13" x14ac:dyDescent="0.15">
      <c r="H1383" s="101"/>
    </row>
    <row r="1384" spans="8:8" ht="13" x14ac:dyDescent="0.15">
      <c r="H1384" s="101"/>
    </row>
    <row r="1385" spans="8:8" ht="13" x14ac:dyDescent="0.15">
      <c r="H1385" s="101"/>
    </row>
    <row r="1386" spans="8:8" ht="13" x14ac:dyDescent="0.15">
      <c r="H1386" s="101"/>
    </row>
    <row r="1387" spans="8:8" ht="13" x14ac:dyDescent="0.15">
      <c r="H1387" s="101"/>
    </row>
    <row r="1388" spans="8:8" ht="13" x14ac:dyDescent="0.15">
      <c r="H1388" s="101"/>
    </row>
    <row r="1389" spans="8:8" ht="13" x14ac:dyDescent="0.15">
      <c r="H1389" s="101"/>
    </row>
    <row r="1390" spans="8:8" ht="13" x14ac:dyDescent="0.15">
      <c r="H1390" s="101"/>
    </row>
    <row r="1391" spans="8:8" ht="13" x14ac:dyDescent="0.15">
      <c r="H1391" s="101"/>
    </row>
    <row r="1392" spans="8:8" ht="13" x14ac:dyDescent="0.15">
      <c r="H1392" s="101"/>
    </row>
    <row r="1393" spans="8:8" ht="13" x14ac:dyDescent="0.15">
      <c r="H1393" s="101"/>
    </row>
    <row r="1394" spans="8:8" ht="13" x14ac:dyDescent="0.15">
      <c r="H1394" s="101"/>
    </row>
    <row r="1395" spans="8:8" ht="13" x14ac:dyDescent="0.15">
      <c r="H1395" s="101"/>
    </row>
    <row r="1396" spans="8:8" ht="13" x14ac:dyDescent="0.15">
      <c r="H1396" s="101"/>
    </row>
    <row r="1397" spans="8:8" ht="13" x14ac:dyDescent="0.15">
      <c r="H1397" s="101"/>
    </row>
    <row r="1398" spans="8:8" ht="13" x14ac:dyDescent="0.15">
      <c r="H1398" s="101"/>
    </row>
    <row r="1399" spans="8:8" ht="13" x14ac:dyDescent="0.15">
      <c r="H1399" s="101"/>
    </row>
    <row r="1400" spans="8:8" ht="13" x14ac:dyDescent="0.15">
      <c r="H1400" s="101"/>
    </row>
    <row r="1401" spans="8:8" ht="13" x14ac:dyDescent="0.15">
      <c r="H1401" s="101"/>
    </row>
    <row r="1402" spans="8:8" ht="13" x14ac:dyDescent="0.15">
      <c r="H1402" s="101"/>
    </row>
    <row r="1403" spans="8:8" ht="13" x14ac:dyDescent="0.15">
      <c r="H1403" s="101"/>
    </row>
    <row r="1404" spans="8:8" ht="13" x14ac:dyDescent="0.15">
      <c r="H1404" s="101"/>
    </row>
    <row r="1405" spans="8:8" ht="13" x14ac:dyDescent="0.15">
      <c r="H1405" s="101"/>
    </row>
    <row r="1406" spans="8:8" ht="13" x14ac:dyDescent="0.15">
      <c r="H1406" s="101"/>
    </row>
    <row r="1407" spans="8:8" ht="13" x14ac:dyDescent="0.15">
      <c r="H1407" s="101"/>
    </row>
    <row r="1408" spans="8:8" ht="13" x14ac:dyDescent="0.15">
      <c r="H1408" s="101"/>
    </row>
    <row r="1409" spans="8:8" ht="13" x14ac:dyDescent="0.15">
      <c r="H1409" s="101"/>
    </row>
    <row r="1410" spans="8:8" ht="13" x14ac:dyDescent="0.15">
      <c r="H1410" s="101"/>
    </row>
    <row r="1411" spans="8:8" ht="13" x14ac:dyDescent="0.15">
      <c r="H1411" s="101"/>
    </row>
    <row r="1412" spans="8:8" ht="13" x14ac:dyDescent="0.15">
      <c r="H1412" s="101"/>
    </row>
  </sheetData>
  <autoFilter ref="A1:I1412" xr:uid="{3FEE3900-4D85-8F48-A95B-1A859131388E}">
    <sortState xmlns:xlrd2="http://schemas.microsoft.com/office/spreadsheetml/2017/richdata2" ref="A2:I1412">
      <sortCondition ref="B1:B1412"/>
    </sortState>
  </autoFilter>
  <mergeCells count="3">
    <mergeCell ref="K21:L21"/>
    <mergeCell ref="K22:L22"/>
    <mergeCell ref="K23:L23"/>
  </mergeCells>
  <phoneticPr fontId="16" type="noConversion"/>
  <printOptions gridLines="1" gridLinesSet="0"/>
  <pageMargins left="0.75" right="0.75" top="1" bottom="1" header="0.5" footer="0.5"/>
  <pageSetup orientation="portrait"/>
  <headerFooter alignWithMargins="0">
    <oddHeader>&amp;A</oddHeader>
    <oddFooter>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DADC-4C2A-994E-B7B1-99AD212DE800}">
  <sheetPr codeName="Sheet2"/>
  <dimension ref="A1:N197"/>
  <sheetViews>
    <sheetView workbookViewId="0">
      <selection activeCell="F2" sqref="F2"/>
    </sheetView>
  </sheetViews>
  <sheetFormatPr baseColWidth="10" defaultColWidth="9.19921875" defaultRowHeight="12" x14ac:dyDescent="0.15"/>
  <cols>
    <col min="1" max="2" width="12.59765625" style="3" customWidth="1"/>
    <col min="3" max="3" width="12.59765625" style="99" customWidth="1"/>
    <col min="4" max="4" width="13.3984375" style="277" bestFit="1" customWidth="1"/>
    <col min="9" max="9" width="10.3984375" bestFit="1" customWidth="1"/>
    <col min="10" max="10" width="9.19921875" customWidth="1"/>
  </cols>
  <sheetData>
    <row r="1" spans="1:14" ht="11" x14ac:dyDescent="0.15">
      <c r="A1" s="278" t="s">
        <v>95</v>
      </c>
      <c r="B1" s="278" t="s">
        <v>96</v>
      </c>
      <c r="C1" s="278" t="s">
        <v>118</v>
      </c>
      <c r="D1" s="366" t="s">
        <v>130</v>
      </c>
      <c r="F1" s="9" t="s">
        <v>63</v>
      </c>
      <c r="G1" s="9" t="s">
        <v>42</v>
      </c>
      <c r="H1" s="9" t="s">
        <v>13</v>
      </c>
      <c r="N1" s="157"/>
    </row>
    <row r="2" spans="1:14" ht="11" x14ac:dyDescent="0.15">
      <c r="A2" s="257" t="s">
        <v>291</v>
      </c>
      <c r="B2" s="257">
        <v>5</v>
      </c>
      <c r="C2" s="257" t="s">
        <v>352</v>
      </c>
      <c r="D2" s="384">
        <v>0.97614473890544129</v>
      </c>
      <c r="E2" s="216" t="s">
        <v>59</v>
      </c>
      <c r="F2">
        <f>AVERAGE(ScottData)</f>
        <v>0.98271255590672235</v>
      </c>
      <c r="G2">
        <f>STDEV(ScottData)</f>
        <v>3.9476507590669382E-3</v>
      </c>
      <c r="H2" s="5">
        <f>G2/F2</f>
        <v>4.0170960830194615E-3</v>
      </c>
      <c r="I2" s="86"/>
    </row>
    <row r="3" spans="1:14" ht="11" x14ac:dyDescent="0.15">
      <c r="A3" s="257" t="s">
        <v>291</v>
      </c>
      <c r="B3" s="257">
        <v>5</v>
      </c>
      <c r="C3" s="257" t="s">
        <v>352</v>
      </c>
      <c r="D3" s="384">
        <v>0.97626274672530466</v>
      </c>
      <c r="E3" t="s">
        <v>24</v>
      </c>
      <c r="F3">
        <f>AVERAGE('Ratio Data'!C2:C10000)</f>
        <v>0.98058109855770981</v>
      </c>
      <c r="G3">
        <f>STDEV('Ratio Data'!C2:C10000)</f>
        <v>6.4671356816192157E-3</v>
      </c>
      <c r="H3" s="5">
        <f>G3/F3</f>
        <v>6.5952073634005575E-3</v>
      </c>
      <c r="I3" s="86"/>
    </row>
    <row r="4" spans="1:14" ht="11" x14ac:dyDescent="0.15">
      <c r="A4" s="257" t="s">
        <v>291</v>
      </c>
      <c r="B4" s="257">
        <v>5</v>
      </c>
      <c r="C4" s="257" t="s">
        <v>352</v>
      </c>
      <c r="D4" s="384">
        <v>0.97850551576305755</v>
      </c>
      <c r="E4" t="s">
        <v>125</v>
      </c>
      <c r="F4" s="5">
        <f>(F2-F3)/F3</f>
        <v>2.173667585626119E-3</v>
      </c>
      <c r="I4" s="86"/>
    </row>
    <row r="5" spans="1:14" ht="11" x14ac:dyDescent="0.15">
      <c r="A5" s="257" t="s">
        <v>292</v>
      </c>
      <c r="B5" s="257">
        <v>6</v>
      </c>
      <c r="C5" s="257" t="s">
        <v>353</v>
      </c>
      <c r="D5" s="384">
        <v>0.98416422287390026</v>
      </c>
      <c r="I5" s="86"/>
    </row>
    <row r="6" spans="1:14" ht="11" x14ac:dyDescent="0.15">
      <c r="A6" s="257" t="s">
        <v>292</v>
      </c>
      <c r="B6" s="257">
        <v>6</v>
      </c>
      <c r="C6" s="257" t="s">
        <v>353</v>
      </c>
      <c r="D6" s="384">
        <v>0.98533988373686177</v>
      </c>
      <c r="I6" s="86"/>
    </row>
    <row r="7" spans="1:14" ht="11" x14ac:dyDescent="0.15">
      <c r="A7" s="257" t="s">
        <v>292</v>
      </c>
      <c r="B7" s="257">
        <v>6</v>
      </c>
      <c r="C7" s="257" t="s">
        <v>353</v>
      </c>
      <c r="D7" s="384">
        <v>0.98702317780110049</v>
      </c>
      <c r="I7" s="86"/>
    </row>
    <row r="8" spans="1:14" ht="11" x14ac:dyDescent="0.15">
      <c r="A8" s="257" t="s">
        <v>293</v>
      </c>
      <c r="B8" s="257">
        <v>7</v>
      </c>
      <c r="C8" s="257" t="s">
        <v>354</v>
      </c>
      <c r="D8" s="384">
        <v>0.98108749353147362</v>
      </c>
      <c r="I8" s="86"/>
    </row>
    <row r="9" spans="1:14" ht="11" x14ac:dyDescent="0.15">
      <c r="A9" s="257" t="s">
        <v>293</v>
      </c>
      <c r="B9" s="257">
        <v>7</v>
      </c>
      <c r="C9" s="257" t="s">
        <v>354</v>
      </c>
      <c r="D9" s="384">
        <v>0.98183523709950049</v>
      </c>
      <c r="I9" s="86"/>
    </row>
    <row r="10" spans="1:14" ht="11" x14ac:dyDescent="0.15">
      <c r="A10" s="257" t="s">
        <v>293</v>
      </c>
      <c r="B10" s="257">
        <v>7</v>
      </c>
      <c r="C10" s="257" t="s">
        <v>354</v>
      </c>
      <c r="D10" s="384">
        <v>0.98228220794955645</v>
      </c>
      <c r="I10" s="86"/>
    </row>
    <row r="11" spans="1:14" ht="11" x14ac:dyDescent="0.15">
      <c r="A11" s="257" t="s">
        <v>294</v>
      </c>
      <c r="B11" s="257">
        <v>8</v>
      </c>
      <c r="C11" s="257" t="s">
        <v>355</v>
      </c>
      <c r="D11" s="384">
        <v>0.98115998214710387</v>
      </c>
      <c r="I11" s="86"/>
    </row>
    <row r="12" spans="1:14" ht="11" x14ac:dyDescent="0.15">
      <c r="A12" s="257" t="s">
        <v>294</v>
      </c>
      <c r="B12" s="257">
        <v>8</v>
      </c>
      <c r="C12" s="257" t="s">
        <v>355</v>
      </c>
      <c r="D12" s="384">
        <v>0.98209583648356247</v>
      </c>
      <c r="I12" s="86"/>
    </row>
    <row r="13" spans="1:14" ht="11" x14ac:dyDescent="0.15">
      <c r="A13" s="257" t="s">
        <v>294</v>
      </c>
      <c r="B13" s="257">
        <v>8</v>
      </c>
      <c r="C13" s="257" t="s">
        <v>355</v>
      </c>
      <c r="D13" s="384">
        <v>0.9829957350866505</v>
      </c>
      <c r="I13" s="86"/>
    </row>
    <row r="14" spans="1:14" ht="11" x14ac:dyDescent="0.15">
      <c r="A14" s="257" t="s">
        <v>295</v>
      </c>
      <c r="B14" s="257">
        <v>9</v>
      </c>
      <c r="C14" s="257" t="s">
        <v>356</v>
      </c>
      <c r="D14" s="384">
        <v>0.9746662571796364</v>
      </c>
      <c r="I14" s="86"/>
    </row>
    <row r="15" spans="1:14" ht="11" x14ac:dyDescent="0.15">
      <c r="A15" s="257" t="s">
        <v>295</v>
      </c>
      <c r="B15" s="257">
        <v>9</v>
      </c>
      <c r="C15" s="257" t="s">
        <v>356</v>
      </c>
      <c r="D15" s="384">
        <v>0.97675102424872096</v>
      </c>
      <c r="I15" s="86"/>
    </row>
    <row r="16" spans="1:14" ht="11" x14ac:dyDescent="0.15">
      <c r="A16" s="257" t="s">
        <v>295</v>
      </c>
      <c r="B16" s="257">
        <v>9</v>
      </c>
      <c r="C16" s="257" t="s">
        <v>356</v>
      </c>
      <c r="D16" s="384">
        <v>0.97693750449290617</v>
      </c>
      <c r="I16" s="86"/>
    </row>
    <row r="17" spans="1:12" ht="11" x14ac:dyDescent="0.15">
      <c r="A17" s="257" t="s">
        <v>296</v>
      </c>
      <c r="B17" s="257">
        <v>10</v>
      </c>
      <c r="C17" s="257" t="s">
        <v>357</v>
      </c>
      <c r="D17" s="384">
        <v>0.98391479363881018</v>
      </c>
      <c r="I17" s="86"/>
    </row>
    <row r="18" spans="1:12" ht="11" x14ac:dyDescent="0.15">
      <c r="A18" s="257" t="s">
        <v>296</v>
      </c>
      <c r="B18" s="257">
        <v>10</v>
      </c>
      <c r="C18" s="257" t="s">
        <v>357</v>
      </c>
      <c r="D18" s="384">
        <v>0.98395332348981057</v>
      </c>
      <c r="F18" s="93"/>
      <c r="I18" s="86"/>
    </row>
    <row r="19" spans="1:12" ht="11" x14ac:dyDescent="0.15">
      <c r="A19" s="257" t="s">
        <v>296</v>
      </c>
      <c r="B19" s="257">
        <v>10</v>
      </c>
      <c r="C19" s="257" t="s">
        <v>357</v>
      </c>
      <c r="D19" s="384">
        <v>0.98668213033789853</v>
      </c>
      <c r="I19" s="86"/>
    </row>
    <row r="20" spans="1:12" ht="11" x14ac:dyDescent="0.15">
      <c r="A20" s="257" t="s">
        <v>297</v>
      </c>
      <c r="B20" s="257">
        <v>11</v>
      </c>
      <c r="C20" s="257" t="s">
        <v>358</v>
      </c>
      <c r="D20" s="384">
        <v>0.9823771613222666</v>
      </c>
      <c r="I20" s="86"/>
    </row>
    <row r="21" spans="1:12" ht="11" x14ac:dyDescent="0.15">
      <c r="A21" s="257" t="s">
        <v>297</v>
      </c>
      <c r="B21" s="257">
        <v>11</v>
      </c>
      <c r="C21" s="257" t="s">
        <v>358</v>
      </c>
      <c r="D21" s="384">
        <v>0.98428591022199585</v>
      </c>
      <c r="I21" s="86"/>
    </row>
    <row r="22" spans="1:12" ht="11" x14ac:dyDescent="0.15">
      <c r="A22" s="257" t="s">
        <v>297</v>
      </c>
      <c r="B22" s="257">
        <v>11</v>
      </c>
      <c r="C22" s="257" t="s">
        <v>358</v>
      </c>
      <c r="D22" s="384">
        <v>0.98703694617535942</v>
      </c>
      <c r="I22" s="86"/>
    </row>
    <row r="23" spans="1:12" ht="11" x14ac:dyDescent="0.15">
      <c r="A23" s="257" t="s">
        <v>298</v>
      </c>
      <c r="B23" s="257">
        <v>12</v>
      </c>
      <c r="C23" s="257" t="s">
        <v>359</v>
      </c>
      <c r="D23" s="384">
        <v>0.98342145703643891</v>
      </c>
    </row>
    <row r="24" spans="1:12" ht="11" x14ac:dyDescent="0.15">
      <c r="A24" s="257" t="s">
        <v>298</v>
      </c>
      <c r="B24" s="257">
        <v>12</v>
      </c>
      <c r="C24" s="257" t="s">
        <v>359</v>
      </c>
      <c r="D24" s="384">
        <v>0.98453762879874784</v>
      </c>
      <c r="J24" s="86"/>
      <c r="L24" s="86"/>
    </row>
    <row r="25" spans="1:12" ht="11" x14ac:dyDescent="0.15">
      <c r="A25" s="257" t="s">
        <v>298</v>
      </c>
      <c r="B25" s="257">
        <v>12</v>
      </c>
      <c r="C25" s="257" t="s">
        <v>359</v>
      </c>
      <c r="D25" s="384">
        <v>0.98509126466753583</v>
      </c>
      <c r="J25" s="86"/>
      <c r="L25" s="86"/>
    </row>
    <row r="26" spans="1:12" ht="11" x14ac:dyDescent="0.15">
      <c r="A26" s="257" t="s">
        <v>300</v>
      </c>
      <c r="B26" s="257">
        <v>14</v>
      </c>
      <c r="C26" s="257" t="s">
        <v>360</v>
      </c>
      <c r="D26" s="384">
        <v>0.98170733693085788</v>
      </c>
      <c r="J26" s="86"/>
      <c r="L26" s="86"/>
    </row>
    <row r="27" spans="1:12" ht="11" x14ac:dyDescent="0.15">
      <c r="A27" s="257" t="s">
        <v>300</v>
      </c>
      <c r="B27" s="257">
        <v>14</v>
      </c>
      <c r="C27" s="257" t="s">
        <v>360</v>
      </c>
      <c r="D27" s="384">
        <v>0.9822255385287112</v>
      </c>
      <c r="J27" s="86"/>
      <c r="L27" s="86"/>
    </row>
    <row r="28" spans="1:12" ht="11" x14ac:dyDescent="0.15">
      <c r="A28" s="257" t="s">
        <v>300</v>
      </c>
      <c r="B28" s="257">
        <v>14</v>
      </c>
      <c r="C28" s="257" t="s">
        <v>360</v>
      </c>
      <c r="D28" s="384">
        <v>0.98553719008264462</v>
      </c>
      <c r="J28" s="86"/>
      <c r="L28" s="86"/>
    </row>
    <row r="29" spans="1:12" ht="11" x14ac:dyDescent="0.15">
      <c r="A29" s="257" t="s">
        <v>301</v>
      </c>
      <c r="B29" s="257">
        <v>15</v>
      </c>
      <c r="C29" s="257" t="s">
        <v>361</v>
      </c>
      <c r="D29" s="384">
        <v>0.97530436601033832</v>
      </c>
      <c r="J29" s="86"/>
      <c r="L29" s="86"/>
    </row>
    <row r="30" spans="1:12" ht="11" x14ac:dyDescent="0.15">
      <c r="A30" s="257" t="s">
        <v>301</v>
      </c>
      <c r="B30" s="257">
        <v>15</v>
      </c>
      <c r="C30" s="257" t="s">
        <v>361</v>
      </c>
      <c r="D30" s="384">
        <v>0.97653631284916198</v>
      </c>
      <c r="J30" s="86"/>
      <c r="L30" s="86"/>
    </row>
    <row r="31" spans="1:12" ht="11" x14ac:dyDescent="0.15">
      <c r="A31" s="257" t="s">
        <v>301</v>
      </c>
      <c r="B31" s="257">
        <v>15</v>
      </c>
      <c r="C31" s="257" t="s">
        <v>361</v>
      </c>
      <c r="D31" s="384">
        <v>0.9774613464378602</v>
      </c>
      <c r="J31" s="86"/>
      <c r="L31" s="86"/>
    </row>
    <row r="32" spans="1:12" ht="11" x14ac:dyDescent="0.15">
      <c r="A32" s="257" t="s">
        <v>302</v>
      </c>
      <c r="B32" s="257">
        <v>16</v>
      </c>
      <c r="C32" s="257" t="s">
        <v>362</v>
      </c>
      <c r="D32" s="384">
        <v>0.97873850180000133</v>
      </c>
      <c r="J32" s="86"/>
      <c r="L32" s="86"/>
    </row>
    <row r="33" spans="1:12" ht="11" x14ac:dyDescent="0.15">
      <c r="A33" s="257" t="s">
        <v>302</v>
      </c>
      <c r="B33" s="257">
        <v>16</v>
      </c>
      <c r="C33" s="257" t="s">
        <v>362</v>
      </c>
      <c r="D33" s="384">
        <v>0.97983563500804871</v>
      </c>
      <c r="J33" s="86"/>
      <c r="L33" s="86"/>
    </row>
    <row r="34" spans="1:12" ht="11" x14ac:dyDescent="0.15">
      <c r="A34" s="257" t="s">
        <v>302</v>
      </c>
      <c r="B34" s="257">
        <v>16</v>
      </c>
      <c r="C34" s="257" t="s">
        <v>362</v>
      </c>
      <c r="D34" s="384">
        <v>0.98148486668581725</v>
      </c>
      <c r="J34" s="86"/>
      <c r="L34" s="86"/>
    </row>
    <row r="35" spans="1:12" ht="11" x14ac:dyDescent="0.15">
      <c r="A35" s="257" t="s">
        <v>303</v>
      </c>
      <c r="B35" s="257">
        <v>17</v>
      </c>
      <c r="C35" s="257" t="s">
        <v>363</v>
      </c>
      <c r="D35" s="384">
        <v>0.9808746114500434</v>
      </c>
      <c r="J35" s="86"/>
      <c r="L35" s="86"/>
    </row>
    <row r="36" spans="1:12" ht="11" x14ac:dyDescent="0.15">
      <c r="A36" s="257" t="s">
        <v>303</v>
      </c>
      <c r="B36" s="257">
        <v>17</v>
      </c>
      <c r="C36" s="257" t="s">
        <v>363</v>
      </c>
      <c r="D36" s="384">
        <v>0.98259279779877773</v>
      </c>
      <c r="J36" s="86"/>
      <c r="L36" s="86"/>
    </row>
    <row r="37" spans="1:12" ht="11" x14ac:dyDescent="0.15">
      <c r="A37" s="257" t="s">
        <v>303</v>
      </c>
      <c r="B37" s="257">
        <v>17</v>
      </c>
      <c r="C37" s="257" t="s">
        <v>363</v>
      </c>
      <c r="D37" s="384">
        <v>0.98995144786472378</v>
      </c>
      <c r="J37" s="86"/>
      <c r="L37" s="86"/>
    </row>
    <row r="38" spans="1:12" ht="11" x14ac:dyDescent="0.15">
      <c r="A38" s="257" t="s">
        <v>304</v>
      </c>
      <c r="B38" s="257">
        <v>18</v>
      </c>
      <c r="C38" s="257" t="s">
        <v>364</v>
      </c>
      <c r="D38" s="384">
        <v>0.98226773985282934</v>
      </c>
      <c r="J38" s="86"/>
      <c r="L38" s="86"/>
    </row>
    <row r="39" spans="1:12" ht="11" x14ac:dyDescent="0.15">
      <c r="A39" s="257" t="s">
        <v>304</v>
      </c>
      <c r="B39" s="257">
        <v>18</v>
      </c>
      <c r="C39" s="257" t="s">
        <v>364</v>
      </c>
      <c r="D39" s="384">
        <v>0.98372501790248024</v>
      </c>
      <c r="J39" s="86"/>
      <c r="L39" s="86"/>
    </row>
    <row r="40" spans="1:12" ht="11" x14ac:dyDescent="0.15">
      <c r="A40" s="257" t="s">
        <v>304</v>
      </c>
      <c r="B40" s="257">
        <v>18</v>
      </c>
      <c r="C40" s="257" t="s">
        <v>364</v>
      </c>
      <c r="D40" s="384">
        <v>0.98385915799440693</v>
      </c>
      <c r="J40" s="86"/>
      <c r="L40" s="86"/>
    </row>
    <row r="41" spans="1:12" ht="11" x14ac:dyDescent="0.15">
      <c r="A41" s="257" t="s">
        <v>305</v>
      </c>
      <c r="B41" s="257">
        <v>19</v>
      </c>
      <c r="C41" s="257" t="s">
        <v>365</v>
      </c>
      <c r="D41" s="384">
        <v>0.98597789824854021</v>
      </c>
      <c r="J41" s="86"/>
      <c r="L41" s="86"/>
    </row>
    <row r="42" spans="1:12" ht="11" x14ac:dyDescent="0.15">
      <c r="A42" s="257" t="s">
        <v>305</v>
      </c>
      <c r="B42" s="257">
        <v>19</v>
      </c>
      <c r="C42" s="257" t="s">
        <v>365</v>
      </c>
      <c r="D42" s="384">
        <v>0.98895503681654395</v>
      </c>
      <c r="J42" s="86"/>
      <c r="L42" s="86"/>
    </row>
    <row r="43" spans="1:12" ht="11" x14ac:dyDescent="0.15">
      <c r="A43" s="257" t="s">
        <v>305</v>
      </c>
      <c r="B43" s="257">
        <v>19</v>
      </c>
      <c r="C43" s="257" t="s">
        <v>365</v>
      </c>
      <c r="D43" s="384">
        <v>0.99034612667765487</v>
      </c>
      <c r="J43" s="86"/>
      <c r="L43" s="86"/>
    </row>
    <row r="44" spans="1:12" ht="11" x14ac:dyDescent="0.15">
      <c r="A44" s="257" t="s">
        <v>306</v>
      </c>
      <c r="B44" s="257">
        <v>20</v>
      </c>
      <c r="C44" s="257" t="s">
        <v>366</v>
      </c>
      <c r="D44" s="384">
        <v>0.98213217515303886</v>
      </c>
      <c r="J44" s="86"/>
      <c r="L44" s="86"/>
    </row>
    <row r="45" spans="1:12" ht="11" x14ac:dyDescent="0.15">
      <c r="A45" s="257" t="s">
        <v>306</v>
      </c>
      <c r="B45" s="257">
        <v>20</v>
      </c>
      <c r="C45" s="257" t="s">
        <v>366</v>
      </c>
      <c r="D45" s="384">
        <v>0.98255292385874604</v>
      </c>
      <c r="J45" s="86"/>
      <c r="L45" s="86"/>
    </row>
    <row r="46" spans="1:12" ht="11" x14ac:dyDescent="0.15">
      <c r="A46" s="257" t="s">
        <v>306</v>
      </c>
      <c r="B46" s="257">
        <v>20</v>
      </c>
      <c r="C46" s="257" t="s">
        <v>366</v>
      </c>
      <c r="D46" s="384">
        <v>0.98570012464544754</v>
      </c>
      <c r="J46" s="86"/>
      <c r="L46" s="86"/>
    </row>
    <row r="47" spans="1:12" ht="11" x14ac:dyDescent="0.15">
      <c r="A47" s="257" t="s">
        <v>307</v>
      </c>
      <c r="B47" s="257">
        <v>21</v>
      </c>
      <c r="C47" s="257" t="s">
        <v>367</v>
      </c>
      <c r="D47" s="384">
        <v>0.98789493073735624</v>
      </c>
      <c r="J47" s="86"/>
      <c r="L47" s="86"/>
    </row>
    <row r="48" spans="1:12" ht="11" x14ac:dyDescent="0.15">
      <c r="A48" s="257" t="s">
        <v>307</v>
      </c>
      <c r="B48" s="257">
        <v>21</v>
      </c>
      <c r="C48" s="257" t="s">
        <v>367</v>
      </c>
      <c r="D48" s="384">
        <v>0.98804804275687896</v>
      </c>
      <c r="J48" s="86"/>
      <c r="L48" s="86"/>
    </row>
    <row r="49" spans="1:12" ht="11" x14ac:dyDescent="0.15">
      <c r="A49" s="257" t="s">
        <v>307</v>
      </c>
      <c r="B49" s="257">
        <v>21</v>
      </c>
      <c r="C49" s="257" t="s">
        <v>367</v>
      </c>
      <c r="D49" s="384">
        <v>0.98827241960563961</v>
      </c>
      <c r="J49" s="86"/>
      <c r="L49" s="86"/>
    </row>
    <row r="50" spans="1:12" ht="11" x14ac:dyDescent="0.15">
      <c r="A50" s="257" t="s">
        <v>308</v>
      </c>
      <c r="B50" s="257">
        <v>22</v>
      </c>
      <c r="C50" s="257" t="s">
        <v>368</v>
      </c>
      <c r="D50" s="384">
        <v>0.98715383083537633</v>
      </c>
      <c r="J50" s="86"/>
      <c r="L50" s="86"/>
    </row>
    <row r="51" spans="1:12" ht="11" x14ac:dyDescent="0.15">
      <c r="A51" s="257" t="s">
        <v>308</v>
      </c>
      <c r="B51" s="257">
        <v>22</v>
      </c>
      <c r="C51" s="257" t="s">
        <v>368</v>
      </c>
      <c r="D51" s="384">
        <v>0.9878539602748444</v>
      </c>
    </row>
    <row r="52" spans="1:12" ht="11" x14ac:dyDescent="0.15">
      <c r="A52" s="257" t="s">
        <v>308</v>
      </c>
      <c r="B52" s="257">
        <v>22</v>
      </c>
      <c r="C52" s="257" t="s">
        <v>368</v>
      </c>
      <c r="D52" s="384">
        <v>0.98817120724227792</v>
      </c>
    </row>
    <row r="53" spans="1:12" ht="11" x14ac:dyDescent="0.15">
      <c r="A53" s="257" t="s">
        <v>309</v>
      </c>
      <c r="B53" s="257">
        <v>23</v>
      </c>
      <c r="C53" s="257" t="s">
        <v>369</v>
      </c>
      <c r="D53" s="384">
        <v>0.98478823701822094</v>
      </c>
    </row>
    <row r="54" spans="1:12" ht="11" x14ac:dyDescent="0.15">
      <c r="A54" s="257" t="s">
        <v>309</v>
      </c>
      <c r="B54" s="257">
        <v>23</v>
      </c>
      <c r="C54" s="257" t="s">
        <v>369</v>
      </c>
      <c r="D54" s="384">
        <v>0.98481646708930104</v>
      </c>
    </row>
    <row r="55" spans="1:12" ht="11" x14ac:dyDescent="0.15">
      <c r="A55" s="257" t="s">
        <v>309</v>
      </c>
      <c r="B55" s="257">
        <v>23</v>
      </c>
      <c r="C55" s="257" t="s">
        <v>369</v>
      </c>
      <c r="D55" s="384">
        <v>0.98525356437386313</v>
      </c>
    </row>
    <row r="56" spans="1:12" ht="11" x14ac:dyDescent="0.15">
      <c r="A56" s="257" t="s">
        <v>310</v>
      </c>
      <c r="B56" s="257">
        <v>24</v>
      </c>
      <c r="C56" s="257" t="s">
        <v>370</v>
      </c>
      <c r="D56" s="384">
        <v>0.97573886193206893</v>
      </c>
    </row>
    <row r="57" spans="1:12" ht="11" x14ac:dyDescent="0.15">
      <c r="A57" s="257" t="s">
        <v>310</v>
      </c>
      <c r="B57" s="257">
        <v>24</v>
      </c>
      <c r="C57" s="257" t="s">
        <v>370</v>
      </c>
      <c r="D57" s="384">
        <v>0.97631744040150581</v>
      </c>
    </row>
    <row r="58" spans="1:12" ht="11" x14ac:dyDescent="0.15">
      <c r="A58" s="257" t="s">
        <v>310</v>
      </c>
      <c r="B58" s="257">
        <v>24</v>
      </c>
      <c r="C58" s="257" t="s">
        <v>370</v>
      </c>
      <c r="D58" s="384">
        <v>0.97747279678462884</v>
      </c>
    </row>
    <row r="59" spans="1:12" ht="11" x14ac:dyDescent="0.15">
      <c r="A59" s="257" t="s">
        <v>311</v>
      </c>
      <c r="B59" s="257">
        <v>25</v>
      </c>
      <c r="C59" s="257" t="s">
        <v>371</v>
      </c>
      <c r="D59" s="384">
        <v>0.98395914139417251</v>
      </c>
    </row>
    <row r="60" spans="1:12" ht="11" x14ac:dyDescent="0.15">
      <c r="A60" s="257" t="s">
        <v>311</v>
      </c>
      <c r="B60" s="257">
        <v>25</v>
      </c>
      <c r="C60" s="257" t="s">
        <v>371</v>
      </c>
      <c r="D60" s="384">
        <v>0.98422675831786932</v>
      </c>
    </row>
    <row r="61" spans="1:12" ht="11" x14ac:dyDescent="0.15">
      <c r="A61" s="257" t="s">
        <v>311</v>
      </c>
      <c r="B61" s="257">
        <v>25</v>
      </c>
      <c r="C61" s="257" t="s">
        <v>371</v>
      </c>
      <c r="D61" s="384">
        <v>0.98482709950599856</v>
      </c>
    </row>
    <row r="62" spans="1:12" ht="11" x14ac:dyDescent="0.15">
      <c r="A62" s="257" t="s">
        <v>312</v>
      </c>
      <c r="B62" s="257">
        <v>26</v>
      </c>
      <c r="C62" s="257" t="s">
        <v>372</v>
      </c>
      <c r="D62" s="384">
        <v>0.9767055775102701</v>
      </c>
    </row>
    <row r="63" spans="1:12" ht="11" x14ac:dyDescent="0.15">
      <c r="A63" s="257" t="s">
        <v>312</v>
      </c>
      <c r="B63" s="257">
        <v>26</v>
      </c>
      <c r="C63" s="257" t="s">
        <v>372</v>
      </c>
      <c r="D63" s="384">
        <v>0.9797436066554388</v>
      </c>
    </row>
    <row r="64" spans="1:12" ht="11" x14ac:dyDescent="0.15">
      <c r="A64" s="257" t="s">
        <v>312</v>
      </c>
      <c r="B64" s="257">
        <v>26</v>
      </c>
      <c r="C64" s="257" t="s">
        <v>372</v>
      </c>
      <c r="D64" s="384">
        <v>0.98166992530303354</v>
      </c>
    </row>
    <row r="65" spans="1:4" ht="11" x14ac:dyDescent="0.15">
      <c r="A65" s="257" t="s">
        <v>313</v>
      </c>
      <c r="B65" s="257">
        <v>27</v>
      </c>
      <c r="C65" s="257" t="s">
        <v>373</v>
      </c>
      <c r="D65" s="384">
        <v>0.98128749099890189</v>
      </c>
    </row>
    <row r="66" spans="1:4" ht="11" x14ac:dyDescent="0.15">
      <c r="A66" s="257" t="s">
        <v>313</v>
      </c>
      <c r="B66" s="257">
        <v>27</v>
      </c>
      <c r="C66" s="257" t="s">
        <v>373</v>
      </c>
      <c r="D66" s="384">
        <v>0.98385698172500802</v>
      </c>
    </row>
    <row r="67" spans="1:4" ht="11" x14ac:dyDescent="0.15">
      <c r="A67" s="257" t="s">
        <v>313</v>
      </c>
      <c r="B67" s="257">
        <v>27</v>
      </c>
      <c r="C67" s="257" t="s">
        <v>373</v>
      </c>
      <c r="D67" s="384">
        <v>0.98515904287242639</v>
      </c>
    </row>
    <row r="68" spans="1:4" ht="11" x14ac:dyDescent="0.15">
      <c r="A68" s="257" t="s">
        <v>314</v>
      </c>
      <c r="B68" s="257">
        <v>28</v>
      </c>
      <c r="C68" s="257" t="s">
        <v>374</v>
      </c>
      <c r="D68" s="384">
        <v>0.98401593200262938</v>
      </c>
    </row>
    <row r="69" spans="1:4" ht="11" x14ac:dyDescent="0.15">
      <c r="A69" s="257" t="s">
        <v>314</v>
      </c>
      <c r="B69" s="257">
        <v>28</v>
      </c>
      <c r="C69" s="257" t="s">
        <v>374</v>
      </c>
      <c r="D69" s="384">
        <v>0.98425299323269133</v>
      </c>
    </row>
    <row r="70" spans="1:4" ht="11" x14ac:dyDescent="0.15">
      <c r="A70" s="257" t="s">
        <v>314</v>
      </c>
      <c r="B70" s="257">
        <v>28</v>
      </c>
      <c r="C70" s="257" t="s">
        <v>374</v>
      </c>
      <c r="D70" s="384">
        <v>0.98486111834905421</v>
      </c>
    </row>
    <row r="71" spans="1:4" ht="11" x14ac:dyDescent="0.15">
      <c r="A71" s="257" t="s">
        <v>315</v>
      </c>
      <c r="B71" s="257">
        <v>29</v>
      </c>
      <c r="C71" s="257" t="s">
        <v>375</v>
      </c>
      <c r="D71" s="384">
        <v>0.97972018411338468</v>
      </c>
    </row>
    <row r="72" spans="1:4" ht="11" x14ac:dyDescent="0.15">
      <c r="A72" s="257" t="s">
        <v>315</v>
      </c>
      <c r="B72" s="257">
        <v>29</v>
      </c>
      <c r="C72" s="257" t="s">
        <v>375</v>
      </c>
      <c r="D72" s="384">
        <v>0.98060313945157296</v>
      </c>
    </row>
    <row r="73" spans="1:4" ht="11" x14ac:dyDescent="0.15">
      <c r="A73" s="257" t="s">
        <v>315</v>
      </c>
      <c r="B73" s="257">
        <v>29</v>
      </c>
      <c r="C73" s="257" t="s">
        <v>375</v>
      </c>
      <c r="D73" s="384">
        <v>0.9833877071642958</v>
      </c>
    </row>
    <row r="74" spans="1:4" ht="11" x14ac:dyDescent="0.15">
      <c r="A74" s="257" t="s">
        <v>316</v>
      </c>
      <c r="B74" s="257">
        <v>30</v>
      </c>
      <c r="C74" s="257" t="s">
        <v>376</v>
      </c>
      <c r="D74" s="384">
        <v>0.98241194551945132</v>
      </c>
    </row>
    <row r="75" spans="1:4" ht="11" x14ac:dyDescent="0.15">
      <c r="A75" s="257" t="s">
        <v>316</v>
      </c>
      <c r="B75" s="257">
        <v>30</v>
      </c>
      <c r="C75" s="257" t="s">
        <v>376</v>
      </c>
      <c r="D75" s="384">
        <v>0.98408117425825314</v>
      </c>
    </row>
    <row r="76" spans="1:4" ht="11" x14ac:dyDescent="0.15">
      <c r="A76" s="257" t="s">
        <v>316</v>
      </c>
      <c r="B76" s="257">
        <v>30</v>
      </c>
      <c r="C76" s="257" t="s">
        <v>376</v>
      </c>
      <c r="D76" s="384">
        <v>0.98470800250731305</v>
      </c>
    </row>
    <row r="77" spans="1:4" ht="11" x14ac:dyDescent="0.15">
      <c r="A77" s="257" t="s">
        <v>317</v>
      </c>
      <c r="B77" s="257">
        <v>31</v>
      </c>
      <c r="C77" s="257" t="s">
        <v>377</v>
      </c>
      <c r="D77" s="384">
        <v>0.97743953049127197</v>
      </c>
    </row>
    <row r="78" spans="1:4" ht="11" x14ac:dyDescent="0.15">
      <c r="A78" s="257" t="s">
        <v>317</v>
      </c>
      <c r="B78" s="257">
        <v>31</v>
      </c>
      <c r="C78" s="257" t="s">
        <v>377</v>
      </c>
      <c r="D78" s="384">
        <v>0.97832714155483891</v>
      </c>
    </row>
    <row r="79" spans="1:4" ht="11" x14ac:dyDescent="0.15">
      <c r="A79" s="257" t="s">
        <v>317</v>
      </c>
      <c r="B79" s="257">
        <v>31</v>
      </c>
      <c r="C79" s="257" t="s">
        <v>377</v>
      </c>
      <c r="D79" s="384">
        <v>0.97840833344225009</v>
      </c>
    </row>
    <row r="80" spans="1:4" ht="11" x14ac:dyDescent="0.15">
      <c r="A80" s="257" t="s">
        <v>318</v>
      </c>
      <c r="B80" s="257">
        <v>32</v>
      </c>
      <c r="C80" s="257" t="s">
        <v>378</v>
      </c>
      <c r="D80" s="384">
        <v>0.98469540536669831</v>
      </c>
    </row>
    <row r="81" spans="1:4" ht="11" x14ac:dyDescent="0.15">
      <c r="A81" s="257" t="s">
        <v>318</v>
      </c>
      <c r="B81" s="257">
        <v>32</v>
      </c>
      <c r="C81" s="257" t="s">
        <v>378</v>
      </c>
      <c r="D81" s="384">
        <v>0.98491886152062169</v>
      </c>
    </row>
    <row r="82" spans="1:4" ht="11" x14ac:dyDescent="0.15">
      <c r="A82" s="257" t="s">
        <v>318</v>
      </c>
      <c r="B82" s="257">
        <v>32</v>
      </c>
      <c r="C82" s="257" t="s">
        <v>378</v>
      </c>
      <c r="D82" s="384">
        <v>0.98537359959130699</v>
      </c>
    </row>
    <row r="83" spans="1:4" ht="11" x14ac:dyDescent="0.15">
      <c r="A83" s="257" t="s">
        <v>319</v>
      </c>
      <c r="B83" s="257">
        <v>33</v>
      </c>
      <c r="C83" s="257" t="s">
        <v>379</v>
      </c>
      <c r="D83" s="384">
        <v>0.97934380131185517</v>
      </c>
    </row>
    <row r="84" spans="1:4" ht="11" x14ac:dyDescent="0.15">
      <c r="A84" s="257" t="s">
        <v>319</v>
      </c>
      <c r="B84" s="257">
        <v>33</v>
      </c>
      <c r="C84" s="257" t="s">
        <v>379</v>
      </c>
      <c r="D84" s="384">
        <v>0.98205484765377671</v>
      </c>
    </row>
    <row r="85" spans="1:4" ht="11" x14ac:dyDescent="0.15">
      <c r="A85" s="257" t="s">
        <v>319</v>
      </c>
      <c r="B85" s="257">
        <v>33</v>
      </c>
      <c r="C85" s="257" t="s">
        <v>379</v>
      </c>
      <c r="D85" s="384">
        <v>0.98674855150355256</v>
      </c>
    </row>
    <row r="86" spans="1:4" ht="11" x14ac:dyDescent="0.15">
      <c r="A86" s="257" t="s">
        <v>320</v>
      </c>
      <c r="B86" s="257">
        <v>34</v>
      </c>
      <c r="C86" s="257" t="s">
        <v>380</v>
      </c>
      <c r="D86" s="384">
        <v>0.97523917816813044</v>
      </c>
    </row>
    <row r="87" spans="1:4" ht="11" x14ac:dyDescent="0.15">
      <c r="A87" s="257" t="s">
        <v>320</v>
      </c>
      <c r="B87" s="257">
        <v>34</v>
      </c>
      <c r="C87" s="257" t="s">
        <v>380</v>
      </c>
      <c r="D87" s="384">
        <v>0.97540731833242922</v>
      </c>
    </row>
    <row r="88" spans="1:4" ht="11" x14ac:dyDescent="0.15">
      <c r="A88" s="257" t="s">
        <v>320</v>
      </c>
      <c r="B88" s="257">
        <v>34</v>
      </c>
      <c r="C88" s="257" t="s">
        <v>380</v>
      </c>
      <c r="D88" s="384">
        <v>0.97630421570613557</v>
      </c>
    </row>
    <row r="89" spans="1:4" ht="11" x14ac:dyDescent="0.15">
      <c r="A89" s="257" t="s">
        <v>321</v>
      </c>
      <c r="B89" s="257">
        <v>35</v>
      </c>
      <c r="C89" s="257" t="s">
        <v>381</v>
      </c>
      <c r="D89" s="384">
        <v>0.98003515903253857</v>
      </c>
    </row>
    <row r="90" spans="1:4" ht="11" x14ac:dyDescent="0.15">
      <c r="A90" s="257" t="s">
        <v>321</v>
      </c>
      <c r="B90" s="257">
        <v>35</v>
      </c>
      <c r="C90" s="257" t="s">
        <v>381</v>
      </c>
      <c r="D90" s="384">
        <v>0.98042162769725416</v>
      </c>
    </row>
    <row r="91" spans="1:4" ht="11" x14ac:dyDescent="0.15">
      <c r="A91" s="257" t="s">
        <v>321</v>
      </c>
      <c r="B91" s="257">
        <v>35</v>
      </c>
      <c r="C91" s="257" t="s">
        <v>381</v>
      </c>
      <c r="D91" s="384">
        <v>0.98301196906276656</v>
      </c>
    </row>
    <row r="92" spans="1:4" ht="11" x14ac:dyDescent="0.15">
      <c r="A92" s="257" t="s">
        <v>322</v>
      </c>
      <c r="B92" s="257">
        <v>36</v>
      </c>
      <c r="C92" s="257" t="s">
        <v>382</v>
      </c>
      <c r="D92" s="384">
        <v>0.98052818597144309</v>
      </c>
    </row>
    <row r="93" spans="1:4" ht="11" x14ac:dyDescent="0.15">
      <c r="A93" s="257" t="s">
        <v>322</v>
      </c>
      <c r="B93" s="257">
        <v>36</v>
      </c>
      <c r="C93" s="257" t="s">
        <v>382</v>
      </c>
      <c r="D93" s="384">
        <v>0.98182706081521032</v>
      </c>
    </row>
    <row r="94" spans="1:4" ht="11" x14ac:dyDescent="0.15">
      <c r="A94" s="257" t="s">
        <v>322</v>
      </c>
      <c r="B94" s="257">
        <v>36</v>
      </c>
      <c r="C94" s="257" t="s">
        <v>382</v>
      </c>
      <c r="D94" s="384">
        <v>0.98250869355699988</v>
      </c>
    </row>
    <row r="95" spans="1:4" ht="11" x14ac:dyDescent="0.15">
      <c r="A95" s="257" t="s">
        <v>323</v>
      </c>
      <c r="B95" s="257">
        <v>37</v>
      </c>
      <c r="C95" s="257" t="s">
        <v>383</v>
      </c>
      <c r="D95" s="384">
        <v>0.98011796414202557</v>
      </c>
    </row>
    <row r="96" spans="1:4" ht="11" x14ac:dyDescent="0.15">
      <c r="A96" s="257" t="s">
        <v>323</v>
      </c>
      <c r="B96" s="257">
        <v>37</v>
      </c>
      <c r="C96" s="257" t="s">
        <v>383</v>
      </c>
      <c r="D96" s="384">
        <v>0.98040518749450267</v>
      </c>
    </row>
    <row r="97" spans="1:4" ht="11" x14ac:dyDescent="0.15">
      <c r="A97" s="257" t="s">
        <v>323</v>
      </c>
      <c r="B97" s="257">
        <v>37</v>
      </c>
      <c r="C97" s="257" t="s">
        <v>383</v>
      </c>
      <c r="D97" s="384">
        <v>0.98274984335839588</v>
      </c>
    </row>
    <row r="98" spans="1:4" ht="11" x14ac:dyDescent="0.15">
      <c r="A98" s="257" t="s">
        <v>324</v>
      </c>
      <c r="B98" s="257">
        <v>38</v>
      </c>
      <c r="C98" s="257" t="s">
        <v>384</v>
      </c>
      <c r="D98" s="384">
        <v>0.98901464713715048</v>
      </c>
    </row>
    <row r="99" spans="1:4" ht="11" x14ac:dyDescent="0.15">
      <c r="A99" s="257" t="s">
        <v>324</v>
      </c>
      <c r="B99" s="257">
        <v>38</v>
      </c>
      <c r="C99" s="257" t="s">
        <v>384</v>
      </c>
      <c r="D99" s="384">
        <v>0.9893825547206796</v>
      </c>
    </row>
    <row r="100" spans="1:4" ht="11" x14ac:dyDescent="0.15">
      <c r="A100" s="257" t="s">
        <v>324</v>
      </c>
      <c r="B100" s="257">
        <v>38</v>
      </c>
      <c r="C100" s="257" t="s">
        <v>384</v>
      </c>
      <c r="D100" s="384">
        <v>0.98944224536508707</v>
      </c>
    </row>
    <row r="101" spans="1:4" ht="11" x14ac:dyDescent="0.15">
      <c r="A101" s="257" t="s">
        <v>325</v>
      </c>
      <c r="B101" s="257">
        <v>39</v>
      </c>
      <c r="C101" s="257" t="s">
        <v>385</v>
      </c>
      <c r="D101" s="384">
        <v>0.98298152706101183</v>
      </c>
    </row>
    <row r="102" spans="1:4" ht="11" x14ac:dyDescent="0.15">
      <c r="A102" s="257" t="s">
        <v>325</v>
      </c>
      <c r="B102" s="257">
        <v>39</v>
      </c>
      <c r="C102" s="257" t="s">
        <v>385</v>
      </c>
      <c r="D102" s="384">
        <v>0.98495632381248965</v>
      </c>
    </row>
    <row r="103" spans="1:4" ht="11" x14ac:dyDescent="0.15">
      <c r="A103" s="257" t="s">
        <v>325</v>
      </c>
      <c r="B103" s="257">
        <v>39</v>
      </c>
      <c r="C103" s="257" t="s">
        <v>385</v>
      </c>
      <c r="D103" s="384">
        <v>0.98554674891510963</v>
      </c>
    </row>
    <row r="104" spans="1:4" ht="11" x14ac:dyDescent="0.15">
      <c r="A104" s="257" t="s">
        <v>326</v>
      </c>
      <c r="B104" s="257">
        <v>40</v>
      </c>
      <c r="C104" s="257" t="s">
        <v>386</v>
      </c>
      <c r="D104" s="384">
        <v>0.9861000587045855</v>
      </c>
    </row>
    <row r="105" spans="1:4" ht="11" x14ac:dyDescent="0.15">
      <c r="A105" s="257" t="s">
        <v>326</v>
      </c>
      <c r="B105" s="257">
        <v>40</v>
      </c>
      <c r="C105" s="257" t="s">
        <v>386</v>
      </c>
      <c r="D105" s="384">
        <v>0.98665883044372626</v>
      </c>
    </row>
    <row r="106" spans="1:4" ht="11" x14ac:dyDescent="0.15">
      <c r="A106" s="257" t="s">
        <v>326</v>
      </c>
      <c r="B106" s="257">
        <v>40</v>
      </c>
      <c r="C106" s="257" t="s">
        <v>386</v>
      </c>
      <c r="D106" s="384">
        <v>0.98693754329103345</v>
      </c>
    </row>
    <row r="107" spans="1:4" ht="11" x14ac:dyDescent="0.15">
      <c r="A107" s="257" t="s">
        <v>327</v>
      </c>
      <c r="B107" s="257">
        <v>41</v>
      </c>
      <c r="C107" s="257" t="s">
        <v>387</v>
      </c>
      <c r="D107" s="384">
        <v>0.98242464206203606</v>
      </c>
    </row>
    <row r="108" spans="1:4" ht="11" x14ac:dyDescent="0.15">
      <c r="A108" s="257" t="s">
        <v>327</v>
      </c>
      <c r="B108" s="257">
        <v>41</v>
      </c>
      <c r="C108" s="257" t="s">
        <v>387</v>
      </c>
      <c r="D108" s="384">
        <v>0.98298559566728105</v>
      </c>
    </row>
    <row r="109" spans="1:4" ht="11" x14ac:dyDescent="0.15">
      <c r="A109" s="257" t="s">
        <v>327</v>
      </c>
      <c r="B109" s="257">
        <v>41</v>
      </c>
      <c r="C109" s="257" t="s">
        <v>387</v>
      </c>
      <c r="D109" s="384">
        <v>0.98370482586593622</v>
      </c>
    </row>
    <row r="110" spans="1:4" ht="11" x14ac:dyDescent="0.15">
      <c r="A110" s="257" t="s">
        <v>328</v>
      </c>
      <c r="B110" s="257">
        <v>42</v>
      </c>
      <c r="C110" s="257" t="s">
        <v>388</v>
      </c>
      <c r="D110" s="384">
        <v>0.98279027973120825</v>
      </c>
    </row>
    <row r="111" spans="1:4" ht="11" x14ac:dyDescent="0.15">
      <c r="A111" s="257" t="s">
        <v>328</v>
      </c>
      <c r="B111" s="257">
        <v>42</v>
      </c>
      <c r="C111" s="257" t="s">
        <v>388</v>
      </c>
      <c r="D111" s="384">
        <v>0.98403148775747384</v>
      </c>
    </row>
    <row r="112" spans="1:4" ht="11" x14ac:dyDescent="0.15">
      <c r="A112" s="257" t="s">
        <v>328</v>
      </c>
      <c r="B112" s="257">
        <v>42</v>
      </c>
      <c r="C112" s="257" t="s">
        <v>388</v>
      </c>
      <c r="D112" s="384">
        <v>0.9844334782821127</v>
      </c>
    </row>
    <row r="113" spans="1:4" ht="11" x14ac:dyDescent="0.15">
      <c r="A113" s="257" t="s">
        <v>329</v>
      </c>
      <c r="B113" s="257">
        <v>43</v>
      </c>
      <c r="C113" s="257" t="s">
        <v>389</v>
      </c>
      <c r="D113" s="384">
        <v>0.98534165862815137</v>
      </c>
    </row>
    <row r="114" spans="1:4" ht="11" x14ac:dyDescent="0.15">
      <c r="A114" s="257" t="s">
        <v>329</v>
      </c>
      <c r="B114" s="257">
        <v>43</v>
      </c>
      <c r="C114" s="257" t="s">
        <v>389</v>
      </c>
      <c r="D114" s="384">
        <v>0.98679525803043922</v>
      </c>
    </row>
    <row r="115" spans="1:4" ht="11" x14ac:dyDescent="0.15">
      <c r="A115" s="257" t="s">
        <v>329</v>
      </c>
      <c r="B115" s="257">
        <v>43</v>
      </c>
      <c r="C115" s="257" t="s">
        <v>389</v>
      </c>
      <c r="D115" s="384">
        <v>0.99038970718026154</v>
      </c>
    </row>
    <row r="116" spans="1:4" ht="11" x14ac:dyDescent="0.15">
      <c r="A116" s="257" t="s">
        <v>330</v>
      </c>
      <c r="B116" s="257">
        <v>44</v>
      </c>
      <c r="C116" s="257" t="s">
        <v>390</v>
      </c>
      <c r="D116" s="384">
        <v>0.98069392498266639</v>
      </c>
    </row>
    <row r="117" spans="1:4" ht="11" x14ac:dyDescent="0.15">
      <c r="A117" s="257" t="s">
        <v>330</v>
      </c>
      <c r="B117" s="257">
        <v>44</v>
      </c>
      <c r="C117" s="257" t="s">
        <v>390</v>
      </c>
      <c r="D117" s="384">
        <v>0.98534531022007754</v>
      </c>
    </row>
    <row r="118" spans="1:4" ht="11" x14ac:dyDescent="0.15">
      <c r="A118" s="257" t="s">
        <v>330</v>
      </c>
      <c r="B118" s="257">
        <v>44</v>
      </c>
      <c r="C118" s="257" t="s">
        <v>390</v>
      </c>
      <c r="D118" s="384">
        <v>0.98657834251034648</v>
      </c>
    </row>
    <row r="119" spans="1:4" ht="11" x14ac:dyDescent="0.15">
      <c r="A119" s="257" t="s">
        <v>331</v>
      </c>
      <c r="B119" s="257">
        <v>45</v>
      </c>
      <c r="C119" s="257" t="s">
        <v>391</v>
      </c>
      <c r="D119" s="384">
        <v>0.98261956373152115</v>
      </c>
    </row>
    <row r="120" spans="1:4" ht="11" x14ac:dyDescent="0.15">
      <c r="A120" s="257" t="s">
        <v>331</v>
      </c>
      <c r="B120" s="257">
        <v>45</v>
      </c>
      <c r="C120" s="257" t="s">
        <v>391</v>
      </c>
      <c r="D120" s="384">
        <v>0.98302371213526363</v>
      </c>
    </row>
    <row r="121" spans="1:4" ht="11" x14ac:dyDescent="0.15">
      <c r="A121" s="257" t="s">
        <v>331</v>
      </c>
      <c r="B121" s="257">
        <v>45</v>
      </c>
      <c r="C121" s="257" t="s">
        <v>391</v>
      </c>
      <c r="D121" s="384">
        <v>0.98358798014927129</v>
      </c>
    </row>
    <row r="122" spans="1:4" ht="11" x14ac:dyDescent="0.15">
      <c r="A122" s="257" t="s">
        <v>332</v>
      </c>
      <c r="B122" s="257">
        <v>46</v>
      </c>
      <c r="C122" s="257" t="s">
        <v>392</v>
      </c>
      <c r="D122" s="384">
        <v>0.98011796414202568</v>
      </c>
    </row>
    <row r="123" spans="1:4" ht="11" x14ac:dyDescent="0.15">
      <c r="A123" s="257" t="s">
        <v>332</v>
      </c>
      <c r="B123" s="257">
        <v>46</v>
      </c>
      <c r="C123" s="257" t="s">
        <v>392</v>
      </c>
      <c r="D123" s="384">
        <v>0.98049457169466026</v>
      </c>
    </row>
    <row r="124" spans="1:4" ht="11" x14ac:dyDescent="0.15">
      <c r="A124" s="257" t="s">
        <v>332</v>
      </c>
      <c r="B124" s="257">
        <v>46</v>
      </c>
      <c r="C124" s="257" t="s">
        <v>392</v>
      </c>
      <c r="D124" s="384">
        <v>0.98080869276319638</v>
      </c>
    </row>
    <row r="125" spans="1:4" ht="11" x14ac:dyDescent="0.15">
      <c r="A125" s="257" t="s">
        <v>333</v>
      </c>
      <c r="B125" s="257">
        <v>47</v>
      </c>
      <c r="C125" s="257" t="s">
        <v>393</v>
      </c>
      <c r="D125" s="384">
        <v>0.98136747072286901</v>
      </c>
    </row>
    <row r="126" spans="1:4" ht="11" x14ac:dyDescent="0.15">
      <c r="A126" s="257" t="s">
        <v>333</v>
      </c>
      <c r="B126" s="257">
        <v>47</v>
      </c>
      <c r="C126" s="257" t="s">
        <v>393</v>
      </c>
      <c r="D126" s="384">
        <v>0.98272090419021318</v>
      </c>
    </row>
    <row r="127" spans="1:4" ht="11" x14ac:dyDescent="0.15">
      <c r="A127" s="257" t="s">
        <v>333</v>
      </c>
      <c r="B127" s="257">
        <v>47</v>
      </c>
      <c r="C127" s="257" t="s">
        <v>393</v>
      </c>
      <c r="D127" s="384">
        <v>0.9841034806658665</v>
      </c>
    </row>
    <row r="128" spans="1:4" ht="11" x14ac:dyDescent="0.15">
      <c r="A128" s="257" t="s">
        <v>334</v>
      </c>
      <c r="B128" s="257">
        <v>48</v>
      </c>
      <c r="C128" s="257" t="s">
        <v>394</v>
      </c>
      <c r="D128" s="384">
        <v>0.9878776028937335</v>
      </c>
    </row>
    <row r="129" spans="1:4" ht="11" x14ac:dyDescent="0.15">
      <c r="A129" s="257" t="s">
        <v>334</v>
      </c>
      <c r="B129" s="257">
        <v>48</v>
      </c>
      <c r="C129" s="257" t="s">
        <v>394</v>
      </c>
      <c r="D129" s="384">
        <v>0.9885728068002555</v>
      </c>
    </row>
    <row r="130" spans="1:4" ht="11" x14ac:dyDescent="0.15">
      <c r="A130" s="257" t="s">
        <v>334</v>
      </c>
      <c r="B130" s="257">
        <v>48</v>
      </c>
      <c r="C130" s="257" t="s">
        <v>394</v>
      </c>
      <c r="D130" s="384">
        <v>0.99122523211467006</v>
      </c>
    </row>
    <row r="131" spans="1:4" ht="11" x14ac:dyDescent="0.15">
      <c r="A131" s="257" t="s">
        <v>335</v>
      </c>
      <c r="B131" s="257">
        <v>49</v>
      </c>
      <c r="C131" s="257" t="s">
        <v>395</v>
      </c>
      <c r="D131" s="384">
        <v>0.96965048112702534</v>
      </c>
    </row>
    <row r="132" spans="1:4" ht="11" x14ac:dyDescent="0.15">
      <c r="A132" s="257" t="s">
        <v>335</v>
      </c>
      <c r="B132" s="257">
        <v>49</v>
      </c>
      <c r="C132" s="257" t="s">
        <v>395</v>
      </c>
      <c r="D132" s="384">
        <v>0.97042803589388571</v>
      </c>
    </row>
    <row r="133" spans="1:4" ht="11" x14ac:dyDescent="0.15">
      <c r="A133" s="257" t="s">
        <v>335</v>
      </c>
      <c r="B133" s="257">
        <v>49</v>
      </c>
      <c r="C133" s="257" t="s">
        <v>395</v>
      </c>
      <c r="D133" s="384">
        <v>0.97128008931311161</v>
      </c>
    </row>
    <row r="134" spans="1:4" ht="11" x14ac:dyDescent="0.15">
      <c r="A134" s="257" t="s">
        <v>336</v>
      </c>
      <c r="B134" s="257">
        <v>50</v>
      </c>
      <c r="C134" s="257" t="s">
        <v>396</v>
      </c>
      <c r="D134" s="384">
        <v>0.98095914788764527</v>
      </c>
    </row>
    <row r="135" spans="1:4" ht="11" x14ac:dyDescent="0.15">
      <c r="A135" s="257" t="s">
        <v>336</v>
      </c>
      <c r="B135" s="257">
        <v>50</v>
      </c>
      <c r="C135" s="257" t="s">
        <v>396</v>
      </c>
      <c r="D135" s="384">
        <v>0.98148901612183992</v>
      </c>
    </row>
    <row r="136" spans="1:4" ht="11" x14ac:dyDescent="0.15">
      <c r="A136" s="257" t="s">
        <v>336</v>
      </c>
      <c r="B136" s="257">
        <v>50</v>
      </c>
      <c r="C136" s="257" t="s">
        <v>396</v>
      </c>
      <c r="D136" s="384">
        <v>0.98318292078562297</v>
      </c>
    </row>
    <row r="137" spans="1:4" ht="11" x14ac:dyDescent="0.15">
      <c r="A137" s="257" t="s">
        <v>337</v>
      </c>
      <c r="B137" s="257">
        <v>51</v>
      </c>
      <c r="C137" s="257" t="s">
        <v>397</v>
      </c>
      <c r="D137" s="384">
        <v>0.98110339969212301</v>
      </c>
    </row>
    <row r="138" spans="1:4" ht="11" x14ac:dyDescent="0.15">
      <c r="A138" s="257" t="s">
        <v>337</v>
      </c>
      <c r="B138" s="257">
        <v>51</v>
      </c>
      <c r="C138" s="257" t="s">
        <v>397</v>
      </c>
      <c r="D138" s="384">
        <v>0.98252037552201088</v>
      </c>
    </row>
    <row r="139" spans="1:4" ht="11" x14ac:dyDescent="0.15">
      <c r="A139" s="257" t="s">
        <v>337</v>
      </c>
      <c r="B139" s="257">
        <v>51</v>
      </c>
      <c r="C139" s="257" t="s">
        <v>397</v>
      </c>
      <c r="D139" s="384">
        <v>0.98404678393073675</v>
      </c>
    </row>
    <row r="140" spans="1:4" ht="11" x14ac:dyDescent="0.15">
      <c r="A140" s="257" t="s">
        <v>338</v>
      </c>
      <c r="B140" s="257">
        <v>52</v>
      </c>
      <c r="C140" s="257" t="s">
        <v>398</v>
      </c>
      <c r="D140" s="384">
        <v>0.98098064846081812</v>
      </c>
    </row>
    <row r="141" spans="1:4" ht="11" x14ac:dyDescent="0.15">
      <c r="A141" s="257" t="s">
        <v>338</v>
      </c>
      <c r="B141" s="257">
        <v>52</v>
      </c>
      <c r="C141" s="257" t="s">
        <v>398</v>
      </c>
      <c r="D141" s="384">
        <v>0.9840033208313026</v>
      </c>
    </row>
    <row r="142" spans="1:4" ht="11" x14ac:dyDescent="0.15">
      <c r="A142" s="257" t="s">
        <v>338</v>
      </c>
      <c r="B142" s="257">
        <v>52</v>
      </c>
      <c r="C142" s="257" t="s">
        <v>398</v>
      </c>
      <c r="D142" s="384">
        <v>0.98605441066004773</v>
      </c>
    </row>
    <row r="143" spans="1:4" ht="11" x14ac:dyDescent="0.15">
      <c r="A143" s="257" t="s">
        <v>339</v>
      </c>
      <c r="B143" s="257">
        <v>53</v>
      </c>
      <c r="C143" s="257" t="s">
        <v>399</v>
      </c>
      <c r="D143" s="384">
        <v>0.98253181216974328</v>
      </c>
    </row>
    <row r="144" spans="1:4" ht="11" x14ac:dyDescent="0.15">
      <c r="A144" s="257" t="s">
        <v>339</v>
      </c>
      <c r="B144" s="257">
        <v>53</v>
      </c>
      <c r="C144" s="257" t="s">
        <v>399</v>
      </c>
      <c r="D144" s="384">
        <v>0.98315631719554297</v>
      </c>
    </row>
    <row r="145" spans="1:4" ht="11" x14ac:dyDescent="0.15">
      <c r="A145" s="257" t="s">
        <v>339</v>
      </c>
      <c r="B145" s="257">
        <v>53</v>
      </c>
      <c r="C145" s="257" t="s">
        <v>399</v>
      </c>
      <c r="D145" s="384">
        <v>0.98506265206415888</v>
      </c>
    </row>
    <row r="146" spans="1:4" ht="11" x14ac:dyDescent="0.15">
      <c r="A146" s="257" t="s">
        <v>340</v>
      </c>
      <c r="B146" s="257">
        <v>54</v>
      </c>
      <c r="C146" s="257" t="s">
        <v>400</v>
      </c>
      <c r="D146" s="384">
        <v>0.98371350350112463</v>
      </c>
    </row>
    <row r="147" spans="1:4" ht="11" x14ac:dyDescent="0.15">
      <c r="A147" s="257" t="s">
        <v>340</v>
      </c>
      <c r="B147" s="257">
        <v>54</v>
      </c>
      <c r="C147" s="257" t="s">
        <v>400</v>
      </c>
      <c r="D147" s="384">
        <v>0.9872872813228738</v>
      </c>
    </row>
    <row r="148" spans="1:4" ht="11" x14ac:dyDescent="0.15">
      <c r="A148" s="257" t="s">
        <v>340</v>
      </c>
      <c r="B148" s="257">
        <v>54</v>
      </c>
      <c r="C148" s="257" t="s">
        <v>400</v>
      </c>
      <c r="D148" s="384">
        <v>0.98790058621475896</v>
      </c>
    </row>
    <row r="149" spans="1:4" ht="11" x14ac:dyDescent="0.15">
      <c r="A149" s="257" t="s">
        <v>341</v>
      </c>
      <c r="B149" s="257">
        <v>55</v>
      </c>
      <c r="C149" s="257" t="s">
        <v>401</v>
      </c>
      <c r="D149" s="384">
        <v>0.98116732632017489</v>
      </c>
    </row>
    <row r="150" spans="1:4" ht="11" x14ac:dyDescent="0.15">
      <c r="A150" s="257" t="s">
        <v>341</v>
      </c>
      <c r="B150" s="257">
        <v>55</v>
      </c>
      <c r="C150" s="257" t="s">
        <v>401</v>
      </c>
      <c r="D150" s="384">
        <v>0.98253185434845669</v>
      </c>
    </row>
    <row r="151" spans="1:4" ht="11" x14ac:dyDescent="0.15">
      <c r="A151" s="257" t="s">
        <v>341</v>
      </c>
      <c r="B151" s="257">
        <v>55</v>
      </c>
      <c r="C151" s="257" t="s">
        <v>401</v>
      </c>
      <c r="D151" s="384">
        <v>0.98337338697037768</v>
      </c>
    </row>
    <row r="152" spans="1:4" ht="11" x14ac:dyDescent="0.15">
      <c r="A152" s="257" t="s">
        <v>342</v>
      </c>
      <c r="B152" s="257">
        <v>56</v>
      </c>
      <c r="C152" s="257" t="s">
        <v>402</v>
      </c>
      <c r="D152" s="384">
        <v>0.9803285416931331</v>
      </c>
    </row>
    <row r="153" spans="1:4" ht="11" x14ac:dyDescent="0.15">
      <c r="A153" s="257" t="s">
        <v>342</v>
      </c>
      <c r="B153" s="257">
        <v>56</v>
      </c>
      <c r="C153" s="257" t="s">
        <v>402</v>
      </c>
      <c r="D153" s="384">
        <v>0.98053934648955621</v>
      </c>
    </row>
    <row r="154" spans="1:4" ht="11" x14ac:dyDescent="0.15">
      <c r="A154" s="257" t="s">
        <v>342</v>
      </c>
      <c r="B154" s="257">
        <v>56</v>
      </c>
      <c r="C154" s="257" t="s">
        <v>402</v>
      </c>
      <c r="D154" s="384">
        <v>0.98300105753789524</v>
      </c>
    </row>
    <row r="155" spans="1:4" ht="11" x14ac:dyDescent="0.15">
      <c r="A155" s="257" t="s">
        <v>343</v>
      </c>
      <c r="B155" s="257">
        <v>57</v>
      </c>
      <c r="C155" s="257" t="s">
        <v>403</v>
      </c>
      <c r="D155" s="384">
        <v>0.98762814637471752</v>
      </c>
    </row>
    <row r="156" spans="1:4" ht="11" x14ac:dyDescent="0.15">
      <c r="A156" s="257" t="s">
        <v>343</v>
      </c>
      <c r="B156" s="257">
        <v>57</v>
      </c>
      <c r="C156" s="257" t="s">
        <v>403</v>
      </c>
      <c r="D156" s="384">
        <v>0.98899742326119122</v>
      </c>
    </row>
    <row r="157" spans="1:4" ht="11" x14ac:dyDescent="0.15">
      <c r="A157" s="257" t="s">
        <v>343</v>
      </c>
      <c r="B157" s="257">
        <v>57</v>
      </c>
      <c r="C157" s="257" t="s">
        <v>403</v>
      </c>
      <c r="D157" s="384">
        <v>0.98942009854534518</v>
      </c>
    </row>
    <row r="158" spans="1:4" ht="11" x14ac:dyDescent="0.15">
      <c r="A158" s="257" t="s">
        <v>344</v>
      </c>
      <c r="B158" s="257">
        <v>58</v>
      </c>
      <c r="C158" s="257" t="s">
        <v>404</v>
      </c>
      <c r="D158" s="384">
        <v>0.97637579155802146</v>
      </c>
    </row>
    <row r="159" spans="1:4" ht="11" x14ac:dyDescent="0.15">
      <c r="A159" s="257" t="s">
        <v>344</v>
      </c>
      <c r="B159" s="257">
        <v>58</v>
      </c>
      <c r="C159" s="257" t="s">
        <v>404</v>
      </c>
      <c r="D159" s="384">
        <v>0.97735010619179874</v>
      </c>
    </row>
    <row r="160" spans="1:4" ht="11" x14ac:dyDescent="0.15">
      <c r="A160" s="257" t="s">
        <v>344</v>
      </c>
      <c r="B160" s="257">
        <v>58</v>
      </c>
      <c r="C160" s="257" t="s">
        <v>404</v>
      </c>
      <c r="D160" s="384">
        <v>0.97740120378781437</v>
      </c>
    </row>
    <row r="161" spans="1:4" ht="11" x14ac:dyDescent="0.15">
      <c r="A161" s="257" t="s">
        <v>345</v>
      </c>
      <c r="B161" s="257">
        <v>59</v>
      </c>
      <c r="C161" s="257" t="s">
        <v>405</v>
      </c>
      <c r="D161" s="384">
        <v>0.98413762578595898</v>
      </c>
    </row>
    <row r="162" spans="1:4" ht="11" x14ac:dyDescent="0.15">
      <c r="A162" s="257" t="s">
        <v>345</v>
      </c>
      <c r="B162" s="257">
        <v>59</v>
      </c>
      <c r="C162" s="257" t="s">
        <v>405</v>
      </c>
      <c r="D162" s="384">
        <v>0.98531638644379083</v>
      </c>
    </row>
    <row r="163" spans="1:4" ht="11" x14ac:dyDescent="0.15">
      <c r="A163" s="257" t="s">
        <v>345</v>
      </c>
      <c r="B163" s="257">
        <v>59</v>
      </c>
      <c r="C163" s="257" t="s">
        <v>405</v>
      </c>
      <c r="D163" s="384">
        <v>0.98535117122223415</v>
      </c>
    </row>
    <row r="164" spans="1:4" ht="11" x14ac:dyDescent="0.15">
      <c r="A164" s="257" t="s">
        <v>346</v>
      </c>
      <c r="B164" s="257">
        <v>60</v>
      </c>
      <c r="C164" s="257" t="s">
        <v>406</v>
      </c>
      <c r="D164" s="384">
        <v>0.97512447563413962</v>
      </c>
    </row>
    <row r="165" spans="1:4" ht="11" x14ac:dyDescent="0.15">
      <c r="A165" s="257" t="s">
        <v>346</v>
      </c>
      <c r="B165" s="257">
        <v>60</v>
      </c>
      <c r="C165" s="257" t="s">
        <v>406</v>
      </c>
      <c r="D165" s="384">
        <v>0.97620074495197018</v>
      </c>
    </row>
    <row r="166" spans="1:4" ht="11" x14ac:dyDescent="0.15">
      <c r="A166" s="257" t="s">
        <v>346</v>
      </c>
      <c r="B166" s="257">
        <v>60</v>
      </c>
      <c r="C166" s="257" t="s">
        <v>406</v>
      </c>
      <c r="D166" s="384">
        <v>0.97685634465519788</v>
      </c>
    </row>
    <row r="167" spans="1:4" ht="11" x14ac:dyDescent="0.15">
      <c r="A167" s="257" t="s">
        <v>347</v>
      </c>
      <c r="B167" s="257">
        <v>61</v>
      </c>
      <c r="C167" s="257" t="s">
        <v>407</v>
      </c>
      <c r="D167" s="384">
        <v>0.97978685983037384</v>
      </c>
    </row>
    <row r="168" spans="1:4" ht="11" x14ac:dyDescent="0.15">
      <c r="A168" s="257" t="s">
        <v>347</v>
      </c>
      <c r="B168" s="257">
        <v>61</v>
      </c>
      <c r="C168" s="257" t="s">
        <v>407</v>
      </c>
      <c r="D168" s="384">
        <v>0.9802094397779183</v>
      </c>
    </row>
    <row r="169" spans="1:4" ht="11" x14ac:dyDescent="0.15">
      <c r="A169" s="257" t="s">
        <v>347</v>
      </c>
      <c r="B169" s="257">
        <v>61</v>
      </c>
      <c r="C169" s="257" t="s">
        <v>407</v>
      </c>
      <c r="D169" s="384">
        <v>0.98277855812889969</v>
      </c>
    </row>
    <row r="170" spans="1:4" ht="11" x14ac:dyDescent="0.15">
      <c r="A170" s="257" t="s">
        <v>348</v>
      </c>
      <c r="B170" s="257">
        <v>62</v>
      </c>
      <c r="C170" s="257" t="s">
        <v>408</v>
      </c>
      <c r="D170" s="384">
        <v>0.98479493229681714</v>
      </c>
    </row>
    <row r="171" spans="1:4" ht="11" x14ac:dyDescent="0.15">
      <c r="A171" s="257" t="s">
        <v>348</v>
      </c>
      <c r="B171" s="257">
        <v>62</v>
      </c>
      <c r="C171" s="257" t="s">
        <v>408</v>
      </c>
      <c r="D171" s="384">
        <v>0.98520179811374342</v>
      </c>
    </row>
    <row r="172" spans="1:4" ht="11" x14ac:dyDescent="0.15">
      <c r="A172" s="257" t="s">
        <v>348</v>
      </c>
      <c r="B172" s="257">
        <v>62</v>
      </c>
      <c r="C172" s="257" t="s">
        <v>408</v>
      </c>
      <c r="D172" s="384">
        <v>0.98579684592026651</v>
      </c>
    </row>
    <row r="173" spans="1:4" ht="11" x14ac:dyDescent="0.15">
      <c r="A173" s="257" t="s">
        <v>349</v>
      </c>
      <c r="B173" s="257">
        <v>63</v>
      </c>
      <c r="C173" s="257" t="s">
        <v>409</v>
      </c>
      <c r="D173" s="384">
        <v>0.9829483755466204</v>
      </c>
    </row>
    <row r="174" spans="1:4" ht="11" x14ac:dyDescent="0.15">
      <c r="A174" s="257" t="s">
        <v>349</v>
      </c>
      <c r="B174" s="257">
        <v>63</v>
      </c>
      <c r="C174" s="257" t="s">
        <v>409</v>
      </c>
      <c r="D174" s="384">
        <v>0.98488928931673747</v>
      </c>
    </row>
    <row r="175" spans="1:4" ht="11" x14ac:dyDescent="0.15">
      <c r="A175" s="257" t="s">
        <v>349</v>
      </c>
      <c r="B175" s="257">
        <v>63</v>
      </c>
      <c r="C175" s="257" t="s">
        <v>409</v>
      </c>
      <c r="D175" s="384">
        <v>0.98516093621358836</v>
      </c>
    </row>
    <row r="176" spans="1:4" ht="11" x14ac:dyDescent="0.15">
      <c r="A176" s="257" t="s">
        <v>350</v>
      </c>
      <c r="B176" s="257">
        <v>64</v>
      </c>
      <c r="C176" s="257" t="s">
        <v>410</v>
      </c>
      <c r="D176" s="384">
        <v>0.9790808870198644</v>
      </c>
    </row>
    <row r="177" spans="1:4" ht="11" x14ac:dyDescent="0.15">
      <c r="A177" s="257" t="s">
        <v>350</v>
      </c>
      <c r="B177" s="257">
        <v>64</v>
      </c>
      <c r="C177" s="257" t="s">
        <v>410</v>
      </c>
      <c r="D177" s="384">
        <v>0.98314016249772762</v>
      </c>
    </row>
    <row r="178" spans="1:4" ht="11" x14ac:dyDescent="0.15">
      <c r="A178" s="257" t="s">
        <v>350</v>
      </c>
      <c r="B178" s="257">
        <v>64</v>
      </c>
      <c r="C178" s="257" t="s">
        <v>410</v>
      </c>
      <c r="D178" s="384">
        <v>0.98338313597075289</v>
      </c>
    </row>
    <row r="179" spans="1:4" ht="11" x14ac:dyDescent="0.15">
      <c r="A179" s="257"/>
      <c r="B179" s="257"/>
      <c r="C179" s="257"/>
      <c r="D179" s="257"/>
    </row>
    <row r="180" spans="1:4" ht="11" x14ac:dyDescent="0.15">
      <c r="A180" s="257"/>
      <c r="B180" s="257"/>
      <c r="C180" s="257"/>
      <c r="D180" s="257"/>
    </row>
    <row r="181" spans="1:4" ht="11" x14ac:dyDescent="0.15">
      <c r="A181" s="257"/>
      <c r="B181" s="257"/>
      <c r="C181" s="257"/>
      <c r="D181" s="257"/>
    </row>
    <row r="182" spans="1:4" ht="11" x14ac:dyDescent="0.15">
      <c r="A182" s="257"/>
      <c r="B182" s="257"/>
      <c r="C182" s="257"/>
      <c r="D182" s="257"/>
    </row>
    <row r="183" spans="1:4" ht="11" x14ac:dyDescent="0.15">
      <c r="A183" s="257"/>
      <c r="B183" s="257"/>
      <c r="C183" s="257"/>
      <c r="D183" s="257"/>
    </row>
    <row r="184" spans="1:4" ht="11" x14ac:dyDescent="0.15">
      <c r="A184" s="257"/>
      <c r="B184" s="257"/>
      <c r="C184" s="257"/>
      <c r="D184" s="257"/>
    </row>
    <row r="185" spans="1:4" ht="11" x14ac:dyDescent="0.15">
      <c r="A185" s="257"/>
      <c r="B185" s="257"/>
      <c r="C185" s="257"/>
      <c r="D185" s="257"/>
    </row>
    <row r="186" spans="1:4" ht="11" x14ac:dyDescent="0.15">
      <c r="A186" s="257"/>
      <c r="B186" s="257"/>
      <c r="C186" s="257"/>
      <c r="D186" s="257"/>
    </row>
    <row r="187" spans="1:4" ht="11" x14ac:dyDescent="0.15">
      <c r="A187" s="257"/>
      <c r="B187" s="257"/>
      <c r="C187" s="257"/>
      <c r="D187" s="257"/>
    </row>
    <row r="188" spans="1:4" ht="11" x14ac:dyDescent="0.15">
      <c r="A188" s="257"/>
      <c r="B188" s="257"/>
      <c r="C188" s="257"/>
      <c r="D188" s="257"/>
    </row>
    <row r="189" spans="1:4" ht="11" x14ac:dyDescent="0.15">
      <c r="A189" s="257"/>
      <c r="B189" s="257"/>
      <c r="C189" s="257"/>
      <c r="D189" s="257"/>
    </row>
    <row r="190" spans="1:4" ht="11" x14ac:dyDescent="0.15">
      <c r="A190" s="257"/>
      <c r="B190" s="257"/>
      <c r="C190" s="257"/>
      <c r="D190" s="257"/>
    </row>
    <row r="191" spans="1:4" ht="11" x14ac:dyDescent="0.15">
      <c r="A191" s="257"/>
      <c r="B191" s="257"/>
      <c r="C191" s="257"/>
      <c r="D191" s="257"/>
    </row>
    <row r="192" spans="1:4" ht="11" x14ac:dyDescent="0.15">
      <c r="A192" s="257"/>
      <c r="B192" s="257"/>
      <c r="C192" s="257"/>
      <c r="D192" s="257"/>
    </row>
    <row r="193" spans="1:4" ht="11" x14ac:dyDescent="0.15">
      <c r="A193" s="257"/>
      <c r="B193" s="257"/>
      <c r="C193" s="257"/>
      <c r="D193" s="257"/>
    </row>
    <row r="194" spans="1:4" ht="11" x14ac:dyDescent="0.15">
      <c r="A194" s="257"/>
      <c r="B194" s="257"/>
      <c r="C194" s="257"/>
      <c r="D194" s="257"/>
    </row>
    <row r="195" spans="1:4" ht="11" x14ac:dyDescent="0.15">
      <c r="A195" s="257"/>
      <c r="B195" s="257"/>
      <c r="C195" s="257"/>
      <c r="D195" s="257"/>
    </row>
    <row r="196" spans="1:4" ht="11" x14ac:dyDescent="0.15">
      <c r="A196" s="257"/>
      <c r="B196" s="257"/>
      <c r="C196" s="257"/>
      <c r="D196" s="257"/>
    </row>
    <row r="197" spans="1:4" ht="11" x14ac:dyDescent="0.15">
      <c r="A197" s="257"/>
      <c r="B197" s="257"/>
      <c r="C197" s="257"/>
      <c r="D197" s="257"/>
    </row>
  </sheetData>
  <autoFilter ref="A1:D1" xr:uid="{42A6F242-FA4D-F649-B776-9B713AB112B3}">
    <sortState xmlns:xlrd2="http://schemas.microsoft.com/office/spreadsheetml/2017/richdata2" ref="A2:D178">
      <sortCondition ref="B1"/>
    </sortState>
  </autoFilter>
  <phoneticPr fontId="16" type="noConversion"/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7319-E2BE-2D4A-9990-5CA798157F97}">
  <sheetPr codeName="Sheet3"/>
  <dimension ref="A1:AC200"/>
  <sheetViews>
    <sheetView workbookViewId="0">
      <selection activeCell="Q17" sqref="Q17"/>
    </sheetView>
  </sheetViews>
  <sheetFormatPr baseColWidth="10" defaultColWidth="8.796875" defaultRowHeight="11" x14ac:dyDescent="0.15"/>
  <cols>
    <col min="1" max="1" width="12.3984375" style="1" customWidth="1"/>
    <col min="2" max="2" width="12.3984375" style="217" customWidth="1"/>
    <col min="3" max="3" width="12.3984375" style="195" customWidth="1"/>
    <col min="4" max="4" width="12.3984375" style="100" customWidth="1"/>
    <col min="5" max="6" width="8.796875" style="1" customWidth="1"/>
    <col min="7" max="9" width="8.796875" customWidth="1"/>
    <col min="10" max="10" width="9.796875" customWidth="1"/>
    <col min="11" max="20" width="12.19921875" customWidth="1"/>
  </cols>
  <sheetData>
    <row r="1" spans="1:29" x14ac:dyDescent="0.15">
      <c r="A1" s="280" t="s">
        <v>123</v>
      </c>
      <c r="B1" s="280" t="s">
        <v>124</v>
      </c>
      <c r="C1" s="281" t="s">
        <v>52</v>
      </c>
      <c r="D1" s="280" t="s">
        <v>41</v>
      </c>
      <c r="E1" s="280" t="s">
        <v>30</v>
      </c>
      <c r="F1" s="282" t="s">
        <v>80</v>
      </c>
      <c r="G1" s="8" t="s">
        <v>209</v>
      </c>
      <c r="K1" t="s">
        <v>124</v>
      </c>
      <c r="L1" t="s">
        <v>124</v>
      </c>
      <c r="M1" t="s">
        <v>124</v>
      </c>
      <c r="N1" t="s">
        <v>124</v>
      </c>
      <c r="O1" t="s">
        <v>124</v>
      </c>
      <c r="P1" t="s">
        <v>124</v>
      </c>
      <c r="Q1" t="s">
        <v>124</v>
      </c>
      <c r="R1" t="s">
        <v>124</v>
      </c>
      <c r="S1" t="s">
        <v>124</v>
      </c>
      <c r="T1" t="s">
        <v>124</v>
      </c>
      <c r="AB1" t="s">
        <v>124</v>
      </c>
      <c r="AC1" t="s">
        <v>123</v>
      </c>
    </row>
    <row r="2" spans="1:29" ht="13" x14ac:dyDescent="0.15">
      <c r="A2" s="257" t="s">
        <v>411</v>
      </c>
      <c r="B2" s="257">
        <v>1</v>
      </c>
      <c r="C2" s="390">
        <v>0.77643067066537164</v>
      </c>
      <c r="D2" s="257">
        <v>4.0068999999999999</v>
      </c>
      <c r="E2" s="257">
        <v>3.0999999999999999E-3</v>
      </c>
      <c r="F2" s="279">
        <f t="shared" ref="F2:F33" si="0">IF(ISBLANK(B2),"",IF(ISNUMBER($K$10),D2*$K$10,E2))</f>
        <v>8.0137999999999997E-3</v>
      </c>
      <c r="G2" s="242" t="s">
        <v>89</v>
      </c>
      <c r="H2" s="242">
        <f>COUNT(SConc)</f>
        <v>46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  <c r="R2">
        <v>8</v>
      </c>
      <c r="S2">
        <v>9</v>
      </c>
      <c r="T2">
        <v>10</v>
      </c>
      <c r="U2" s="219"/>
      <c r="AB2">
        <f t="shared" ref="AB2:AB33" si="1">B2</f>
        <v>1</v>
      </c>
      <c r="AC2" t="str">
        <f t="shared" ref="AC2:AC33" si="2">A2</f>
        <v>FF38000</v>
      </c>
    </row>
    <row r="3" spans="1:29" ht="13" x14ac:dyDescent="0.15">
      <c r="A3" s="257" t="s">
        <v>411</v>
      </c>
      <c r="B3" s="257">
        <v>1</v>
      </c>
      <c r="C3" s="390">
        <v>0.77666333911756658</v>
      </c>
      <c r="D3" s="257">
        <v>4.0068999999999999</v>
      </c>
      <c r="E3" s="257">
        <v>3.0999999999999999E-3</v>
      </c>
      <c r="F3" s="279">
        <f t="shared" si="0"/>
        <v>8.0137999999999997E-3</v>
      </c>
      <c r="G3" s="242" t="s">
        <v>92</v>
      </c>
      <c r="H3" s="243">
        <v>1</v>
      </c>
      <c r="J3" t="s">
        <v>123</v>
      </c>
      <c r="K3" s="195" t="str">
        <f t="shared" ref="K3:T3" si="3">VLOOKUP(K2,$AB$2:$AC$200,2,FALSE)</f>
        <v>FF38000</v>
      </c>
      <c r="L3" s="195" t="str">
        <f t="shared" si="3"/>
        <v>FF38022</v>
      </c>
      <c r="M3" s="195" t="str">
        <f t="shared" si="3"/>
        <v>FF18162</v>
      </c>
      <c r="N3" s="195" t="str">
        <f t="shared" si="3"/>
        <v>CAL016209</v>
      </c>
      <c r="O3" s="195" t="e">
        <f t="shared" si="3"/>
        <v>#N/A</v>
      </c>
      <c r="P3" s="195" t="e">
        <f t="shared" si="3"/>
        <v>#N/A</v>
      </c>
      <c r="Q3" s="195" t="e">
        <f t="shared" si="3"/>
        <v>#N/A</v>
      </c>
      <c r="R3" s="195" t="e">
        <f t="shared" si="3"/>
        <v>#N/A</v>
      </c>
      <c r="S3" s="195" t="e">
        <f t="shared" si="3"/>
        <v>#N/A</v>
      </c>
      <c r="T3" s="195" t="e">
        <f t="shared" si="3"/>
        <v>#N/A</v>
      </c>
      <c r="U3" s="219"/>
      <c r="AB3">
        <f t="shared" si="1"/>
        <v>1</v>
      </c>
      <c r="AC3" t="str">
        <f t="shared" si="2"/>
        <v>FF38000</v>
      </c>
    </row>
    <row r="4" spans="1:29" ht="13" x14ac:dyDescent="0.15">
      <c r="A4" s="257" t="s">
        <v>411</v>
      </c>
      <c r="B4" s="257">
        <v>1</v>
      </c>
      <c r="C4" s="390">
        <v>0.77652540038684981</v>
      </c>
      <c r="D4" s="257">
        <v>4.0068999999999999</v>
      </c>
      <c r="E4" s="257">
        <v>3.0999999999999999E-3</v>
      </c>
      <c r="F4" s="279">
        <f t="shared" si="0"/>
        <v>8.0137999999999997E-3</v>
      </c>
      <c r="J4" t="s">
        <v>63</v>
      </c>
      <c r="K4" s="195">
        <f>DAVERAGE($A$1:$D$200,3,K1:K2)</f>
        <v>0.776234064991009</v>
      </c>
      <c r="L4" s="195">
        <f t="shared" ref="L4:T4" si="4">DAVERAGE($A$1:$D$200,3,L1:L2)</f>
        <v>0.96322449960561907</v>
      </c>
      <c r="M4" s="195">
        <f t="shared" si="4"/>
        <v>1.1783329936339777</v>
      </c>
      <c r="N4" s="195">
        <f t="shared" si="4"/>
        <v>1.772602120237087</v>
      </c>
      <c r="O4" s="195" t="e">
        <f t="shared" si="4"/>
        <v>#DIV/0!</v>
      </c>
      <c r="P4" s="195" t="e">
        <f t="shared" si="4"/>
        <v>#DIV/0!</v>
      </c>
      <c r="Q4" s="195" t="e">
        <f t="shared" si="4"/>
        <v>#DIV/0!</v>
      </c>
      <c r="R4" s="195" t="e">
        <f t="shared" si="4"/>
        <v>#DIV/0!</v>
      </c>
      <c r="S4" s="195" t="e">
        <f t="shared" si="4"/>
        <v>#DIV/0!</v>
      </c>
      <c r="T4" s="195" t="e">
        <f t="shared" si="4"/>
        <v>#DIV/0!</v>
      </c>
      <c r="U4" s="219"/>
      <c r="AB4">
        <f t="shared" si="1"/>
        <v>1</v>
      </c>
      <c r="AC4" t="str">
        <f t="shared" si="2"/>
        <v>FF38000</v>
      </c>
    </row>
    <row r="5" spans="1:29" ht="13" x14ac:dyDescent="0.15">
      <c r="A5" s="257" t="s">
        <v>411</v>
      </c>
      <c r="B5" s="257">
        <v>1</v>
      </c>
      <c r="C5" s="390">
        <v>0.77606013360509052</v>
      </c>
      <c r="D5" s="257">
        <v>4.0068999999999999</v>
      </c>
      <c r="E5" s="257">
        <v>3.0999999999999999E-3</v>
      </c>
      <c r="F5" s="279">
        <f t="shared" si="0"/>
        <v>8.0137999999999997E-3</v>
      </c>
      <c r="J5" t="s">
        <v>55</v>
      </c>
      <c r="K5" s="195">
        <f>DSTDEV($A$1:$D$200,3,K1:K2)/SQRT(MIN(DCOUNT($A$1:$D$200,3,K1:K2),$H$3))</f>
        <v>4.0122744790122152E-4</v>
      </c>
      <c r="L5" s="195">
        <f t="shared" ref="L5:T5" si="5">DSTDEV($A$1:$D$200,3,L1:L2)/SQRT(MIN(DCOUNT($A$1:$D$200,3,L1:L2),$H$3))</f>
        <v>6.459443045855603E-4</v>
      </c>
      <c r="M5" s="195">
        <f t="shared" si="5"/>
        <v>5.3153007758727016E-4</v>
      </c>
      <c r="N5" s="195">
        <f t="shared" si="5"/>
        <v>5.1164667598839822E-4</v>
      </c>
      <c r="O5" s="195" t="e">
        <f t="shared" si="5"/>
        <v>#DIV/0!</v>
      </c>
      <c r="P5" s="195" t="e">
        <f t="shared" si="5"/>
        <v>#DIV/0!</v>
      </c>
      <c r="Q5" s="195" t="e">
        <f t="shared" si="5"/>
        <v>#DIV/0!</v>
      </c>
      <c r="R5" s="195" t="e">
        <f t="shared" si="5"/>
        <v>#DIV/0!</v>
      </c>
      <c r="S5" s="195" t="e">
        <f t="shared" si="5"/>
        <v>#DIV/0!</v>
      </c>
      <c r="T5" s="195" t="e">
        <f t="shared" si="5"/>
        <v>#DIV/0!</v>
      </c>
      <c r="U5" s="219"/>
      <c r="AB5">
        <f t="shared" si="1"/>
        <v>1</v>
      </c>
      <c r="AC5" t="str">
        <f t="shared" si="2"/>
        <v>FF38000</v>
      </c>
    </row>
    <row r="6" spans="1:29" ht="13" x14ac:dyDescent="0.15">
      <c r="A6" s="257" t="s">
        <v>411</v>
      </c>
      <c r="B6" s="257">
        <v>1</v>
      </c>
      <c r="C6" s="390">
        <v>0.77579973482982734</v>
      </c>
      <c r="D6" s="257">
        <v>4.0068999999999999</v>
      </c>
      <c r="E6" s="257">
        <v>3.0999999999999999E-3</v>
      </c>
      <c r="F6" s="279">
        <f t="shared" si="0"/>
        <v>8.0137999999999997E-3</v>
      </c>
      <c r="G6" s="1"/>
      <c r="H6" s="7"/>
      <c r="K6" s="194">
        <f t="shared" ref="K6:P6" si="6">K5/K4</f>
        <v>5.1688977074958555E-4</v>
      </c>
      <c r="L6" s="194">
        <f t="shared" si="6"/>
        <v>6.7060618251511936E-4</v>
      </c>
      <c r="M6" s="194">
        <f t="shared" si="6"/>
        <v>4.5108647594431858E-4</v>
      </c>
      <c r="N6" s="194">
        <f t="shared" si="6"/>
        <v>2.8864157960048308E-4</v>
      </c>
      <c r="O6" s="194" t="e">
        <f t="shared" si="6"/>
        <v>#DIV/0!</v>
      </c>
      <c r="P6" s="194" t="e">
        <f t="shared" si="6"/>
        <v>#DIV/0!</v>
      </c>
      <c r="Q6" s="1"/>
      <c r="R6" s="1"/>
      <c r="S6" s="1"/>
      <c r="T6" s="1"/>
      <c r="U6" s="219"/>
      <c r="AB6">
        <f t="shared" si="1"/>
        <v>1</v>
      </c>
      <c r="AC6" t="str">
        <f t="shared" si="2"/>
        <v>FF38000</v>
      </c>
    </row>
    <row r="7" spans="1:29" ht="13" x14ac:dyDescent="0.15">
      <c r="A7" s="257" t="s">
        <v>411</v>
      </c>
      <c r="B7" s="257">
        <v>1</v>
      </c>
      <c r="C7" s="390">
        <v>0.77670637999230951</v>
      </c>
      <c r="D7" s="257">
        <v>4.0068999999999999</v>
      </c>
      <c r="E7" s="257">
        <v>3.0999999999999999E-3</v>
      </c>
      <c r="F7" s="279">
        <f t="shared" si="0"/>
        <v>8.0137999999999997E-3</v>
      </c>
      <c r="G7" s="1"/>
      <c r="H7" s="7"/>
      <c r="J7" t="s">
        <v>20</v>
      </c>
      <c r="K7" s="161">
        <f t="shared" ref="K7:T7" si="7">VLOOKUP(K2,$B$1:$E$200,3,FALSE)</f>
        <v>4.0068999999999999</v>
      </c>
      <c r="L7" s="161">
        <f t="shared" si="7"/>
        <v>4.9720000000000004</v>
      </c>
      <c r="M7" s="161">
        <f t="shared" si="7"/>
        <v>6.0359999999999996</v>
      </c>
      <c r="N7" s="161">
        <f t="shared" si="7"/>
        <v>9.0069999999999997</v>
      </c>
      <c r="O7" s="161" t="e">
        <f t="shared" si="7"/>
        <v>#N/A</v>
      </c>
      <c r="P7" s="161" t="e">
        <f t="shared" si="7"/>
        <v>#N/A</v>
      </c>
      <c r="Q7" s="161" t="e">
        <f t="shared" si="7"/>
        <v>#N/A</v>
      </c>
      <c r="R7" s="161" t="e">
        <f t="shared" si="7"/>
        <v>#N/A</v>
      </c>
      <c r="S7" s="161" t="e">
        <f t="shared" si="7"/>
        <v>#N/A</v>
      </c>
      <c r="T7" s="161" t="e">
        <f t="shared" si="7"/>
        <v>#N/A</v>
      </c>
      <c r="U7" s="219"/>
      <c r="AB7">
        <f t="shared" si="1"/>
        <v>1</v>
      </c>
      <c r="AC7" t="str">
        <f t="shared" si="2"/>
        <v>FF38000</v>
      </c>
    </row>
    <row r="8" spans="1:29" ht="13" x14ac:dyDescent="0.15">
      <c r="A8" s="257" t="s">
        <v>411</v>
      </c>
      <c r="B8" s="257">
        <v>1</v>
      </c>
      <c r="C8" s="390">
        <v>0.77642810726552358</v>
      </c>
      <c r="D8" s="257">
        <v>4.0068999999999999</v>
      </c>
      <c r="E8" s="257">
        <v>3.0999999999999999E-3</v>
      </c>
      <c r="F8" s="279">
        <f>IF(ISBLANK(B8),"",IF(ISNUMBER($K$10),D8*$K$10,E8))</f>
        <v>8.0137999999999997E-3</v>
      </c>
      <c r="G8" s="1"/>
      <c r="H8" s="7"/>
      <c r="J8" t="s">
        <v>61</v>
      </c>
      <c r="K8" s="161">
        <f t="shared" ref="K8:T8" si="8">IF(ISBLANK($K$10),VLOOKUP(K2,$B$1:$E$200,4,FALSE),$K$10*K7)</f>
        <v>8.0137999999999997E-3</v>
      </c>
      <c r="L8" s="161">
        <f t="shared" si="8"/>
        <v>9.9440000000000014E-3</v>
      </c>
      <c r="M8" s="161">
        <f t="shared" si="8"/>
        <v>1.2071999999999999E-2</v>
      </c>
      <c r="N8" s="161">
        <f t="shared" si="8"/>
        <v>1.8013999999999999E-2</v>
      </c>
      <c r="O8" s="161" t="e">
        <f t="shared" si="8"/>
        <v>#N/A</v>
      </c>
      <c r="P8" s="161" t="e">
        <f t="shared" si="8"/>
        <v>#N/A</v>
      </c>
      <c r="Q8" s="161" t="e">
        <f t="shared" si="8"/>
        <v>#N/A</v>
      </c>
      <c r="R8" s="161" t="e">
        <f t="shared" si="8"/>
        <v>#N/A</v>
      </c>
      <c r="S8" s="161" t="e">
        <f t="shared" si="8"/>
        <v>#N/A</v>
      </c>
      <c r="T8" s="161" t="e">
        <f t="shared" si="8"/>
        <v>#N/A</v>
      </c>
      <c r="U8" s="219"/>
      <c r="AB8">
        <f t="shared" si="1"/>
        <v>1</v>
      </c>
      <c r="AC8" t="str">
        <f t="shared" si="2"/>
        <v>FF38000</v>
      </c>
    </row>
    <row r="9" spans="1:29" ht="14" thickBot="1" x14ac:dyDescent="0.2">
      <c r="A9" s="257" t="s">
        <v>411</v>
      </c>
      <c r="B9" s="257">
        <v>1</v>
      </c>
      <c r="C9" s="390">
        <v>0.77590451420248963</v>
      </c>
      <c r="D9" s="257">
        <v>4.0068999999999999</v>
      </c>
      <c r="E9" s="257">
        <v>3.0999999999999999E-3</v>
      </c>
      <c r="F9" s="279">
        <f t="shared" si="0"/>
        <v>8.0137999999999997E-3</v>
      </c>
      <c r="G9" s="1"/>
      <c r="H9" s="7"/>
      <c r="K9" s="194">
        <f t="shared" ref="K9:T9" si="9">K8/K7</f>
        <v>2E-3</v>
      </c>
      <c r="L9" s="194">
        <f t="shared" si="9"/>
        <v>2E-3</v>
      </c>
      <c r="M9" s="194">
        <f t="shared" si="9"/>
        <v>2E-3</v>
      </c>
      <c r="N9" s="194">
        <f t="shared" si="9"/>
        <v>2E-3</v>
      </c>
      <c r="O9" s="194" t="e">
        <f t="shared" si="9"/>
        <v>#N/A</v>
      </c>
      <c r="P9" s="194" t="e">
        <f t="shared" si="9"/>
        <v>#N/A</v>
      </c>
      <c r="Q9" s="194" t="e">
        <f t="shared" si="9"/>
        <v>#N/A</v>
      </c>
      <c r="R9" s="194" t="e">
        <f t="shared" si="9"/>
        <v>#N/A</v>
      </c>
      <c r="S9" s="194" t="e">
        <f t="shared" si="9"/>
        <v>#N/A</v>
      </c>
      <c r="T9" s="194" t="e">
        <f t="shared" si="9"/>
        <v>#N/A</v>
      </c>
      <c r="U9" s="219"/>
      <c r="AB9">
        <f t="shared" si="1"/>
        <v>1</v>
      </c>
      <c r="AC9" t="str">
        <f t="shared" si="2"/>
        <v>FF38000</v>
      </c>
    </row>
    <row r="10" spans="1:29" ht="14" thickBot="1" x14ac:dyDescent="0.2">
      <c r="A10" s="257" t="s">
        <v>411</v>
      </c>
      <c r="B10" s="257">
        <v>1</v>
      </c>
      <c r="C10" s="390">
        <v>0.77614822634975111</v>
      </c>
      <c r="D10" s="257">
        <v>4.0068999999999999</v>
      </c>
      <c r="E10" s="257">
        <v>3.0999999999999999E-3</v>
      </c>
      <c r="F10" s="279">
        <f t="shared" si="0"/>
        <v>8.0137999999999997E-3</v>
      </c>
      <c r="G10" s="1"/>
      <c r="H10" s="7"/>
      <c r="I10" t="s">
        <v>162</v>
      </c>
      <c r="K10" s="178">
        <v>2E-3</v>
      </c>
      <c r="L10" s="170" t="s">
        <v>222</v>
      </c>
      <c r="M10" s="4"/>
      <c r="N10" s="4"/>
      <c r="O10" s="6"/>
      <c r="U10" s="219"/>
      <c r="AB10">
        <f t="shared" si="1"/>
        <v>1</v>
      </c>
      <c r="AC10" t="str">
        <f t="shared" si="2"/>
        <v>FF38000</v>
      </c>
    </row>
    <row r="11" spans="1:29" ht="13" x14ac:dyDescent="0.15">
      <c r="A11" s="257" t="s">
        <v>411</v>
      </c>
      <c r="B11" s="257">
        <v>1</v>
      </c>
      <c r="C11" s="390">
        <v>0.77653265224672008</v>
      </c>
      <c r="D11" s="257">
        <v>4.0068999999999999</v>
      </c>
      <c r="E11" s="257">
        <v>3.0999999999999999E-3</v>
      </c>
      <c r="F11" s="279">
        <f t="shared" si="0"/>
        <v>8.0137999999999997E-3</v>
      </c>
      <c r="G11" s="318"/>
      <c r="H11" s="7"/>
      <c r="I11" s="6"/>
      <c r="J11" s="6"/>
      <c r="K11" s="6"/>
      <c r="L11" s="6"/>
      <c r="M11" s="6"/>
      <c r="N11" s="6"/>
      <c r="O11" s="100"/>
      <c r="P11" s="8"/>
      <c r="Q11" s="8"/>
      <c r="R11" s="8"/>
      <c r="U11" s="219"/>
      <c r="AB11">
        <f t="shared" si="1"/>
        <v>1</v>
      </c>
      <c r="AC11" t="str">
        <f t="shared" si="2"/>
        <v>FF38000</v>
      </c>
    </row>
    <row r="12" spans="1:29" ht="13" x14ac:dyDescent="0.15">
      <c r="A12" s="257" t="s">
        <v>411</v>
      </c>
      <c r="B12" s="257">
        <v>1</v>
      </c>
      <c r="C12" s="390">
        <v>0.77625743522357782</v>
      </c>
      <c r="D12" s="257">
        <v>4.0068999999999999</v>
      </c>
      <c r="E12" s="257">
        <v>3.0999999999999999E-3</v>
      </c>
      <c r="F12" s="279">
        <f t="shared" si="0"/>
        <v>8.0137999999999997E-3</v>
      </c>
      <c r="G12" s="1"/>
      <c r="H12" s="7"/>
      <c r="J12" s="318" t="s">
        <v>256</v>
      </c>
      <c r="K12" s="195"/>
      <c r="L12" s="195"/>
      <c r="M12" s="195"/>
      <c r="N12" s="195"/>
      <c r="O12" s="195"/>
      <c r="P12" s="195"/>
      <c r="Q12" s="195"/>
      <c r="R12" s="195"/>
      <c r="U12" s="219"/>
      <c r="AB12">
        <f t="shared" si="1"/>
        <v>1</v>
      </c>
      <c r="AC12" t="str">
        <f t="shared" si="2"/>
        <v>FF38000</v>
      </c>
    </row>
    <row r="13" spans="1:29" ht="13" x14ac:dyDescent="0.15">
      <c r="A13" s="257" t="s">
        <v>411</v>
      </c>
      <c r="B13" s="257">
        <v>1</v>
      </c>
      <c r="C13" s="390">
        <v>0.77535218600702793</v>
      </c>
      <c r="D13" s="257">
        <v>4.0068999999999999</v>
      </c>
      <c r="E13" s="257">
        <v>3.0999999999999999E-3</v>
      </c>
      <c r="F13" s="279">
        <f t="shared" si="0"/>
        <v>8.0137999999999997E-3</v>
      </c>
      <c r="G13" s="1"/>
      <c r="H13" s="7"/>
      <c r="J13" s="318" t="s">
        <v>253</v>
      </c>
      <c r="K13" s="320"/>
      <c r="L13" s="320"/>
      <c r="M13" s="320"/>
      <c r="N13" s="194"/>
      <c r="O13" s="194"/>
      <c r="P13" s="194"/>
      <c r="Q13" s="194"/>
      <c r="R13" s="194"/>
      <c r="U13" s="219"/>
      <c r="AB13">
        <f t="shared" si="1"/>
        <v>1</v>
      </c>
      <c r="AC13" t="str">
        <f t="shared" si="2"/>
        <v>FF38000</v>
      </c>
    </row>
    <row r="14" spans="1:29" ht="14" thickBot="1" x14ac:dyDescent="0.2">
      <c r="A14" s="257" t="s">
        <v>412</v>
      </c>
      <c r="B14" s="257">
        <v>2</v>
      </c>
      <c r="C14" s="390">
        <v>0.96318896351408945</v>
      </c>
      <c r="D14" s="257">
        <v>4.9720000000000004</v>
      </c>
      <c r="E14" s="257">
        <v>5.0000000000000001E-3</v>
      </c>
      <c r="F14" s="279">
        <f t="shared" si="0"/>
        <v>9.9440000000000014E-3</v>
      </c>
      <c r="G14" s="1"/>
      <c r="H14" s="7"/>
      <c r="K14" s="1"/>
      <c r="L14" s="1"/>
      <c r="M14" s="4"/>
      <c r="N14" s="4"/>
      <c r="U14" s="219"/>
      <c r="AB14">
        <f t="shared" si="1"/>
        <v>2</v>
      </c>
      <c r="AC14" t="str">
        <f t="shared" si="2"/>
        <v>FF38022</v>
      </c>
    </row>
    <row r="15" spans="1:29" ht="13" x14ac:dyDescent="0.15">
      <c r="A15" s="257" t="s">
        <v>412</v>
      </c>
      <c r="B15" s="257">
        <v>2</v>
      </c>
      <c r="C15" s="390">
        <v>0.96286192098295098</v>
      </c>
      <c r="D15" s="257">
        <v>4.9720000000000004</v>
      </c>
      <c r="E15" s="257">
        <v>5.0000000000000001E-3</v>
      </c>
      <c r="F15" s="279">
        <f t="shared" si="0"/>
        <v>9.9440000000000014E-3</v>
      </c>
      <c r="J15" s="235" t="s">
        <v>29</v>
      </c>
      <c r="K15" s="125" t="s">
        <v>20</v>
      </c>
      <c r="L15" s="126" t="s">
        <v>61</v>
      </c>
      <c r="M15" s="238" t="s">
        <v>40</v>
      </c>
      <c r="N15" s="239" t="s">
        <v>61</v>
      </c>
      <c r="U15" s="219"/>
      <c r="AB15">
        <f t="shared" si="1"/>
        <v>2</v>
      </c>
      <c r="AC15" t="str">
        <f t="shared" si="2"/>
        <v>FF38022</v>
      </c>
    </row>
    <row r="16" spans="1:29" ht="13" x14ac:dyDescent="0.15">
      <c r="A16" s="257" t="s">
        <v>412</v>
      </c>
      <c r="B16" s="257">
        <v>2</v>
      </c>
      <c r="C16" s="390">
        <v>0.962475597963251</v>
      </c>
      <c r="D16" s="257">
        <v>4.9720000000000004</v>
      </c>
      <c r="E16" s="257">
        <v>5.0000000000000001E-3</v>
      </c>
      <c r="F16" s="279">
        <f t="shared" si="0"/>
        <v>9.9440000000000014E-3</v>
      </c>
      <c r="J16" s="236">
        <v>1</v>
      </c>
      <c r="K16" s="127">
        <f>IF(ISERROR(K7),"",K7)</f>
        <v>4.0068999999999999</v>
      </c>
      <c r="L16" s="128">
        <f>IF(ISERROR(K8),"",K8)</f>
        <v>8.0137999999999997E-3</v>
      </c>
      <c r="M16" s="240">
        <f>IF(ISERROR(K4),"",K4)</f>
        <v>0.776234064991009</v>
      </c>
      <c r="N16" s="128">
        <f>IF(ISERROR(K5),"",K5)</f>
        <v>4.0122744790122152E-4</v>
      </c>
      <c r="U16" s="219"/>
      <c r="AB16">
        <f t="shared" si="1"/>
        <v>2</v>
      </c>
      <c r="AC16" t="str">
        <f t="shared" si="2"/>
        <v>FF38022</v>
      </c>
    </row>
    <row r="17" spans="1:29" ht="13" x14ac:dyDescent="0.15">
      <c r="A17" s="257" t="s">
        <v>412</v>
      </c>
      <c r="B17" s="257">
        <v>2</v>
      </c>
      <c r="C17" s="390">
        <v>0.96270311908102879</v>
      </c>
      <c r="D17" s="257">
        <v>4.9720000000000004</v>
      </c>
      <c r="E17" s="257">
        <v>5.0000000000000001E-3</v>
      </c>
      <c r="F17" s="279">
        <f t="shared" si="0"/>
        <v>9.9440000000000014E-3</v>
      </c>
      <c r="J17" s="236">
        <v>2</v>
      </c>
      <c r="K17" s="127">
        <f>IF(ISERROR(L7),"",L7)</f>
        <v>4.9720000000000004</v>
      </c>
      <c r="L17" s="128">
        <f>IF(ISERROR(L8),"",L8)</f>
        <v>9.9440000000000014E-3</v>
      </c>
      <c r="M17" s="240">
        <f>IF(ISERROR(L4),"",L4)</f>
        <v>0.96322449960561907</v>
      </c>
      <c r="N17" s="128">
        <f>IF(ISERROR(L5),"",L5)</f>
        <v>6.459443045855603E-4</v>
      </c>
      <c r="U17" s="219"/>
      <c r="AB17">
        <f t="shared" si="1"/>
        <v>2</v>
      </c>
      <c r="AC17" t="str">
        <f t="shared" si="2"/>
        <v>FF38022</v>
      </c>
    </row>
    <row r="18" spans="1:29" ht="13" x14ac:dyDescent="0.15">
      <c r="A18" s="257" t="s">
        <v>412</v>
      </c>
      <c r="B18" s="257">
        <v>2</v>
      </c>
      <c r="C18" s="390">
        <v>0.96282794919216519</v>
      </c>
      <c r="D18" s="257">
        <v>4.9720000000000004</v>
      </c>
      <c r="E18" s="257">
        <v>5.0000000000000001E-3</v>
      </c>
      <c r="F18" s="279">
        <f t="shared" si="0"/>
        <v>9.9440000000000014E-3</v>
      </c>
      <c r="J18" s="236">
        <v>3</v>
      </c>
      <c r="K18" s="127">
        <f>IF(ISERROR(M7),"",M7)</f>
        <v>6.0359999999999996</v>
      </c>
      <c r="L18" s="128">
        <f>IF(ISERROR(M8),"",M8)</f>
        <v>1.2071999999999999E-2</v>
      </c>
      <c r="M18" s="240">
        <f>IF(ISERROR(M4),"",M4)</f>
        <v>1.1783329936339777</v>
      </c>
      <c r="N18" s="128">
        <f>IF(ISERROR(M5),"",M5)</f>
        <v>5.3153007758727016E-4</v>
      </c>
      <c r="U18" s="219"/>
      <c r="AB18">
        <f t="shared" si="1"/>
        <v>2</v>
      </c>
      <c r="AC18" t="str">
        <f t="shared" si="2"/>
        <v>FF38022</v>
      </c>
    </row>
    <row r="19" spans="1:29" ht="13" x14ac:dyDescent="0.15">
      <c r="A19" s="257" t="s">
        <v>412</v>
      </c>
      <c r="B19" s="257">
        <v>2</v>
      </c>
      <c r="C19" s="390">
        <v>0.9633468887692902</v>
      </c>
      <c r="D19" s="257">
        <v>4.9720000000000004</v>
      </c>
      <c r="E19" s="257">
        <v>5.0000000000000001E-3</v>
      </c>
      <c r="F19" s="279">
        <f t="shared" si="0"/>
        <v>9.9440000000000014E-3</v>
      </c>
      <c r="J19" s="236">
        <v>4</v>
      </c>
      <c r="K19" s="127">
        <f>IF(ISERROR(N7),"",N7)</f>
        <v>9.0069999999999997</v>
      </c>
      <c r="L19" s="128">
        <f>IF(ISERROR(N8),"",N8)</f>
        <v>1.8013999999999999E-2</v>
      </c>
      <c r="M19" s="240">
        <f>IF(ISERROR(N4),"",N4)</f>
        <v>1.772602120237087</v>
      </c>
      <c r="N19" s="128">
        <f>IF(ISERROR(N5),"",N5)</f>
        <v>5.1164667598839822E-4</v>
      </c>
      <c r="U19" s="219"/>
      <c r="AB19">
        <f t="shared" si="1"/>
        <v>2</v>
      </c>
      <c r="AC19" t="str">
        <f t="shared" si="2"/>
        <v>FF38022</v>
      </c>
    </row>
    <row r="20" spans="1:29" ht="13" x14ac:dyDescent="0.15">
      <c r="A20" s="257" t="s">
        <v>412</v>
      </c>
      <c r="B20" s="257">
        <v>2</v>
      </c>
      <c r="C20" s="390">
        <v>0.96305284311044648</v>
      </c>
      <c r="D20" s="257">
        <v>4.9720000000000004</v>
      </c>
      <c r="E20" s="257">
        <v>5.0000000000000001E-3</v>
      </c>
      <c r="F20" s="279">
        <f t="shared" si="0"/>
        <v>9.9440000000000014E-3</v>
      </c>
      <c r="J20" s="236">
        <v>5</v>
      </c>
      <c r="K20" s="127" t="str">
        <f>IF(ISERROR(O7),"",O7)</f>
        <v/>
      </c>
      <c r="L20" s="128" t="str">
        <f>IF(ISERROR(O8),"",O8)</f>
        <v/>
      </c>
      <c r="M20" s="240" t="str">
        <f>IF(ISERROR(O4),"",O4)</f>
        <v/>
      </c>
      <c r="N20" s="128" t="str">
        <f>IF(ISERROR(O5),"",O5)</f>
        <v/>
      </c>
      <c r="U20" s="219"/>
      <c r="AB20">
        <f t="shared" si="1"/>
        <v>2</v>
      </c>
      <c r="AC20" t="str">
        <f t="shared" si="2"/>
        <v>FF38022</v>
      </c>
    </row>
    <row r="21" spans="1:29" ht="13" x14ac:dyDescent="0.15">
      <c r="A21" s="257" t="s">
        <v>412</v>
      </c>
      <c r="B21" s="257">
        <v>2</v>
      </c>
      <c r="C21" s="390">
        <v>0.96379392694847843</v>
      </c>
      <c r="D21" s="257">
        <v>4.9720000000000004</v>
      </c>
      <c r="E21" s="257">
        <v>5.0000000000000001E-3</v>
      </c>
      <c r="F21" s="279">
        <f t="shared" si="0"/>
        <v>9.9440000000000014E-3</v>
      </c>
      <c r="J21" s="236">
        <v>6</v>
      </c>
      <c r="K21" s="127" t="str">
        <f>IF(ISERROR(P7),"",P7)</f>
        <v/>
      </c>
      <c r="L21" s="128" t="str">
        <f>IF(ISERROR(P8),"",P8)</f>
        <v/>
      </c>
      <c r="M21" s="240" t="str">
        <f>IF(ISERROR(P4),"",P4)</f>
        <v/>
      </c>
      <c r="N21" s="128" t="str">
        <f>IF(ISERROR(P5),"",P5)</f>
        <v/>
      </c>
      <c r="U21" s="219"/>
      <c r="AB21">
        <f t="shared" si="1"/>
        <v>2</v>
      </c>
      <c r="AC21" t="str">
        <f t="shared" si="2"/>
        <v>FF38022</v>
      </c>
    </row>
    <row r="22" spans="1:29" ht="13" x14ac:dyDescent="0.15">
      <c r="A22" s="257" t="s">
        <v>412</v>
      </c>
      <c r="B22" s="257">
        <v>2</v>
      </c>
      <c r="C22" s="390">
        <v>0.96277818460774134</v>
      </c>
      <c r="D22" s="257">
        <v>4.9720000000000004</v>
      </c>
      <c r="E22" s="257">
        <v>5.0000000000000001E-3</v>
      </c>
      <c r="F22" s="279">
        <f t="shared" si="0"/>
        <v>9.9440000000000014E-3</v>
      </c>
      <c r="J22" s="236">
        <v>7</v>
      </c>
      <c r="K22" s="127" t="str">
        <f>IF(ISERROR(Q7),"",Q7)</f>
        <v/>
      </c>
      <c r="L22" s="128" t="str">
        <f>IF(ISERROR(Q8),"",Q8)</f>
        <v/>
      </c>
      <c r="M22" s="240" t="str">
        <f>IF(ISERROR(Q4),"",Q4)</f>
        <v/>
      </c>
      <c r="N22" s="128" t="str">
        <f>IF(ISERROR(Q5),"",Q5)</f>
        <v/>
      </c>
      <c r="U22" s="219"/>
      <c r="AB22">
        <f t="shared" si="1"/>
        <v>2</v>
      </c>
      <c r="AC22" t="str">
        <f t="shared" si="2"/>
        <v>FF38022</v>
      </c>
    </row>
    <row r="23" spans="1:29" ht="13" x14ac:dyDescent="0.15">
      <c r="A23" s="257" t="s">
        <v>412</v>
      </c>
      <c r="B23" s="257">
        <v>2</v>
      </c>
      <c r="C23" s="390">
        <v>0.96288990061296031</v>
      </c>
      <c r="D23" s="257">
        <v>4.9720000000000004</v>
      </c>
      <c r="E23" s="257">
        <v>5.0000000000000001E-3</v>
      </c>
      <c r="F23" s="279">
        <f t="shared" si="0"/>
        <v>9.9440000000000014E-3</v>
      </c>
      <c r="J23" s="236">
        <v>8</v>
      </c>
      <c r="K23" s="127" t="str">
        <f>IF(ISERROR(R7),"",R7)</f>
        <v/>
      </c>
      <c r="L23" s="128" t="str">
        <f>IF(ISERROR(R8),"",R8)</f>
        <v/>
      </c>
      <c r="M23" s="240" t="str">
        <f>IF(ISERROR(R4),"",R4)</f>
        <v/>
      </c>
      <c r="N23" s="128" t="str">
        <f>IF(ISERROR(R5),"",R5)</f>
        <v/>
      </c>
      <c r="U23" s="219"/>
      <c r="AB23">
        <f t="shared" si="1"/>
        <v>2</v>
      </c>
      <c r="AC23" t="str">
        <f t="shared" si="2"/>
        <v>FF38022</v>
      </c>
    </row>
    <row r="24" spans="1:29" ht="13" x14ac:dyDescent="0.15">
      <c r="A24" s="257" t="s">
        <v>412</v>
      </c>
      <c r="B24" s="257">
        <v>2</v>
      </c>
      <c r="C24" s="390">
        <v>0.96418397185315374</v>
      </c>
      <c r="D24" s="257">
        <v>4.9720000000000004</v>
      </c>
      <c r="E24" s="257">
        <v>5.0000000000000001E-3</v>
      </c>
      <c r="F24" s="279">
        <f t="shared" si="0"/>
        <v>9.9440000000000014E-3</v>
      </c>
      <c r="J24" s="236">
        <v>9</v>
      </c>
      <c r="K24" s="127" t="str">
        <f>IF(ISERROR(S7),"",S7)</f>
        <v/>
      </c>
      <c r="L24" s="128" t="str">
        <f>IF(ISERROR(S8),"",S8)</f>
        <v/>
      </c>
      <c r="M24" s="240" t="str">
        <f>IF(ISERROR(S4),"",S4)</f>
        <v/>
      </c>
      <c r="N24" s="128" t="str">
        <f>IF(ISERROR(S5),"",S5)</f>
        <v/>
      </c>
      <c r="U24" s="219"/>
      <c r="AB24">
        <f t="shared" si="1"/>
        <v>2</v>
      </c>
      <c r="AC24" t="str">
        <f t="shared" si="2"/>
        <v>FF38022</v>
      </c>
    </row>
    <row r="25" spans="1:29" ht="14" thickBot="1" x14ac:dyDescent="0.2">
      <c r="A25" s="257" t="s">
        <v>412</v>
      </c>
      <c r="B25" s="257">
        <v>2</v>
      </c>
      <c r="C25" s="390">
        <v>0.96459072863187256</v>
      </c>
      <c r="D25" s="257">
        <v>4.9720000000000004</v>
      </c>
      <c r="E25" s="257">
        <v>5.0000000000000001E-3</v>
      </c>
      <c r="F25" s="279">
        <f t="shared" si="0"/>
        <v>9.9440000000000014E-3</v>
      </c>
      <c r="J25" s="237">
        <v>10</v>
      </c>
      <c r="K25" s="129" t="str">
        <f>IF(ISERROR(T7),"",T7)</f>
        <v/>
      </c>
      <c r="L25" s="130" t="str">
        <f>IF(ISERROR(T8),"",T8)</f>
        <v/>
      </c>
      <c r="M25" s="241" t="str">
        <f>IF(ISERROR(T4),"",T4)</f>
        <v/>
      </c>
      <c r="N25" s="130" t="str">
        <f>IF(ISERROR(T5),"",T5)</f>
        <v/>
      </c>
      <c r="U25" s="219"/>
      <c r="AB25">
        <f t="shared" si="1"/>
        <v>2</v>
      </c>
      <c r="AC25" t="str">
        <f t="shared" si="2"/>
        <v>FF38022</v>
      </c>
    </row>
    <row r="26" spans="1:29" ht="13" x14ac:dyDescent="0.15">
      <c r="A26" s="257" t="s">
        <v>413</v>
      </c>
      <c r="B26" s="257">
        <v>3</v>
      </c>
      <c r="C26" s="390">
        <v>1.1777210906316831</v>
      </c>
      <c r="D26" s="257">
        <v>6.0359999999999996</v>
      </c>
      <c r="E26" s="257">
        <v>6.0000000000000001E-3</v>
      </c>
      <c r="F26" s="279">
        <f t="shared" si="0"/>
        <v>1.2071999999999999E-2</v>
      </c>
      <c r="U26" s="219"/>
      <c r="AB26">
        <f t="shared" si="1"/>
        <v>3</v>
      </c>
      <c r="AC26" t="str">
        <f t="shared" si="2"/>
        <v>FF18162</v>
      </c>
    </row>
    <row r="27" spans="1:29" ht="13" x14ac:dyDescent="0.15">
      <c r="A27" s="257" t="s">
        <v>413</v>
      </c>
      <c r="B27" s="257">
        <v>3</v>
      </c>
      <c r="C27" s="390">
        <v>1.1775406962043169</v>
      </c>
      <c r="D27" s="257">
        <v>6.0359999999999996</v>
      </c>
      <c r="E27" s="257">
        <v>6.0000000000000001E-3</v>
      </c>
      <c r="F27" s="279">
        <f t="shared" si="0"/>
        <v>1.2071999999999999E-2</v>
      </c>
      <c r="J27" s="216" t="s">
        <v>460</v>
      </c>
      <c r="U27" s="219"/>
      <c r="AB27">
        <f t="shared" si="1"/>
        <v>3</v>
      </c>
      <c r="AC27" t="str">
        <f t="shared" si="2"/>
        <v>FF18162</v>
      </c>
    </row>
    <row r="28" spans="1:29" ht="13" x14ac:dyDescent="0.15">
      <c r="A28" s="257" t="s">
        <v>413</v>
      </c>
      <c r="B28" s="257">
        <v>3</v>
      </c>
      <c r="C28" s="390">
        <v>1.178134948287449</v>
      </c>
      <c r="D28" s="257">
        <v>6.0359999999999996</v>
      </c>
      <c r="E28" s="257">
        <v>6.0000000000000001E-3</v>
      </c>
      <c r="F28" s="279">
        <f t="shared" si="0"/>
        <v>1.2071999999999999E-2</v>
      </c>
      <c r="J28" s="257" t="s">
        <v>414</v>
      </c>
      <c r="K28" s="257">
        <v>4</v>
      </c>
      <c r="L28" s="390">
        <v>1.76271539859549</v>
      </c>
      <c r="M28" s="257">
        <v>9.0069999999999997</v>
      </c>
      <c r="N28" s="257">
        <v>8.9999999999999993E-3</v>
      </c>
      <c r="U28" s="219"/>
      <c r="AB28">
        <f t="shared" si="1"/>
        <v>3</v>
      </c>
      <c r="AC28" t="str">
        <f t="shared" si="2"/>
        <v>FF18162</v>
      </c>
    </row>
    <row r="29" spans="1:29" ht="13" x14ac:dyDescent="0.15">
      <c r="A29" s="257" t="s">
        <v>413</v>
      </c>
      <c r="B29" s="257">
        <v>3</v>
      </c>
      <c r="C29" s="390">
        <v>1.1786593722770078</v>
      </c>
      <c r="D29" s="257">
        <v>6.0359999999999996</v>
      </c>
      <c r="E29" s="257">
        <v>6.0000000000000001E-3</v>
      </c>
      <c r="F29" s="279">
        <f t="shared" si="0"/>
        <v>1.2071999999999999E-2</v>
      </c>
      <c r="J29" s="257" t="s">
        <v>414</v>
      </c>
      <c r="K29" s="257">
        <v>4</v>
      </c>
      <c r="L29" s="390">
        <v>1.7696070310393393</v>
      </c>
      <c r="M29" s="257">
        <v>9.0069999999999997</v>
      </c>
      <c r="N29" s="257">
        <v>8.9999999999999993E-3</v>
      </c>
      <c r="U29" s="219"/>
      <c r="AB29">
        <f t="shared" si="1"/>
        <v>3</v>
      </c>
      <c r="AC29" t="str">
        <f t="shared" si="2"/>
        <v>FF18162</v>
      </c>
    </row>
    <row r="30" spans="1:29" ht="13" x14ac:dyDescent="0.15">
      <c r="A30" s="257" t="s">
        <v>413</v>
      </c>
      <c r="B30" s="257">
        <v>3</v>
      </c>
      <c r="C30" s="390">
        <v>1.1791338961942324</v>
      </c>
      <c r="D30" s="257">
        <v>6.0359999999999996</v>
      </c>
      <c r="E30" s="257">
        <v>6.0000000000000001E-3</v>
      </c>
      <c r="F30" s="279">
        <f t="shared" si="0"/>
        <v>1.2071999999999999E-2</v>
      </c>
      <c r="U30" s="219"/>
      <c r="AB30">
        <f t="shared" si="1"/>
        <v>3</v>
      </c>
      <c r="AC30" t="str">
        <f t="shared" si="2"/>
        <v>FF18162</v>
      </c>
    </row>
    <row r="31" spans="1:29" ht="13" x14ac:dyDescent="0.15">
      <c r="A31" s="257" t="s">
        <v>413</v>
      </c>
      <c r="B31" s="257">
        <v>3</v>
      </c>
      <c r="C31" s="390">
        <v>1.1787880833108104</v>
      </c>
      <c r="D31" s="257">
        <v>6.0359999999999996</v>
      </c>
      <c r="E31" s="257">
        <v>6.0000000000000001E-3</v>
      </c>
      <c r="F31" s="279">
        <f t="shared" si="0"/>
        <v>1.2071999999999999E-2</v>
      </c>
      <c r="U31" s="219"/>
      <c r="AB31">
        <f t="shared" si="1"/>
        <v>3</v>
      </c>
      <c r="AC31" t="str">
        <f t="shared" si="2"/>
        <v>FF18162</v>
      </c>
    </row>
    <row r="32" spans="1:29" ht="13" x14ac:dyDescent="0.15">
      <c r="A32" s="257" t="s">
        <v>413</v>
      </c>
      <c r="B32" s="257">
        <v>3</v>
      </c>
      <c r="C32" s="390">
        <v>1.1777318846325091</v>
      </c>
      <c r="D32" s="257">
        <v>6.0359999999999996</v>
      </c>
      <c r="E32" s="257">
        <v>6.0000000000000001E-3</v>
      </c>
      <c r="F32" s="279">
        <f t="shared" si="0"/>
        <v>1.2071999999999999E-2</v>
      </c>
      <c r="U32" s="219"/>
      <c r="AB32">
        <f t="shared" si="1"/>
        <v>3</v>
      </c>
      <c r="AC32" t="str">
        <f t="shared" si="2"/>
        <v>FF18162</v>
      </c>
    </row>
    <row r="33" spans="1:29" ht="13" x14ac:dyDescent="0.15">
      <c r="A33" s="257" t="s">
        <v>413</v>
      </c>
      <c r="B33" s="257">
        <v>3</v>
      </c>
      <c r="C33" s="390">
        <v>1.1779671879314701</v>
      </c>
      <c r="D33" s="257">
        <v>6.0359999999999996</v>
      </c>
      <c r="E33" s="257">
        <v>6.0000000000000001E-3</v>
      </c>
      <c r="F33" s="279">
        <f t="shared" si="0"/>
        <v>1.2071999999999999E-2</v>
      </c>
      <c r="U33" s="219"/>
      <c r="AB33">
        <f t="shared" si="1"/>
        <v>3</v>
      </c>
      <c r="AC33" t="str">
        <f t="shared" si="2"/>
        <v>FF18162</v>
      </c>
    </row>
    <row r="34" spans="1:29" ht="13" x14ac:dyDescent="0.15">
      <c r="A34" s="257" t="s">
        <v>413</v>
      </c>
      <c r="B34" s="257">
        <v>3</v>
      </c>
      <c r="C34" s="390">
        <v>1.1787918129532069</v>
      </c>
      <c r="D34" s="257">
        <v>6.0359999999999996</v>
      </c>
      <c r="E34" s="257">
        <v>6.0000000000000001E-3</v>
      </c>
      <c r="F34" s="279">
        <f t="shared" ref="F34:F65" si="10">IF(ISBLANK(B34),"",IF(ISNUMBER($K$10),D34*$K$10,E34))</f>
        <v>1.2071999999999999E-2</v>
      </c>
      <c r="U34" s="219"/>
      <c r="AB34">
        <f t="shared" ref="AB34:AB65" si="11">B34</f>
        <v>3</v>
      </c>
      <c r="AC34" t="str">
        <f t="shared" ref="AC34:AC65" si="12">A34</f>
        <v>FF18162</v>
      </c>
    </row>
    <row r="35" spans="1:29" ht="13" x14ac:dyDescent="0.15">
      <c r="A35" s="257" t="s">
        <v>413</v>
      </c>
      <c r="B35" s="257">
        <v>3</v>
      </c>
      <c r="C35" s="390">
        <v>1.1786315980753568</v>
      </c>
      <c r="D35" s="257">
        <v>6.0359999999999996</v>
      </c>
      <c r="E35" s="257">
        <v>6.0000000000000001E-3</v>
      </c>
      <c r="F35" s="279">
        <f t="shared" si="10"/>
        <v>1.2071999999999999E-2</v>
      </c>
      <c r="U35" s="219"/>
      <c r="AB35">
        <f t="shared" si="11"/>
        <v>3</v>
      </c>
      <c r="AC35" t="str">
        <f t="shared" si="12"/>
        <v>FF18162</v>
      </c>
    </row>
    <row r="36" spans="1:29" ht="13" x14ac:dyDescent="0.15">
      <c r="A36" s="257" t="s">
        <v>413</v>
      </c>
      <c r="B36" s="257">
        <v>3</v>
      </c>
      <c r="C36" s="390">
        <v>1.1788285830293268</v>
      </c>
      <c r="D36" s="257">
        <v>6.0359999999999996</v>
      </c>
      <c r="E36" s="257">
        <v>6.0000000000000001E-3</v>
      </c>
      <c r="F36" s="279">
        <f t="shared" si="10"/>
        <v>1.2071999999999999E-2</v>
      </c>
      <c r="U36" s="219"/>
      <c r="AB36">
        <f t="shared" si="11"/>
        <v>3</v>
      </c>
      <c r="AC36" t="str">
        <f t="shared" si="12"/>
        <v>FF18162</v>
      </c>
    </row>
    <row r="37" spans="1:29" ht="13" x14ac:dyDescent="0.15">
      <c r="A37" s="257" t="s">
        <v>413</v>
      </c>
      <c r="B37" s="257">
        <v>3</v>
      </c>
      <c r="C37" s="390">
        <v>1.1780667700803624</v>
      </c>
      <c r="D37" s="257">
        <v>6.0359999999999996</v>
      </c>
      <c r="E37" s="257">
        <v>6.0000000000000001E-3</v>
      </c>
      <c r="F37" s="279">
        <f t="shared" si="10"/>
        <v>1.2071999999999999E-2</v>
      </c>
      <c r="U37" s="219"/>
      <c r="AB37">
        <f t="shared" si="11"/>
        <v>3</v>
      </c>
      <c r="AC37" t="str">
        <f t="shared" si="12"/>
        <v>FF18162</v>
      </c>
    </row>
    <row r="38" spans="1:29" ht="13" x14ac:dyDescent="0.15">
      <c r="A38" s="257" t="s">
        <v>414</v>
      </c>
      <c r="B38" s="257">
        <v>4</v>
      </c>
      <c r="C38" s="390">
        <v>1.7721416214683856</v>
      </c>
      <c r="D38" s="257">
        <v>9.0069999999999997</v>
      </c>
      <c r="E38" s="257">
        <v>8.9999999999999993E-3</v>
      </c>
      <c r="F38" s="279">
        <f t="shared" si="10"/>
        <v>1.8013999999999999E-2</v>
      </c>
      <c r="U38" s="219"/>
      <c r="AB38">
        <f t="shared" si="11"/>
        <v>4</v>
      </c>
      <c r="AC38" t="str">
        <f t="shared" si="12"/>
        <v>CAL016209</v>
      </c>
    </row>
    <row r="39" spans="1:29" ht="13" x14ac:dyDescent="0.15">
      <c r="A39" s="257" t="s">
        <v>414</v>
      </c>
      <c r="B39" s="257">
        <v>4</v>
      </c>
      <c r="C39" s="390">
        <v>1.7728179051281043</v>
      </c>
      <c r="D39" s="257">
        <v>9.0069999999999997</v>
      </c>
      <c r="E39" s="257">
        <v>8.9999999999999993E-3</v>
      </c>
      <c r="F39" s="279">
        <f t="shared" si="10"/>
        <v>1.8013999999999999E-2</v>
      </c>
      <c r="U39" s="219"/>
      <c r="AB39">
        <f t="shared" si="11"/>
        <v>4</v>
      </c>
      <c r="AC39" t="str">
        <f t="shared" si="12"/>
        <v>CAL016209</v>
      </c>
    </row>
    <row r="40" spans="1:29" ht="13" x14ac:dyDescent="0.15">
      <c r="A40" s="257" t="s">
        <v>414</v>
      </c>
      <c r="B40" s="257">
        <v>4</v>
      </c>
      <c r="C40" s="390">
        <v>1.772073846443871</v>
      </c>
      <c r="D40" s="257">
        <v>9.0069999999999997</v>
      </c>
      <c r="E40" s="257">
        <v>8.9999999999999993E-3</v>
      </c>
      <c r="F40" s="279">
        <f t="shared" si="10"/>
        <v>1.8013999999999999E-2</v>
      </c>
      <c r="U40" s="219"/>
      <c r="AB40">
        <f t="shared" si="11"/>
        <v>4</v>
      </c>
      <c r="AC40" t="str">
        <f t="shared" si="12"/>
        <v>CAL016209</v>
      </c>
    </row>
    <row r="41" spans="1:29" ht="13" x14ac:dyDescent="0.15">
      <c r="A41" s="257" t="s">
        <v>414</v>
      </c>
      <c r="B41" s="257">
        <v>4</v>
      </c>
      <c r="C41" s="390">
        <v>1.7724189208509602</v>
      </c>
      <c r="D41" s="257">
        <v>9.0069999999999997</v>
      </c>
      <c r="E41" s="257">
        <v>8.9999999999999993E-3</v>
      </c>
      <c r="F41" s="279">
        <f t="shared" si="10"/>
        <v>1.8013999999999999E-2</v>
      </c>
      <c r="U41" s="219"/>
      <c r="AB41">
        <f t="shared" si="11"/>
        <v>4</v>
      </c>
      <c r="AC41" t="str">
        <f t="shared" si="12"/>
        <v>CAL016209</v>
      </c>
    </row>
    <row r="42" spans="1:29" ht="13" x14ac:dyDescent="0.15">
      <c r="A42" s="257" t="s">
        <v>414</v>
      </c>
      <c r="B42" s="257">
        <v>4</v>
      </c>
      <c r="C42" s="390">
        <v>1.771999923170295</v>
      </c>
      <c r="D42" s="257">
        <v>9.0069999999999997</v>
      </c>
      <c r="E42" s="257">
        <v>8.9999999999999993E-3</v>
      </c>
      <c r="F42" s="279">
        <f t="shared" si="10"/>
        <v>1.8013999999999999E-2</v>
      </c>
      <c r="AB42">
        <f t="shared" si="11"/>
        <v>4</v>
      </c>
      <c r="AC42" t="str">
        <f t="shared" si="12"/>
        <v>CAL016209</v>
      </c>
    </row>
    <row r="43" spans="1:29" ht="13" x14ac:dyDescent="0.15">
      <c r="A43" s="257" t="s">
        <v>414</v>
      </c>
      <c r="B43" s="257">
        <v>4</v>
      </c>
      <c r="C43" s="390">
        <v>1.7721967487736492</v>
      </c>
      <c r="D43" s="257">
        <v>9.0069999999999997</v>
      </c>
      <c r="E43" s="257">
        <v>8.9999999999999993E-3</v>
      </c>
      <c r="F43" s="279">
        <f t="shared" si="10"/>
        <v>1.8013999999999999E-2</v>
      </c>
      <c r="AB43">
        <f t="shared" si="11"/>
        <v>4</v>
      </c>
      <c r="AC43" t="str">
        <f t="shared" si="12"/>
        <v>CAL016209</v>
      </c>
    </row>
    <row r="44" spans="1:29" ht="13" x14ac:dyDescent="0.15">
      <c r="A44" s="257" t="s">
        <v>414</v>
      </c>
      <c r="B44" s="257">
        <v>4</v>
      </c>
      <c r="C44" s="390">
        <v>1.7726242150608362</v>
      </c>
      <c r="D44" s="257">
        <v>9.0069999999999997</v>
      </c>
      <c r="E44" s="257">
        <v>8.9999999999999993E-3</v>
      </c>
      <c r="F44" s="279">
        <f t="shared" si="10"/>
        <v>1.8013999999999999E-2</v>
      </c>
      <c r="AB44">
        <f t="shared" si="11"/>
        <v>4</v>
      </c>
      <c r="AC44" t="str">
        <f t="shared" si="12"/>
        <v>CAL016209</v>
      </c>
    </row>
    <row r="45" spans="1:29" ht="13" x14ac:dyDescent="0.15">
      <c r="A45" s="257" t="s">
        <v>414</v>
      </c>
      <c r="B45" s="257">
        <v>4</v>
      </c>
      <c r="C45" s="390">
        <v>1.7732502646519497</v>
      </c>
      <c r="D45" s="257">
        <v>9.0069999999999997</v>
      </c>
      <c r="E45" s="257">
        <v>8.9999999999999993E-3</v>
      </c>
      <c r="F45" s="279">
        <f t="shared" si="10"/>
        <v>1.8013999999999999E-2</v>
      </c>
      <c r="AB45">
        <f t="shared" si="11"/>
        <v>4</v>
      </c>
      <c r="AC45" t="str">
        <f t="shared" si="12"/>
        <v>CAL016209</v>
      </c>
    </row>
    <row r="46" spans="1:29" ht="13" x14ac:dyDescent="0.15">
      <c r="A46" s="257" t="s">
        <v>414</v>
      </c>
      <c r="B46" s="257">
        <v>4</v>
      </c>
      <c r="C46" s="390">
        <v>1.7732309274765676</v>
      </c>
      <c r="D46" s="257">
        <v>9.0069999999999997</v>
      </c>
      <c r="E46" s="257">
        <v>8.9999999999999993E-3</v>
      </c>
      <c r="F46" s="279">
        <f t="shared" si="10"/>
        <v>1.8013999999999999E-2</v>
      </c>
      <c r="AB46">
        <f t="shared" si="11"/>
        <v>4</v>
      </c>
      <c r="AC46" t="str">
        <f t="shared" si="12"/>
        <v>CAL016209</v>
      </c>
    </row>
    <row r="47" spans="1:29" ht="13" x14ac:dyDescent="0.15">
      <c r="A47" s="257" t="s">
        <v>414</v>
      </c>
      <c r="B47" s="257">
        <v>4</v>
      </c>
      <c r="C47" s="390">
        <v>1.7732668293462519</v>
      </c>
      <c r="D47" s="257">
        <v>9.0069999999999997</v>
      </c>
      <c r="E47" s="257">
        <v>8.9999999999999993E-3</v>
      </c>
      <c r="F47" s="279">
        <f t="shared" si="10"/>
        <v>1.8013999999999999E-2</v>
      </c>
      <c r="AB47">
        <f t="shared" si="11"/>
        <v>4</v>
      </c>
      <c r="AC47" t="str">
        <f t="shared" si="12"/>
        <v>CAL016209</v>
      </c>
    </row>
    <row r="48" spans="1:29" ht="13" x14ac:dyDescent="0.15">
      <c r="A48" s="257"/>
      <c r="B48" s="257"/>
      <c r="C48" s="390"/>
      <c r="D48" s="257"/>
      <c r="E48" s="257"/>
      <c r="F48" s="279" t="str">
        <f t="shared" si="10"/>
        <v/>
      </c>
      <c r="AB48">
        <f t="shared" si="11"/>
        <v>0</v>
      </c>
      <c r="AC48">
        <f t="shared" si="12"/>
        <v>0</v>
      </c>
    </row>
    <row r="49" spans="1:29" ht="13" x14ac:dyDescent="0.15">
      <c r="A49" s="257"/>
      <c r="B49" s="257"/>
      <c r="C49" s="390"/>
      <c r="D49" s="257"/>
      <c r="E49" s="257"/>
      <c r="F49" s="279" t="str">
        <f t="shared" si="10"/>
        <v/>
      </c>
      <c r="AB49">
        <f t="shared" si="11"/>
        <v>0</v>
      </c>
      <c r="AC49">
        <f t="shared" si="12"/>
        <v>0</v>
      </c>
    </row>
    <row r="50" spans="1:29" ht="13" x14ac:dyDescent="0.15">
      <c r="A50" s="257"/>
      <c r="B50" s="257"/>
      <c r="C50" s="257"/>
      <c r="D50" s="257"/>
      <c r="E50" s="257"/>
      <c r="F50" s="279" t="str">
        <f t="shared" si="10"/>
        <v/>
      </c>
      <c r="AB50">
        <f t="shared" si="11"/>
        <v>0</v>
      </c>
      <c r="AC50">
        <f t="shared" si="12"/>
        <v>0</v>
      </c>
    </row>
    <row r="51" spans="1:29" ht="13" x14ac:dyDescent="0.15">
      <c r="A51" s="257"/>
      <c r="B51" s="257"/>
      <c r="C51" s="257"/>
      <c r="D51" s="257"/>
      <c r="E51" s="257"/>
      <c r="F51" s="279" t="str">
        <f t="shared" si="10"/>
        <v/>
      </c>
      <c r="AB51">
        <f t="shared" si="11"/>
        <v>0</v>
      </c>
      <c r="AC51">
        <f t="shared" si="12"/>
        <v>0</v>
      </c>
    </row>
    <row r="52" spans="1:29" ht="13" x14ac:dyDescent="0.15">
      <c r="A52" s="257"/>
      <c r="B52" s="257"/>
      <c r="C52" s="257"/>
      <c r="D52" s="257"/>
      <c r="E52" s="257"/>
      <c r="F52" s="279" t="str">
        <f t="shared" si="10"/>
        <v/>
      </c>
      <c r="AB52">
        <f t="shared" si="11"/>
        <v>0</v>
      </c>
      <c r="AC52">
        <f t="shared" si="12"/>
        <v>0</v>
      </c>
    </row>
    <row r="53" spans="1:29" ht="13" x14ac:dyDescent="0.15">
      <c r="A53" s="257"/>
      <c r="B53" s="257"/>
      <c r="C53" s="257"/>
      <c r="D53" s="257"/>
      <c r="E53" s="257"/>
      <c r="F53" s="279" t="str">
        <f t="shared" si="10"/>
        <v/>
      </c>
      <c r="AB53">
        <f t="shared" si="11"/>
        <v>0</v>
      </c>
      <c r="AC53">
        <f t="shared" si="12"/>
        <v>0</v>
      </c>
    </row>
    <row r="54" spans="1:29" ht="13" x14ac:dyDescent="0.15">
      <c r="A54" s="257"/>
      <c r="B54" s="257"/>
      <c r="C54" s="257"/>
      <c r="D54" s="257"/>
      <c r="E54" s="257"/>
      <c r="F54" s="279" t="str">
        <f t="shared" si="10"/>
        <v/>
      </c>
      <c r="AB54">
        <f t="shared" si="11"/>
        <v>0</v>
      </c>
      <c r="AC54">
        <f t="shared" si="12"/>
        <v>0</v>
      </c>
    </row>
    <row r="55" spans="1:29" ht="13" x14ac:dyDescent="0.15">
      <c r="A55" s="257"/>
      <c r="B55" s="257"/>
      <c r="C55" s="257"/>
      <c r="D55" s="257"/>
      <c r="E55" s="257"/>
      <c r="F55" s="279" t="str">
        <f t="shared" si="10"/>
        <v/>
      </c>
      <c r="AB55">
        <f t="shared" si="11"/>
        <v>0</v>
      </c>
      <c r="AC55">
        <f t="shared" si="12"/>
        <v>0</v>
      </c>
    </row>
    <row r="56" spans="1:29" ht="13" x14ac:dyDescent="0.15">
      <c r="A56" s="257"/>
      <c r="B56" s="257"/>
      <c r="C56" s="257"/>
      <c r="D56" s="257"/>
      <c r="E56" s="257"/>
      <c r="F56" s="279" t="str">
        <f t="shared" si="10"/>
        <v/>
      </c>
      <c r="AB56">
        <f t="shared" si="11"/>
        <v>0</v>
      </c>
      <c r="AC56">
        <f t="shared" si="12"/>
        <v>0</v>
      </c>
    </row>
    <row r="57" spans="1:29" ht="13" x14ac:dyDescent="0.15">
      <c r="A57" s="257"/>
      <c r="B57" s="257"/>
      <c r="C57" s="257"/>
      <c r="D57" s="257"/>
      <c r="E57" s="257"/>
      <c r="F57" s="279" t="str">
        <f t="shared" si="10"/>
        <v/>
      </c>
      <c r="AB57">
        <f t="shared" si="11"/>
        <v>0</v>
      </c>
      <c r="AC57">
        <f t="shared" si="12"/>
        <v>0</v>
      </c>
    </row>
    <row r="58" spans="1:29" ht="13" x14ac:dyDescent="0.15">
      <c r="A58" s="257"/>
      <c r="B58" s="257"/>
      <c r="C58" s="257"/>
      <c r="D58" s="257"/>
      <c r="E58" s="257"/>
      <c r="F58" s="279" t="str">
        <f t="shared" si="10"/>
        <v/>
      </c>
      <c r="AB58">
        <f t="shared" si="11"/>
        <v>0</v>
      </c>
      <c r="AC58">
        <f t="shared" si="12"/>
        <v>0</v>
      </c>
    </row>
    <row r="59" spans="1:29" ht="13" x14ac:dyDescent="0.15">
      <c r="A59" s="257"/>
      <c r="B59" s="257"/>
      <c r="C59" s="257"/>
      <c r="D59" s="257"/>
      <c r="E59" s="257"/>
      <c r="F59" s="279" t="str">
        <f t="shared" si="10"/>
        <v/>
      </c>
      <c r="AB59">
        <f t="shared" si="11"/>
        <v>0</v>
      </c>
      <c r="AC59">
        <f t="shared" si="12"/>
        <v>0</v>
      </c>
    </row>
    <row r="60" spans="1:29" ht="13" x14ac:dyDescent="0.15">
      <c r="A60" s="257"/>
      <c r="B60" s="257"/>
      <c r="C60" s="257"/>
      <c r="D60" s="257"/>
      <c r="E60" s="257"/>
      <c r="F60" s="279" t="str">
        <f t="shared" si="10"/>
        <v/>
      </c>
      <c r="AB60">
        <f t="shared" si="11"/>
        <v>0</v>
      </c>
      <c r="AC60">
        <f t="shared" si="12"/>
        <v>0</v>
      </c>
    </row>
    <row r="61" spans="1:29" ht="13" x14ac:dyDescent="0.15">
      <c r="A61" s="257"/>
      <c r="B61" s="257"/>
      <c r="C61" s="257"/>
      <c r="D61" s="257"/>
      <c r="E61" s="257"/>
      <c r="F61" s="279" t="str">
        <f t="shared" si="10"/>
        <v/>
      </c>
      <c r="AB61">
        <f t="shared" si="11"/>
        <v>0</v>
      </c>
      <c r="AC61">
        <f t="shared" si="12"/>
        <v>0</v>
      </c>
    </row>
    <row r="62" spans="1:29" ht="13" x14ac:dyDescent="0.15">
      <c r="A62" s="257"/>
      <c r="B62" s="257"/>
      <c r="C62" s="257"/>
      <c r="D62" s="257"/>
      <c r="E62" s="257"/>
      <c r="F62" s="279" t="str">
        <f t="shared" si="10"/>
        <v/>
      </c>
      <c r="AB62">
        <f t="shared" si="11"/>
        <v>0</v>
      </c>
      <c r="AC62">
        <f t="shared" si="12"/>
        <v>0</v>
      </c>
    </row>
    <row r="63" spans="1:29" ht="13" x14ac:dyDescent="0.15">
      <c r="A63" s="257"/>
      <c r="B63" s="257"/>
      <c r="C63" s="257"/>
      <c r="D63" s="257"/>
      <c r="E63" s="257"/>
      <c r="F63" s="279" t="str">
        <f t="shared" si="10"/>
        <v/>
      </c>
      <c r="AB63">
        <f t="shared" si="11"/>
        <v>0</v>
      </c>
      <c r="AC63">
        <f t="shared" si="12"/>
        <v>0</v>
      </c>
    </row>
    <row r="64" spans="1:29" ht="13" x14ac:dyDescent="0.15">
      <c r="A64" s="257"/>
      <c r="B64" s="257"/>
      <c r="C64" s="257"/>
      <c r="D64" s="257"/>
      <c r="E64" s="257"/>
      <c r="F64" s="279" t="str">
        <f t="shared" si="10"/>
        <v/>
      </c>
      <c r="AB64">
        <f t="shared" si="11"/>
        <v>0</v>
      </c>
      <c r="AC64">
        <f t="shared" si="12"/>
        <v>0</v>
      </c>
    </row>
    <row r="65" spans="1:29" ht="13" x14ac:dyDescent="0.15">
      <c r="A65" s="257"/>
      <c r="B65" s="257"/>
      <c r="C65" s="257"/>
      <c r="D65" s="257"/>
      <c r="E65" s="257"/>
      <c r="F65" s="279" t="str">
        <f t="shared" si="10"/>
        <v/>
      </c>
      <c r="AB65">
        <f t="shared" si="11"/>
        <v>0</v>
      </c>
      <c r="AC65">
        <f t="shared" si="12"/>
        <v>0</v>
      </c>
    </row>
    <row r="66" spans="1:29" ht="13" x14ac:dyDescent="0.15">
      <c r="A66" s="257"/>
      <c r="B66" s="257"/>
      <c r="C66" s="257"/>
      <c r="D66" s="257"/>
      <c r="E66" s="257"/>
      <c r="F66" s="279" t="str">
        <f t="shared" ref="F66:F97" si="13">IF(ISBLANK(B66),"",IF(ISNUMBER($K$10),D66*$K$10,E66))</f>
        <v/>
      </c>
      <c r="AB66">
        <f t="shared" ref="AB66:AB97" si="14">B66</f>
        <v>0</v>
      </c>
      <c r="AC66">
        <f t="shared" ref="AC66:AC97" si="15">A66</f>
        <v>0</v>
      </c>
    </row>
    <row r="67" spans="1:29" ht="13" x14ac:dyDescent="0.15">
      <c r="A67" s="257"/>
      <c r="B67" s="257"/>
      <c r="C67" s="257"/>
      <c r="D67" s="257"/>
      <c r="E67" s="257"/>
      <c r="F67" s="279" t="str">
        <f t="shared" si="13"/>
        <v/>
      </c>
      <c r="AB67">
        <f t="shared" si="14"/>
        <v>0</v>
      </c>
      <c r="AC67">
        <f t="shared" si="15"/>
        <v>0</v>
      </c>
    </row>
    <row r="68" spans="1:29" ht="13" x14ac:dyDescent="0.15">
      <c r="A68" s="257"/>
      <c r="B68" s="257"/>
      <c r="C68" s="257"/>
      <c r="D68" s="257"/>
      <c r="E68" s="257"/>
      <c r="F68" s="279" t="str">
        <f t="shared" si="13"/>
        <v/>
      </c>
      <c r="AB68">
        <f t="shared" si="14"/>
        <v>0</v>
      </c>
      <c r="AC68">
        <f t="shared" si="15"/>
        <v>0</v>
      </c>
    </row>
    <row r="69" spans="1:29" ht="13" x14ac:dyDescent="0.15">
      <c r="A69" s="257"/>
      <c r="B69" s="257"/>
      <c r="C69" s="257"/>
      <c r="D69" s="257"/>
      <c r="E69" s="257"/>
      <c r="F69" s="279" t="str">
        <f t="shared" si="13"/>
        <v/>
      </c>
      <c r="AB69">
        <f t="shared" si="14"/>
        <v>0</v>
      </c>
      <c r="AC69">
        <f t="shared" si="15"/>
        <v>0</v>
      </c>
    </row>
    <row r="70" spans="1:29" ht="13" x14ac:dyDescent="0.15">
      <c r="A70" s="257"/>
      <c r="B70" s="257"/>
      <c r="C70" s="257"/>
      <c r="D70" s="257"/>
      <c r="E70" s="257"/>
      <c r="F70" s="279" t="str">
        <f t="shared" si="13"/>
        <v/>
      </c>
      <c r="AB70">
        <f t="shared" si="14"/>
        <v>0</v>
      </c>
      <c r="AC70">
        <f t="shared" si="15"/>
        <v>0</v>
      </c>
    </row>
    <row r="71" spans="1:29" ht="13" x14ac:dyDescent="0.15">
      <c r="A71" s="257"/>
      <c r="B71" s="257"/>
      <c r="C71" s="257"/>
      <c r="D71" s="257"/>
      <c r="E71" s="257"/>
      <c r="F71" s="279" t="str">
        <f t="shared" si="13"/>
        <v/>
      </c>
      <c r="AB71">
        <f t="shared" si="14"/>
        <v>0</v>
      </c>
      <c r="AC71">
        <f t="shared" si="15"/>
        <v>0</v>
      </c>
    </row>
    <row r="72" spans="1:29" ht="13" x14ac:dyDescent="0.15">
      <c r="A72" s="257"/>
      <c r="B72" s="257"/>
      <c r="C72" s="257"/>
      <c r="D72" s="257"/>
      <c r="E72" s="257"/>
      <c r="F72" s="279" t="str">
        <f t="shared" si="13"/>
        <v/>
      </c>
      <c r="AB72">
        <f t="shared" si="14"/>
        <v>0</v>
      </c>
      <c r="AC72">
        <f t="shared" si="15"/>
        <v>0</v>
      </c>
    </row>
    <row r="73" spans="1:29" ht="13" x14ac:dyDescent="0.15">
      <c r="A73" s="257"/>
      <c r="B73" s="257"/>
      <c r="C73" s="257"/>
      <c r="D73" s="257"/>
      <c r="E73" s="257"/>
      <c r="F73" s="279" t="str">
        <f t="shared" si="13"/>
        <v/>
      </c>
      <c r="AB73">
        <f t="shared" si="14"/>
        <v>0</v>
      </c>
      <c r="AC73">
        <f t="shared" si="15"/>
        <v>0</v>
      </c>
    </row>
    <row r="74" spans="1:29" ht="13" x14ac:dyDescent="0.15">
      <c r="A74" s="257"/>
      <c r="B74" s="257"/>
      <c r="C74" s="257"/>
      <c r="D74" s="257"/>
      <c r="E74" s="257"/>
      <c r="F74" s="279" t="str">
        <f t="shared" si="13"/>
        <v/>
      </c>
      <c r="AB74">
        <f t="shared" si="14"/>
        <v>0</v>
      </c>
      <c r="AC74">
        <f t="shared" si="15"/>
        <v>0</v>
      </c>
    </row>
    <row r="75" spans="1:29" ht="13" x14ac:dyDescent="0.15">
      <c r="A75" s="257"/>
      <c r="B75" s="257"/>
      <c r="C75" s="257"/>
      <c r="D75" s="257"/>
      <c r="E75" s="257"/>
      <c r="F75" s="279" t="str">
        <f t="shared" si="13"/>
        <v/>
      </c>
      <c r="AB75">
        <f t="shared" si="14"/>
        <v>0</v>
      </c>
      <c r="AC75">
        <f t="shared" si="15"/>
        <v>0</v>
      </c>
    </row>
    <row r="76" spans="1:29" ht="13" x14ac:dyDescent="0.15">
      <c r="A76" s="257"/>
      <c r="B76" s="257"/>
      <c r="C76" s="257"/>
      <c r="D76" s="257"/>
      <c r="E76" s="257"/>
      <c r="F76" s="279" t="str">
        <f t="shared" si="13"/>
        <v/>
      </c>
      <c r="AB76">
        <f t="shared" si="14"/>
        <v>0</v>
      </c>
      <c r="AC76">
        <f t="shared" si="15"/>
        <v>0</v>
      </c>
    </row>
    <row r="77" spans="1:29" ht="13" x14ac:dyDescent="0.15">
      <c r="A77" s="257"/>
      <c r="B77" s="257"/>
      <c r="C77" s="257"/>
      <c r="D77" s="257"/>
      <c r="E77" s="257"/>
      <c r="F77" s="279" t="str">
        <f t="shared" si="13"/>
        <v/>
      </c>
      <c r="AB77">
        <f t="shared" si="14"/>
        <v>0</v>
      </c>
      <c r="AC77">
        <f t="shared" si="15"/>
        <v>0</v>
      </c>
    </row>
    <row r="78" spans="1:29" ht="13" x14ac:dyDescent="0.15">
      <c r="A78" s="257"/>
      <c r="B78" s="257"/>
      <c r="C78" s="257"/>
      <c r="D78" s="257"/>
      <c r="E78" s="257"/>
      <c r="F78" s="279" t="str">
        <f t="shared" si="13"/>
        <v/>
      </c>
      <c r="AB78">
        <f t="shared" si="14"/>
        <v>0</v>
      </c>
      <c r="AC78">
        <f t="shared" si="15"/>
        <v>0</v>
      </c>
    </row>
    <row r="79" spans="1:29" ht="13" x14ac:dyDescent="0.15">
      <c r="A79" s="257"/>
      <c r="B79" s="257"/>
      <c r="C79" s="257"/>
      <c r="D79" s="257"/>
      <c r="E79" s="257"/>
      <c r="F79" s="279" t="str">
        <f t="shared" si="13"/>
        <v/>
      </c>
      <c r="AB79">
        <f t="shared" si="14"/>
        <v>0</v>
      </c>
      <c r="AC79">
        <f t="shared" si="15"/>
        <v>0</v>
      </c>
    </row>
    <row r="80" spans="1:29" ht="13" x14ac:dyDescent="0.15">
      <c r="A80" s="257"/>
      <c r="B80" s="257"/>
      <c r="C80" s="257"/>
      <c r="D80" s="257"/>
      <c r="E80" s="257"/>
      <c r="F80" s="279" t="str">
        <f t="shared" si="13"/>
        <v/>
      </c>
      <c r="AB80">
        <f t="shared" si="14"/>
        <v>0</v>
      </c>
      <c r="AC80">
        <f t="shared" si="15"/>
        <v>0</v>
      </c>
    </row>
    <row r="81" spans="1:29" ht="13" x14ac:dyDescent="0.15">
      <c r="A81" s="257"/>
      <c r="B81" s="257"/>
      <c r="C81" s="257"/>
      <c r="D81" s="257"/>
      <c r="E81" s="257"/>
      <c r="F81" s="279" t="str">
        <f t="shared" si="13"/>
        <v/>
      </c>
      <c r="AB81">
        <f t="shared" si="14"/>
        <v>0</v>
      </c>
      <c r="AC81">
        <f t="shared" si="15"/>
        <v>0</v>
      </c>
    </row>
    <row r="82" spans="1:29" ht="13" x14ac:dyDescent="0.15">
      <c r="A82" s="257"/>
      <c r="B82" s="257"/>
      <c r="C82" s="257"/>
      <c r="D82" s="257"/>
      <c r="E82" s="257"/>
      <c r="F82" s="279" t="str">
        <f t="shared" si="13"/>
        <v/>
      </c>
      <c r="AB82">
        <f t="shared" si="14"/>
        <v>0</v>
      </c>
      <c r="AC82">
        <f t="shared" si="15"/>
        <v>0</v>
      </c>
    </row>
    <row r="83" spans="1:29" ht="13" x14ac:dyDescent="0.15">
      <c r="A83" s="257"/>
      <c r="B83" s="257"/>
      <c r="C83" s="257"/>
      <c r="D83" s="257"/>
      <c r="E83" s="257"/>
      <c r="F83" s="279" t="str">
        <f t="shared" si="13"/>
        <v/>
      </c>
      <c r="AB83">
        <f t="shared" si="14"/>
        <v>0</v>
      </c>
      <c r="AC83">
        <f t="shared" si="15"/>
        <v>0</v>
      </c>
    </row>
    <row r="84" spans="1:29" ht="13" x14ac:dyDescent="0.15">
      <c r="A84" s="257"/>
      <c r="B84" s="257"/>
      <c r="C84" s="257"/>
      <c r="D84" s="257"/>
      <c r="E84" s="257"/>
      <c r="F84" s="279" t="str">
        <f t="shared" si="13"/>
        <v/>
      </c>
      <c r="AB84">
        <f t="shared" si="14"/>
        <v>0</v>
      </c>
      <c r="AC84">
        <f t="shared" si="15"/>
        <v>0</v>
      </c>
    </row>
    <row r="85" spans="1:29" ht="13" x14ac:dyDescent="0.15">
      <c r="A85" s="257"/>
      <c r="B85" s="257"/>
      <c r="C85" s="257"/>
      <c r="D85" s="257"/>
      <c r="E85" s="257"/>
      <c r="F85" s="279" t="str">
        <f t="shared" si="13"/>
        <v/>
      </c>
      <c r="AB85">
        <f t="shared" si="14"/>
        <v>0</v>
      </c>
      <c r="AC85">
        <f t="shared" si="15"/>
        <v>0</v>
      </c>
    </row>
    <row r="86" spans="1:29" ht="13" x14ac:dyDescent="0.15">
      <c r="A86" s="257"/>
      <c r="B86" s="257"/>
      <c r="C86" s="257"/>
      <c r="D86" s="257"/>
      <c r="E86" s="257"/>
      <c r="F86" s="279" t="str">
        <f t="shared" si="13"/>
        <v/>
      </c>
      <c r="AB86">
        <f t="shared" si="14"/>
        <v>0</v>
      </c>
      <c r="AC86">
        <f t="shared" si="15"/>
        <v>0</v>
      </c>
    </row>
    <row r="87" spans="1:29" ht="13" x14ac:dyDescent="0.15">
      <c r="A87" s="257"/>
      <c r="B87" s="257"/>
      <c r="C87" s="257"/>
      <c r="D87" s="257"/>
      <c r="E87" s="257"/>
      <c r="F87" s="279" t="str">
        <f t="shared" si="13"/>
        <v/>
      </c>
      <c r="AB87">
        <f t="shared" si="14"/>
        <v>0</v>
      </c>
      <c r="AC87">
        <f t="shared" si="15"/>
        <v>0</v>
      </c>
    </row>
    <row r="88" spans="1:29" ht="13" x14ac:dyDescent="0.15">
      <c r="A88" s="257"/>
      <c r="B88" s="257"/>
      <c r="C88" s="257"/>
      <c r="D88" s="257"/>
      <c r="E88" s="257"/>
      <c r="F88" s="279" t="str">
        <f t="shared" si="13"/>
        <v/>
      </c>
      <c r="AB88">
        <f t="shared" si="14"/>
        <v>0</v>
      </c>
      <c r="AC88">
        <f t="shared" si="15"/>
        <v>0</v>
      </c>
    </row>
    <row r="89" spans="1:29" ht="13" x14ac:dyDescent="0.15">
      <c r="A89" s="257"/>
      <c r="B89" s="257"/>
      <c r="C89" s="257"/>
      <c r="D89" s="257"/>
      <c r="E89" s="257"/>
      <c r="F89" s="279" t="str">
        <f t="shared" si="13"/>
        <v/>
      </c>
      <c r="AB89">
        <f t="shared" si="14"/>
        <v>0</v>
      </c>
      <c r="AC89">
        <f t="shared" si="15"/>
        <v>0</v>
      </c>
    </row>
    <row r="90" spans="1:29" ht="13" x14ac:dyDescent="0.15">
      <c r="A90" s="257"/>
      <c r="B90" s="257"/>
      <c r="C90" s="257"/>
      <c r="D90" s="257"/>
      <c r="E90" s="257"/>
      <c r="F90" s="279" t="str">
        <f t="shared" si="13"/>
        <v/>
      </c>
      <c r="AB90">
        <f t="shared" si="14"/>
        <v>0</v>
      </c>
      <c r="AC90">
        <f t="shared" si="15"/>
        <v>0</v>
      </c>
    </row>
    <row r="91" spans="1:29" ht="13" x14ac:dyDescent="0.15">
      <c r="A91" s="257"/>
      <c r="B91" s="257"/>
      <c r="C91" s="257"/>
      <c r="D91" s="257"/>
      <c r="E91" s="257"/>
      <c r="F91" s="279" t="str">
        <f t="shared" si="13"/>
        <v/>
      </c>
      <c r="AB91">
        <f t="shared" si="14"/>
        <v>0</v>
      </c>
      <c r="AC91">
        <f t="shared" si="15"/>
        <v>0</v>
      </c>
    </row>
    <row r="92" spans="1:29" ht="13" x14ac:dyDescent="0.15">
      <c r="A92" s="257"/>
      <c r="B92" s="257"/>
      <c r="C92" s="257"/>
      <c r="D92" s="257"/>
      <c r="E92" s="257"/>
      <c r="F92" s="279" t="str">
        <f t="shared" si="13"/>
        <v/>
      </c>
      <c r="AB92">
        <f t="shared" si="14"/>
        <v>0</v>
      </c>
      <c r="AC92">
        <f t="shared" si="15"/>
        <v>0</v>
      </c>
    </row>
    <row r="93" spans="1:29" ht="13" x14ac:dyDescent="0.15">
      <c r="A93" s="257"/>
      <c r="B93" s="257"/>
      <c r="C93" s="257"/>
      <c r="D93" s="257"/>
      <c r="E93" s="257"/>
      <c r="F93" s="279" t="str">
        <f t="shared" si="13"/>
        <v/>
      </c>
      <c r="AB93">
        <f t="shared" si="14"/>
        <v>0</v>
      </c>
      <c r="AC93">
        <f t="shared" si="15"/>
        <v>0</v>
      </c>
    </row>
    <row r="94" spans="1:29" ht="13" x14ac:dyDescent="0.15">
      <c r="A94" s="257"/>
      <c r="B94" s="257"/>
      <c r="C94" s="257"/>
      <c r="D94" s="257"/>
      <c r="E94" s="257"/>
      <c r="F94" s="279" t="str">
        <f t="shared" si="13"/>
        <v/>
      </c>
      <c r="AB94">
        <f t="shared" si="14"/>
        <v>0</v>
      </c>
      <c r="AC94">
        <f t="shared" si="15"/>
        <v>0</v>
      </c>
    </row>
    <row r="95" spans="1:29" ht="13" x14ac:dyDescent="0.15">
      <c r="A95" s="257"/>
      <c r="B95" s="257"/>
      <c r="C95" s="257"/>
      <c r="D95" s="257"/>
      <c r="E95" s="257"/>
      <c r="F95" s="279" t="str">
        <f t="shared" si="13"/>
        <v/>
      </c>
      <c r="AB95">
        <f t="shared" si="14"/>
        <v>0</v>
      </c>
      <c r="AC95">
        <f t="shared" si="15"/>
        <v>0</v>
      </c>
    </row>
    <row r="96" spans="1:29" ht="13" x14ac:dyDescent="0.15">
      <c r="A96" s="257"/>
      <c r="B96" s="257"/>
      <c r="C96" s="257"/>
      <c r="D96" s="257"/>
      <c r="E96" s="257"/>
      <c r="F96" s="279" t="str">
        <f t="shared" si="13"/>
        <v/>
      </c>
      <c r="AB96">
        <f t="shared" si="14"/>
        <v>0</v>
      </c>
      <c r="AC96">
        <f t="shared" si="15"/>
        <v>0</v>
      </c>
    </row>
    <row r="97" spans="1:29" ht="13" x14ac:dyDescent="0.15">
      <c r="A97" s="257"/>
      <c r="B97" s="257"/>
      <c r="C97" s="257"/>
      <c r="D97" s="257"/>
      <c r="E97" s="257"/>
      <c r="F97" s="279" t="str">
        <f t="shared" si="13"/>
        <v/>
      </c>
      <c r="AB97">
        <f t="shared" si="14"/>
        <v>0</v>
      </c>
      <c r="AC97">
        <f t="shared" si="15"/>
        <v>0</v>
      </c>
    </row>
    <row r="98" spans="1:29" ht="13" x14ac:dyDescent="0.15">
      <c r="A98" s="257"/>
      <c r="B98" s="257"/>
      <c r="C98" s="257"/>
      <c r="D98" s="257"/>
      <c r="E98" s="257"/>
      <c r="F98" s="279" t="str">
        <f t="shared" ref="F98:F129" si="16">IF(ISBLANK(B98),"",IF(ISNUMBER($K$10),D98*$K$10,E98))</f>
        <v/>
      </c>
      <c r="AB98">
        <f t="shared" ref="AB98:AB129" si="17">B98</f>
        <v>0</v>
      </c>
      <c r="AC98">
        <f t="shared" ref="AC98:AC129" si="18">A98</f>
        <v>0</v>
      </c>
    </row>
    <row r="99" spans="1:29" ht="13" x14ac:dyDescent="0.15">
      <c r="A99" s="257"/>
      <c r="B99" s="257"/>
      <c r="C99" s="257"/>
      <c r="D99" s="257"/>
      <c r="E99" s="257"/>
      <c r="F99" s="279" t="str">
        <f t="shared" si="16"/>
        <v/>
      </c>
      <c r="AB99">
        <f t="shared" si="17"/>
        <v>0</v>
      </c>
      <c r="AC99">
        <f t="shared" si="18"/>
        <v>0</v>
      </c>
    </row>
    <row r="100" spans="1:29" ht="13" x14ac:dyDescent="0.15">
      <c r="A100" s="257"/>
      <c r="B100" s="257"/>
      <c r="C100" s="257"/>
      <c r="D100" s="257"/>
      <c r="E100" s="257"/>
      <c r="F100" s="279" t="str">
        <f t="shared" si="16"/>
        <v/>
      </c>
      <c r="AB100">
        <f t="shared" si="17"/>
        <v>0</v>
      </c>
      <c r="AC100">
        <f t="shared" si="18"/>
        <v>0</v>
      </c>
    </row>
    <row r="101" spans="1:29" ht="13" x14ac:dyDescent="0.15">
      <c r="A101" s="257"/>
      <c r="B101" s="257"/>
      <c r="C101" s="257"/>
      <c r="D101" s="257"/>
      <c r="E101" s="257"/>
      <c r="F101" s="279" t="str">
        <f t="shared" si="16"/>
        <v/>
      </c>
      <c r="AB101">
        <f t="shared" si="17"/>
        <v>0</v>
      </c>
      <c r="AC101">
        <f t="shared" si="18"/>
        <v>0</v>
      </c>
    </row>
    <row r="102" spans="1:29" ht="13" x14ac:dyDescent="0.15">
      <c r="A102" s="257"/>
      <c r="B102" s="257"/>
      <c r="C102" s="257"/>
      <c r="D102" s="257"/>
      <c r="E102" s="257"/>
      <c r="F102" s="279" t="str">
        <f t="shared" si="16"/>
        <v/>
      </c>
      <c r="AB102">
        <f t="shared" si="17"/>
        <v>0</v>
      </c>
      <c r="AC102">
        <f t="shared" si="18"/>
        <v>0</v>
      </c>
    </row>
    <row r="103" spans="1:29" ht="13" x14ac:dyDescent="0.15">
      <c r="A103" s="257"/>
      <c r="B103" s="257"/>
      <c r="C103" s="257"/>
      <c r="D103" s="257"/>
      <c r="E103" s="257"/>
      <c r="F103" s="279" t="str">
        <f t="shared" si="16"/>
        <v/>
      </c>
      <c r="AB103">
        <f t="shared" si="17"/>
        <v>0</v>
      </c>
      <c r="AC103">
        <f t="shared" si="18"/>
        <v>0</v>
      </c>
    </row>
    <row r="104" spans="1:29" ht="13" x14ac:dyDescent="0.15">
      <c r="A104" s="257"/>
      <c r="B104" s="257"/>
      <c r="C104" s="257"/>
      <c r="D104" s="257"/>
      <c r="E104" s="257"/>
      <c r="F104" s="279" t="str">
        <f t="shared" si="16"/>
        <v/>
      </c>
      <c r="AB104">
        <f t="shared" si="17"/>
        <v>0</v>
      </c>
      <c r="AC104">
        <f t="shared" si="18"/>
        <v>0</v>
      </c>
    </row>
    <row r="105" spans="1:29" ht="13" x14ac:dyDescent="0.15">
      <c r="A105" s="257"/>
      <c r="B105" s="257"/>
      <c r="C105" s="257"/>
      <c r="D105" s="257"/>
      <c r="E105" s="257"/>
      <c r="F105" s="279" t="str">
        <f t="shared" si="16"/>
        <v/>
      </c>
      <c r="AB105">
        <f t="shared" si="17"/>
        <v>0</v>
      </c>
      <c r="AC105">
        <f t="shared" si="18"/>
        <v>0</v>
      </c>
    </row>
    <row r="106" spans="1:29" ht="13" x14ac:dyDescent="0.15">
      <c r="A106" s="257"/>
      <c r="B106" s="257"/>
      <c r="C106" s="257"/>
      <c r="D106" s="257"/>
      <c r="E106" s="257"/>
      <c r="F106" s="279" t="str">
        <f t="shared" si="16"/>
        <v/>
      </c>
      <c r="AB106">
        <f t="shared" si="17"/>
        <v>0</v>
      </c>
      <c r="AC106">
        <f t="shared" si="18"/>
        <v>0</v>
      </c>
    </row>
    <row r="107" spans="1:29" ht="13" x14ac:dyDescent="0.15">
      <c r="A107" s="257"/>
      <c r="B107" s="257"/>
      <c r="C107" s="257"/>
      <c r="D107" s="257"/>
      <c r="E107" s="257"/>
      <c r="F107" s="279" t="str">
        <f t="shared" si="16"/>
        <v/>
      </c>
      <c r="AB107">
        <f t="shared" si="17"/>
        <v>0</v>
      </c>
      <c r="AC107">
        <f t="shared" si="18"/>
        <v>0</v>
      </c>
    </row>
    <row r="108" spans="1:29" ht="13" x14ac:dyDescent="0.15">
      <c r="A108" s="257"/>
      <c r="B108" s="257"/>
      <c r="C108" s="257"/>
      <c r="D108" s="257"/>
      <c r="E108" s="257"/>
      <c r="F108" s="279" t="str">
        <f t="shared" si="16"/>
        <v/>
      </c>
      <c r="AB108">
        <f t="shared" si="17"/>
        <v>0</v>
      </c>
      <c r="AC108">
        <f t="shared" si="18"/>
        <v>0</v>
      </c>
    </row>
    <row r="109" spans="1:29" ht="13" x14ac:dyDescent="0.15">
      <c r="A109" s="257"/>
      <c r="B109" s="257"/>
      <c r="C109" s="257"/>
      <c r="D109" s="257"/>
      <c r="E109" s="257"/>
      <c r="F109" s="279" t="str">
        <f t="shared" si="16"/>
        <v/>
      </c>
      <c r="AB109">
        <f t="shared" si="17"/>
        <v>0</v>
      </c>
      <c r="AC109">
        <f t="shared" si="18"/>
        <v>0</v>
      </c>
    </row>
    <row r="110" spans="1:29" ht="13" x14ac:dyDescent="0.15">
      <c r="A110" s="257"/>
      <c r="B110" s="257"/>
      <c r="C110" s="257"/>
      <c r="D110" s="257"/>
      <c r="E110" s="257"/>
      <c r="F110" s="279" t="str">
        <f t="shared" si="16"/>
        <v/>
      </c>
      <c r="AB110">
        <f t="shared" si="17"/>
        <v>0</v>
      </c>
      <c r="AC110">
        <f t="shared" si="18"/>
        <v>0</v>
      </c>
    </row>
    <row r="111" spans="1:29" ht="13" x14ac:dyDescent="0.15">
      <c r="A111" s="257"/>
      <c r="B111" s="257"/>
      <c r="C111" s="257"/>
      <c r="D111" s="257"/>
      <c r="E111" s="257"/>
      <c r="F111" s="279" t="str">
        <f t="shared" si="16"/>
        <v/>
      </c>
      <c r="AB111">
        <f t="shared" si="17"/>
        <v>0</v>
      </c>
      <c r="AC111">
        <f t="shared" si="18"/>
        <v>0</v>
      </c>
    </row>
    <row r="112" spans="1:29" ht="13" x14ac:dyDescent="0.15">
      <c r="A112" s="257"/>
      <c r="B112" s="257"/>
      <c r="C112" s="257"/>
      <c r="D112" s="257"/>
      <c r="E112" s="257"/>
      <c r="F112" s="279" t="str">
        <f t="shared" si="16"/>
        <v/>
      </c>
      <c r="AB112">
        <f t="shared" si="17"/>
        <v>0</v>
      </c>
      <c r="AC112">
        <f t="shared" si="18"/>
        <v>0</v>
      </c>
    </row>
    <row r="113" spans="1:29" ht="13" x14ac:dyDescent="0.15">
      <c r="A113" s="257"/>
      <c r="B113" s="257"/>
      <c r="C113" s="257"/>
      <c r="D113" s="257"/>
      <c r="E113" s="257"/>
      <c r="F113" s="279" t="str">
        <f t="shared" si="16"/>
        <v/>
      </c>
      <c r="AB113">
        <f t="shared" si="17"/>
        <v>0</v>
      </c>
      <c r="AC113">
        <f t="shared" si="18"/>
        <v>0</v>
      </c>
    </row>
    <row r="114" spans="1:29" ht="13" x14ac:dyDescent="0.15">
      <c r="A114" s="257"/>
      <c r="B114" s="257"/>
      <c r="C114" s="257"/>
      <c r="D114" s="257"/>
      <c r="E114" s="257"/>
      <c r="F114" s="279" t="str">
        <f t="shared" si="16"/>
        <v/>
      </c>
      <c r="AB114">
        <f t="shared" si="17"/>
        <v>0</v>
      </c>
      <c r="AC114">
        <f t="shared" si="18"/>
        <v>0</v>
      </c>
    </row>
    <row r="115" spans="1:29" ht="13" x14ac:dyDescent="0.15">
      <c r="A115" s="257"/>
      <c r="B115" s="257"/>
      <c r="C115" s="257"/>
      <c r="D115" s="257"/>
      <c r="E115" s="257"/>
      <c r="F115" s="279" t="str">
        <f t="shared" si="16"/>
        <v/>
      </c>
      <c r="AB115">
        <f t="shared" si="17"/>
        <v>0</v>
      </c>
      <c r="AC115">
        <f t="shared" si="18"/>
        <v>0</v>
      </c>
    </row>
    <row r="116" spans="1:29" ht="13" x14ac:dyDescent="0.15">
      <c r="A116" s="257"/>
      <c r="B116" s="257"/>
      <c r="C116" s="257"/>
      <c r="D116" s="257"/>
      <c r="E116" s="257"/>
      <c r="F116" s="279" t="str">
        <f t="shared" si="16"/>
        <v/>
      </c>
      <c r="AB116">
        <f t="shared" si="17"/>
        <v>0</v>
      </c>
      <c r="AC116">
        <f t="shared" si="18"/>
        <v>0</v>
      </c>
    </row>
    <row r="117" spans="1:29" ht="13" x14ac:dyDescent="0.15">
      <c r="A117" s="257"/>
      <c r="B117" s="257"/>
      <c r="C117" s="257"/>
      <c r="D117" s="257"/>
      <c r="E117" s="257"/>
      <c r="F117" s="279" t="str">
        <f t="shared" si="16"/>
        <v/>
      </c>
      <c r="AB117">
        <f t="shared" si="17"/>
        <v>0</v>
      </c>
      <c r="AC117">
        <f t="shared" si="18"/>
        <v>0</v>
      </c>
    </row>
    <row r="118" spans="1:29" ht="13" x14ac:dyDescent="0.15">
      <c r="A118" s="257"/>
      <c r="B118" s="257"/>
      <c r="C118" s="257"/>
      <c r="D118" s="257"/>
      <c r="E118" s="257"/>
      <c r="F118" s="279" t="str">
        <f t="shared" si="16"/>
        <v/>
      </c>
      <c r="AB118">
        <f t="shared" si="17"/>
        <v>0</v>
      </c>
      <c r="AC118">
        <f t="shared" si="18"/>
        <v>0</v>
      </c>
    </row>
    <row r="119" spans="1:29" ht="13" x14ac:dyDescent="0.15">
      <c r="A119" s="257"/>
      <c r="B119" s="257"/>
      <c r="C119" s="257"/>
      <c r="D119" s="257"/>
      <c r="E119" s="257"/>
      <c r="F119" s="279" t="str">
        <f t="shared" si="16"/>
        <v/>
      </c>
      <c r="AB119">
        <f t="shared" si="17"/>
        <v>0</v>
      </c>
      <c r="AC119">
        <f t="shared" si="18"/>
        <v>0</v>
      </c>
    </row>
    <row r="120" spans="1:29" ht="13" x14ac:dyDescent="0.15">
      <c r="A120" s="257"/>
      <c r="B120" s="257"/>
      <c r="C120" s="257"/>
      <c r="D120" s="257"/>
      <c r="E120" s="257"/>
      <c r="F120" s="279" t="str">
        <f t="shared" si="16"/>
        <v/>
      </c>
      <c r="AB120">
        <f t="shared" si="17"/>
        <v>0</v>
      </c>
      <c r="AC120">
        <f t="shared" si="18"/>
        <v>0</v>
      </c>
    </row>
    <row r="121" spans="1:29" ht="13" x14ac:dyDescent="0.15">
      <c r="A121" s="257"/>
      <c r="B121" s="257"/>
      <c r="C121" s="257"/>
      <c r="D121" s="257"/>
      <c r="E121" s="257"/>
      <c r="F121" s="279" t="str">
        <f t="shared" si="16"/>
        <v/>
      </c>
      <c r="AB121">
        <f t="shared" si="17"/>
        <v>0</v>
      </c>
      <c r="AC121">
        <f t="shared" si="18"/>
        <v>0</v>
      </c>
    </row>
    <row r="122" spans="1:29" ht="13" x14ac:dyDescent="0.15">
      <c r="A122" s="257"/>
      <c r="B122" s="257"/>
      <c r="C122" s="257"/>
      <c r="D122" s="257"/>
      <c r="E122" s="257"/>
      <c r="F122" s="279" t="str">
        <f t="shared" si="16"/>
        <v/>
      </c>
      <c r="AB122">
        <f t="shared" si="17"/>
        <v>0</v>
      </c>
      <c r="AC122">
        <f t="shared" si="18"/>
        <v>0</v>
      </c>
    </row>
    <row r="123" spans="1:29" ht="13" x14ac:dyDescent="0.15">
      <c r="A123" s="257"/>
      <c r="B123" s="257"/>
      <c r="C123" s="257"/>
      <c r="D123" s="257"/>
      <c r="E123" s="257"/>
      <c r="F123" s="279" t="str">
        <f t="shared" si="16"/>
        <v/>
      </c>
      <c r="AB123">
        <f t="shared" si="17"/>
        <v>0</v>
      </c>
      <c r="AC123">
        <f t="shared" si="18"/>
        <v>0</v>
      </c>
    </row>
    <row r="124" spans="1:29" ht="13" x14ac:dyDescent="0.15">
      <c r="A124" s="257"/>
      <c r="B124" s="257"/>
      <c r="C124" s="257"/>
      <c r="D124" s="257"/>
      <c r="E124" s="257"/>
      <c r="F124" s="279" t="str">
        <f t="shared" si="16"/>
        <v/>
      </c>
      <c r="AB124">
        <f t="shared" si="17"/>
        <v>0</v>
      </c>
      <c r="AC124">
        <f t="shared" si="18"/>
        <v>0</v>
      </c>
    </row>
    <row r="125" spans="1:29" ht="13" x14ac:dyDescent="0.15">
      <c r="A125" s="257"/>
      <c r="B125" s="257"/>
      <c r="C125" s="257"/>
      <c r="D125" s="257"/>
      <c r="E125" s="257"/>
      <c r="F125" s="279" t="str">
        <f t="shared" si="16"/>
        <v/>
      </c>
      <c r="AB125">
        <f t="shared" si="17"/>
        <v>0</v>
      </c>
      <c r="AC125">
        <f t="shared" si="18"/>
        <v>0</v>
      </c>
    </row>
    <row r="126" spans="1:29" ht="13" x14ac:dyDescent="0.15">
      <c r="A126" s="257"/>
      <c r="B126" s="257"/>
      <c r="C126" s="257"/>
      <c r="D126" s="257"/>
      <c r="E126" s="257"/>
      <c r="F126" s="279" t="str">
        <f t="shared" si="16"/>
        <v/>
      </c>
      <c r="AB126">
        <f t="shared" si="17"/>
        <v>0</v>
      </c>
      <c r="AC126">
        <f t="shared" si="18"/>
        <v>0</v>
      </c>
    </row>
    <row r="127" spans="1:29" ht="13" x14ac:dyDescent="0.15">
      <c r="A127" s="257"/>
      <c r="B127" s="257"/>
      <c r="C127" s="257"/>
      <c r="D127" s="257"/>
      <c r="E127" s="257"/>
      <c r="F127" s="279" t="str">
        <f t="shared" si="16"/>
        <v/>
      </c>
      <c r="AB127">
        <f t="shared" si="17"/>
        <v>0</v>
      </c>
      <c r="AC127">
        <f t="shared" si="18"/>
        <v>0</v>
      </c>
    </row>
    <row r="128" spans="1:29" ht="13" x14ac:dyDescent="0.15">
      <c r="A128" s="257"/>
      <c r="B128" s="257"/>
      <c r="C128" s="257"/>
      <c r="D128" s="257"/>
      <c r="E128" s="257"/>
      <c r="F128" s="279" t="str">
        <f t="shared" si="16"/>
        <v/>
      </c>
      <c r="AB128">
        <f t="shared" si="17"/>
        <v>0</v>
      </c>
      <c r="AC128">
        <f t="shared" si="18"/>
        <v>0</v>
      </c>
    </row>
    <row r="129" spans="1:29" ht="13" x14ac:dyDescent="0.15">
      <c r="A129" s="257"/>
      <c r="B129" s="257"/>
      <c r="C129" s="257"/>
      <c r="D129" s="257"/>
      <c r="E129" s="257"/>
      <c r="F129" s="279" t="str">
        <f t="shared" si="16"/>
        <v/>
      </c>
      <c r="AB129">
        <f t="shared" si="17"/>
        <v>0</v>
      </c>
      <c r="AC129">
        <f t="shared" si="18"/>
        <v>0</v>
      </c>
    </row>
    <row r="130" spans="1:29" ht="13" x14ac:dyDescent="0.15">
      <c r="A130" s="257"/>
      <c r="B130" s="257"/>
      <c r="C130" s="257"/>
      <c r="D130" s="257"/>
      <c r="E130" s="257"/>
      <c r="F130" s="279" t="str">
        <f t="shared" ref="F130:F161" si="19">IF(ISBLANK(B130),"",IF(ISNUMBER($K$10),D130*$K$10,E130))</f>
        <v/>
      </c>
      <c r="AB130">
        <f t="shared" ref="AB130:AB161" si="20">B130</f>
        <v>0</v>
      </c>
      <c r="AC130">
        <f t="shared" ref="AC130:AC161" si="21">A130</f>
        <v>0</v>
      </c>
    </row>
    <row r="131" spans="1:29" ht="13" x14ac:dyDescent="0.15">
      <c r="A131" s="257"/>
      <c r="B131" s="257"/>
      <c r="C131" s="257"/>
      <c r="D131" s="257"/>
      <c r="E131" s="257"/>
      <c r="F131" s="279" t="str">
        <f t="shared" si="19"/>
        <v/>
      </c>
      <c r="AB131">
        <f t="shared" si="20"/>
        <v>0</v>
      </c>
      <c r="AC131">
        <f t="shared" si="21"/>
        <v>0</v>
      </c>
    </row>
    <row r="132" spans="1:29" ht="13" x14ac:dyDescent="0.15">
      <c r="A132" s="257"/>
      <c r="B132" s="257"/>
      <c r="C132" s="257"/>
      <c r="D132" s="257"/>
      <c r="E132" s="257"/>
      <c r="F132" s="279" t="str">
        <f t="shared" si="19"/>
        <v/>
      </c>
      <c r="AB132">
        <f t="shared" si="20"/>
        <v>0</v>
      </c>
      <c r="AC132">
        <f t="shared" si="21"/>
        <v>0</v>
      </c>
    </row>
    <row r="133" spans="1:29" ht="13" x14ac:dyDescent="0.15">
      <c r="A133" s="257"/>
      <c r="B133" s="257"/>
      <c r="C133" s="257"/>
      <c r="D133" s="257"/>
      <c r="E133" s="257"/>
      <c r="F133" s="279" t="str">
        <f t="shared" si="19"/>
        <v/>
      </c>
      <c r="AB133">
        <f t="shared" si="20"/>
        <v>0</v>
      </c>
      <c r="AC133">
        <f t="shared" si="21"/>
        <v>0</v>
      </c>
    </row>
    <row r="134" spans="1:29" ht="13" x14ac:dyDescent="0.15">
      <c r="A134" s="257"/>
      <c r="B134" s="257"/>
      <c r="C134" s="257"/>
      <c r="D134" s="257"/>
      <c r="E134" s="257"/>
      <c r="F134" s="279" t="str">
        <f t="shared" si="19"/>
        <v/>
      </c>
      <c r="AB134">
        <f t="shared" si="20"/>
        <v>0</v>
      </c>
      <c r="AC134">
        <f t="shared" si="21"/>
        <v>0</v>
      </c>
    </row>
    <row r="135" spans="1:29" ht="13" x14ac:dyDescent="0.15">
      <c r="A135" s="257"/>
      <c r="B135" s="257"/>
      <c r="C135" s="257"/>
      <c r="D135" s="257"/>
      <c r="E135" s="257"/>
      <c r="F135" s="279" t="str">
        <f t="shared" si="19"/>
        <v/>
      </c>
      <c r="AB135">
        <f t="shared" si="20"/>
        <v>0</v>
      </c>
      <c r="AC135">
        <f t="shared" si="21"/>
        <v>0</v>
      </c>
    </row>
    <row r="136" spans="1:29" ht="13" x14ac:dyDescent="0.15">
      <c r="A136" s="257"/>
      <c r="B136" s="257"/>
      <c r="C136" s="257"/>
      <c r="D136" s="257"/>
      <c r="E136" s="257"/>
      <c r="F136" s="279" t="str">
        <f t="shared" si="19"/>
        <v/>
      </c>
      <c r="AB136">
        <f t="shared" si="20"/>
        <v>0</v>
      </c>
      <c r="AC136">
        <f t="shared" si="21"/>
        <v>0</v>
      </c>
    </row>
    <row r="137" spans="1:29" ht="13" x14ac:dyDescent="0.15">
      <c r="A137" s="257"/>
      <c r="B137" s="257"/>
      <c r="C137" s="257"/>
      <c r="D137" s="257"/>
      <c r="E137" s="257"/>
      <c r="F137" s="279" t="str">
        <f t="shared" si="19"/>
        <v/>
      </c>
      <c r="AB137">
        <f t="shared" si="20"/>
        <v>0</v>
      </c>
      <c r="AC137">
        <f t="shared" si="21"/>
        <v>0</v>
      </c>
    </row>
    <row r="138" spans="1:29" ht="13" x14ac:dyDescent="0.15">
      <c r="A138" s="257"/>
      <c r="B138" s="257"/>
      <c r="C138" s="257"/>
      <c r="D138" s="257"/>
      <c r="E138" s="257"/>
      <c r="F138" s="279" t="str">
        <f t="shared" si="19"/>
        <v/>
      </c>
      <c r="AB138">
        <f t="shared" si="20"/>
        <v>0</v>
      </c>
      <c r="AC138">
        <f t="shared" si="21"/>
        <v>0</v>
      </c>
    </row>
    <row r="139" spans="1:29" ht="13" x14ac:dyDescent="0.15">
      <c r="A139" s="257"/>
      <c r="B139" s="257"/>
      <c r="C139" s="257"/>
      <c r="D139" s="257"/>
      <c r="E139" s="257"/>
      <c r="F139" s="279" t="str">
        <f t="shared" si="19"/>
        <v/>
      </c>
      <c r="AB139">
        <f t="shared" si="20"/>
        <v>0</v>
      </c>
      <c r="AC139">
        <f t="shared" si="21"/>
        <v>0</v>
      </c>
    </row>
    <row r="140" spans="1:29" ht="13" x14ac:dyDescent="0.15">
      <c r="A140" s="257"/>
      <c r="B140" s="257"/>
      <c r="C140" s="257"/>
      <c r="D140" s="257"/>
      <c r="E140" s="257"/>
      <c r="F140" s="279" t="str">
        <f t="shared" si="19"/>
        <v/>
      </c>
      <c r="AB140">
        <f t="shared" si="20"/>
        <v>0</v>
      </c>
      <c r="AC140">
        <f t="shared" si="21"/>
        <v>0</v>
      </c>
    </row>
    <row r="141" spans="1:29" ht="13" x14ac:dyDescent="0.15">
      <c r="A141" s="257"/>
      <c r="B141" s="257"/>
      <c r="C141" s="257"/>
      <c r="D141" s="257"/>
      <c r="E141" s="257"/>
      <c r="F141" s="279" t="str">
        <f t="shared" si="19"/>
        <v/>
      </c>
      <c r="AB141">
        <f t="shared" si="20"/>
        <v>0</v>
      </c>
      <c r="AC141">
        <f t="shared" si="21"/>
        <v>0</v>
      </c>
    </row>
    <row r="142" spans="1:29" ht="13" x14ac:dyDescent="0.15">
      <c r="A142" s="257"/>
      <c r="B142" s="257"/>
      <c r="C142" s="257"/>
      <c r="D142" s="257"/>
      <c r="E142" s="257"/>
      <c r="F142" s="279" t="str">
        <f t="shared" si="19"/>
        <v/>
      </c>
      <c r="AB142">
        <f t="shared" si="20"/>
        <v>0</v>
      </c>
      <c r="AC142">
        <f t="shared" si="21"/>
        <v>0</v>
      </c>
    </row>
    <row r="143" spans="1:29" ht="13" x14ac:dyDescent="0.15">
      <c r="A143" s="257"/>
      <c r="B143" s="257"/>
      <c r="C143" s="257"/>
      <c r="D143" s="257"/>
      <c r="E143" s="257"/>
      <c r="F143" s="279" t="str">
        <f t="shared" si="19"/>
        <v/>
      </c>
      <c r="AB143">
        <f t="shared" si="20"/>
        <v>0</v>
      </c>
      <c r="AC143">
        <f t="shared" si="21"/>
        <v>0</v>
      </c>
    </row>
    <row r="144" spans="1:29" ht="13" x14ac:dyDescent="0.15">
      <c r="A144" s="257"/>
      <c r="B144" s="257"/>
      <c r="C144" s="257"/>
      <c r="D144" s="257"/>
      <c r="E144" s="257"/>
      <c r="F144" s="279" t="str">
        <f t="shared" si="19"/>
        <v/>
      </c>
      <c r="AB144">
        <f t="shared" si="20"/>
        <v>0</v>
      </c>
      <c r="AC144">
        <f t="shared" si="21"/>
        <v>0</v>
      </c>
    </row>
    <row r="145" spans="1:29" ht="13" x14ac:dyDescent="0.15">
      <c r="A145" s="257"/>
      <c r="B145" s="257"/>
      <c r="C145" s="257"/>
      <c r="D145" s="257"/>
      <c r="E145" s="257"/>
      <c r="F145" s="279" t="str">
        <f t="shared" si="19"/>
        <v/>
      </c>
      <c r="AB145">
        <f t="shared" si="20"/>
        <v>0</v>
      </c>
      <c r="AC145">
        <f t="shared" si="21"/>
        <v>0</v>
      </c>
    </row>
    <row r="146" spans="1:29" ht="13" x14ac:dyDescent="0.15">
      <c r="A146" s="257"/>
      <c r="B146" s="257"/>
      <c r="C146" s="257"/>
      <c r="D146" s="257"/>
      <c r="E146" s="257"/>
      <c r="F146" s="279" t="str">
        <f t="shared" si="19"/>
        <v/>
      </c>
      <c r="AB146">
        <f t="shared" si="20"/>
        <v>0</v>
      </c>
      <c r="AC146">
        <f t="shared" si="21"/>
        <v>0</v>
      </c>
    </row>
    <row r="147" spans="1:29" ht="13" x14ac:dyDescent="0.15">
      <c r="A147" s="257"/>
      <c r="B147" s="257"/>
      <c r="C147" s="257"/>
      <c r="D147" s="257"/>
      <c r="E147" s="257"/>
      <c r="F147" s="279" t="str">
        <f t="shared" si="19"/>
        <v/>
      </c>
      <c r="AB147">
        <f t="shared" si="20"/>
        <v>0</v>
      </c>
      <c r="AC147">
        <f t="shared" si="21"/>
        <v>0</v>
      </c>
    </row>
    <row r="148" spans="1:29" ht="13" x14ac:dyDescent="0.15">
      <c r="A148" s="257"/>
      <c r="B148" s="257"/>
      <c r="C148" s="257"/>
      <c r="D148" s="257"/>
      <c r="E148" s="257"/>
      <c r="F148" s="279" t="str">
        <f t="shared" si="19"/>
        <v/>
      </c>
      <c r="AB148">
        <f t="shared" si="20"/>
        <v>0</v>
      </c>
      <c r="AC148">
        <f t="shared" si="21"/>
        <v>0</v>
      </c>
    </row>
    <row r="149" spans="1:29" ht="13" x14ac:dyDescent="0.15">
      <c r="A149" s="257"/>
      <c r="B149" s="257"/>
      <c r="C149" s="257"/>
      <c r="D149" s="257"/>
      <c r="E149" s="257"/>
      <c r="F149" s="279" t="str">
        <f t="shared" si="19"/>
        <v/>
      </c>
      <c r="AB149">
        <f t="shared" si="20"/>
        <v>0</v>
      </c>
      <c r="AC149">
        <f t="shared" si="21"/>
        <v>0</v>
      </c>
    </row>
    <row r="150" spans="1:29" ht="13" x14ac:dyDescent="0.15">
      <c r="A150" s="257"/>
      <c r="B150" s="257"/>
      <c r="C150" s="257"/>
      <c r="D150" s="257"/>
      <c r="E150" s="257"/>
      <c r="F150" s="279" t="str">
        <f t="shared" si="19"/>
        <v/>
      </c>
      <c r="AB150">
        <f t="shared" si="20"/>
        <v>0</v>
      </c>
      <c r="AC150">
        <f t="shared" si="21"/>
        <v>0</v>
      </c>
    </row>
    <row r="151" spans="1:29" ht="13" x14ac:dyDescent="0.15">
      <c r="A151" s="257"/>
      <c r="B151" s="257"/>
      <c r="C151" s="257"/>
      <c r="D151" s="257"/>
      <c r="E151" s="257"/>
      <c r="F151" s="279" t="str">
        <f t="shared" si="19"/>
        <v/>
      </c>
      <c r="AB151">
        <f t="shared" si="20"/>
        <v>0</v>
      </c>
      <c r="AC151">
        <f t="shared" si="21"/>
        <v>0</v>
      </c>
    </row>
    <row r="152" spans="1:29" ht="13" x14ac:dyDescent="0.15">
      <c r="A152" s="257"/>
      <c r="B152" s="257"/>
      <c r="C152" s="257"/>
      <c r="D152" s="257"/>
      <c r="E152" s="257"/>
      <c r="F152" s="279" t="str">
        <f t="shared" si="19"/>
        <v/>
      </c>
      <c r="AB152">
        <f t="shared" si="20"/>
        <v>0</v>
      </c>
      <c r="AC152">
        <f t="shared" si="21"/>
        <v>0</v>
      </c>
    </row>
    <row r="153" spans="1:29" ht="13" x14ac:dyDescent="0.15">
      <c r="A153" s="257"/>
      <c r="B153" s="257"/>
      <c r="C153" s="257"/>
      <c r="D153" s="257"/>
      <c r="E153" s="257"/>
      <c r="F153" s="279" t="str">
        <f t="shared" si="19"/>
        <v/>
      </c>
      <c r="AB153">
        <f t="shared" si="20"/>
        <v>0</v>
      </c>
      <c r="AC153">
        <f t="shared" si="21"/>
        <v>0</v>
      </c>
    </row>
    <row r="154" spans="1:29" ht="13" x14ac:dyDescent="0.15">
      <c r="A154" s="257"/>
      <c r="B154" s="257"/>
      <c r="C154" s="257"/>
      <c r="D154" s="257"/>
      <c r="E154" s="257"/>
      <c r="F154" s="279" t="str">
        <f t="shared" si="19"/>
        <v/>
      </c>
      <c r="AB154">
        <f t="shared" si="20"/>
        <v>0</v>
      </c>
      <c r="AC154">
        <f t="shared" si="21"/>
        <v>0</v>
      </c>
    </row>
    <row r="155" spans="1:29" ht="13" x14ac:dyDescent="0.15">
      <c r="A155" s="257"/>
      <c r="B155" s="257"/>
      <c r="C155" s="257"/>
      <c r="D155" s="257"/>
      <c r="E155" s="257"/>
      <c r="F155" s="279" t="str">
        <f t="shared" si="19"/>
        <v/>
      </c>
      <c r="AB155">
        <f t="shared" si="20"/>
        <v>0</v>
      </c>
      <c r="AC155">
        <f t="shared" si="21"/>
        <v>0</v>
      </c>
    </row>
    <row r="156" spans="1:29" ht="13" x14ac:dyDescent="0.15">
      <c r="A156" s="257"/>
      <c r="B156" s="257"/>
      <c r="C156" s="257"/>
      <c r="D156" s="257"/>
      <c r="E156" s="257"/>
      <c r="F156" s="279" t="str">
        <f t="shared" si="19"/>
        <v/>
      </c>
      <c r="AB156">
        <f t="shared" si="20"/>
        <v>0</v>
      </c>
      <c r="AC156">
        <f t="shared" si="21"/>
        <v>0</v>
      </c>
    </row>
    <row r="157" spans="1:29" ht="13" x14ac:dyDescent="0.15">
      <c r="A157" s="257"/>
      <c r="B157" s="257"/>
      <c r="C157" s="257"/>
      <c r="D157" s="257"/>
      <c r="E157" s="257"/>
      <c r="F157" s="279" t="str">
        <f t="shared" si="19"/>
        <v/>
      </c>
      <c r="AB157">
        <f t="shared" si="20"/>
        <v>0</v>
      </c>
      <c r="AC157">
        <f t="shared" si="21"/>
        <v>0</v>
      </c>
    </row>
    <row r="158" spans="1:29" ht="13" x14ac:dyDescent="0.15">
      <c r="A158" s="257"/>
      <c r="B158" s="257"/>
      <c r="C158" s="257"/>
      <c r="D158" s="257"/>
      <c r="E158" s="257"/>
      <c r="F158" s="279" t="str">
        <f t="shared" si="19"/>
        <v/>
      </c>
      <c r="AB158">
        <f t="shared" si="20"/>
        <v>0</v>
      </c>
      <c r="AC158">
        <f t="shared" si="21"/>
        <v>0</v>
      </c>
    </row>
    <row r="159" spans="1:29" ht="13" x14ac:dyDescent="0.15">
      <c r="A159" s="257"/>
      <c r="B159" s="257"/>
      <c r="C159" s="257"/>
      <c r="D159" s="257"/>
      <c r="E159" s="257"/>
      <c r="F159" s="279" t="str">
        <f t="shared" si="19"/>
        <v/>
      </c>
      <c r="AB159">
        <f t="shared" si="20"/>
        <v>0</v>
      </c>
      <c r="AC159">
        <f t="shared" si="21"/>
        <v>0</v>
      </c>
    </row>
    <row r="160" spans="1:29" ht="13" x14ac:dyDescent="0.15">
      <c r="A160" s="257"/>
      <c r="B160" s="257"/>
      <c r="C160" s="257"/>
      <c r="D160" s="257"/>
      <c r="E160" s="257"/>
      <c r="F160" s="279" t="str">
        <f t="shared" si="19"/>
        <v/>
      </c>
      <c r="AB160">
        <f t="shared" si="20"/>
        <v>0</v>
      </c>
      <c r="AC160">
        <f t="shared" si="21"/>
        <v>0</v>
      </c>
    </row>
    <row r="161" spans="1:29" ht="13" x14ac:dyDescent="0.15">
      <c r="A161" s="257"/>
      <c r="B161" s="257"/>
      <c r="C161" s="257"/>
      <c r="D161" s="257"/>
      <c r="E161" s="257"/>
      <c r="F161" s="279" t="str">
        <f t="shared" si="19"/>
        <v/>
      </c>
      <c r="AB161">
        <f t="shared" si="20"/>
        <v>0</v>
      </c>
      <c r="AC161">
        <f t="shared" si="21"/>
        <v>0</v>
      </c>
    </row>
    <row r="162" spans="1:29" ht="13" x14ac:dyDescent="0.15">
      <c r="A162" s="257"/>
      <c r="B162" s="257"/>
      <c r="C162" s="257"/>
      <c r="D162" s="257"/>
      <c r="E162" s="257"/>
      <c r="F162" s="279" t="str">
        <f t="shared" ref="F162:F193" si="22">IF(ISBLANK(B162),"",IF(ISNUMBER($K$10),D162*$K$10,E162))</f>
        <v/>
      </c>
      <c r="AB162">
        <f t="shared" ref="AB162:AB193" si="23">B162</f>
        <v>0</v>
      </c>
      <c r="AC162">
        <f t="shared" ref="AC162:AC193" si="24">A162</f>
        <v>0</v>
      </c>
    </row>
    <row r="163" spans="1:29" ht="13" x14ac:dyDescent="0.15">
      <c r="A163" s="257"/>
      <c r="B163" s="257"/>
      <c r="C163" s="257"/>
      <c r="D163" s="257"/>
      <c r="E163" s="257"/>
      <c r="F163" s="279" t="str">
        <f t="shared" si="22"/>
        <v/>
      </c>
      <c r="AB163">
        <f t="shared" si="23"/>
        <v>0</v>
      </c>
      <c r="AC163">
        <f t="shared" si="24"/>
        <v>0</v>
      </c>
    </row>
    <row r="164" spans="1:29" ht="13" x14ac:dyDescent="0.15">
      <c r="A164" s="257"/>
      <c r="B164" s="257"/>
      <c r="C164" s="257"/>
      <c r="D164" s="257"/>
      <c r="E164" s="257"/>
      <c r="F164" s="279" t="str">
        <f t="shared" si="22"/>
        <v/>
      </c>
      <c r="AB164">
        <f t="shared" si="23"/>
        <v>0</v>
      </c>
      <c r="AC164">
        <f t="shared" si="24"/>
        <v>0</v>
      </c>
    </row>
    <row r="165" spans="1:29" ht="13" x14ac:dyDescent="0.15">
      <c r="A165" s="257"/>
      <c r="B165" s="257"/>
      <c r="C165" s="257"/>
      <c r="D165" s="257"/>
      <c r="E165" s="257"/>
      <c r="F165" s="279" t="str">
        <f t="shared" si="22"/>
        <v/>
      </c>
      <c r="AB165">
        <f t="shared" si="23"/>
        <v>0</v>
      </c>
      <c r="AC165">
        <f t="shared" si="24"/>
        <v>0</v>
      </c>
    </row>
    <row r="166" spans="1:29" ht="13" x14ac:dyDescent="0.15">
      <c r="A166" s="257"/>
      <c r="B166" s="257"/>
      <c r="C166" s="257"/>
      <c r="D166" s="257"/>
      <c r="E166" s="257"/>
      <c r="F166" s="279" t="str">
        <f t="shared" si="22"/>
        <v/>
      </c>
      <c r="AB166">
        <f t="shared" si="23"/>
        <v>0</v>
      </c>
      <c r="AC166">
        <f t="shared" si="24"/>
        <v>0</v>
      </c>
    </row>
    <row r="167" spans="1:29" ht="13" x14ac:dyDescent="0.15">
      <c r="A167" s="257"/>
      <c r="B167" s="257"/>
      <c r="C167" s="257"/>
      <c r="D167" s="257"/>
      <c r="E167" s="257"/>
      <c r="F167" s="279" t="str">
        <f t="shared" si="22"/>
        <v/>
      </c>
      <c r="AB167">
        <f t="shared" si="23"/>
        <v>0</v>
      </c>
      <c r="AC167">
        <f t="shared" si="24"/>
        <v>0</v>
      </c>
    </row>
    <row r="168" spans="1:29" ht="13" x14ac:dyDescent="0.15">
      <c r="A168" s="257"/>
      <c r="B168" s="257"/>
      <c r="C168" s="257"/>
      <c r="D168" s="257"/>
      <c r="E168" s="257"/>
      <c r="F168" s="279" t="str">
        <f t="shared" si="22"/>
        <v/>
      </c>
      <c r="AB168">
        <f t="shared" si="23"/>
        <v>0</v>
      </c>
      <c r="AC168">
        <f t="shared" si="24"/>
        <v>0</v>
      </c>
    </row>
    <row r="169" spans="1:29" ht="13" x14ac:dyDescent="0.15">
      <c r="A169" s="257"/>
      <c r="B169" s="257"/>
      <c r="C169" s="257"/>
      <c r="D169" s="257"/>
      <c r="E169" s="257"/>
      <c r="F169" s="279" t="str">
        <f t="shared" si="22"/>
        <v/>
      </c>
      <c r="AB169">
        <f t="shared" si="23"/>
        <v>0</v>
      </c>
      <c r="AC169">
        <f t="shared" si="24"/>
        <v>0</v>
      </c>
    </row>
    <row r="170" spans="1:29" ht="13" x14ac:dyDescent="0.15">
      <c r="A170" s="257"/>
      <c r="B170" s="257"/>
      <c r="C170" s="257"/>
      <c r="D170" s="257"/>
      <c r="E170" s="257"/>
      <c r="F170" s="279" t="str">
        <f t="shared" si="22"/>
        <v/>
      </c>
      <c r="AB170">
        <f t="shared" si="23"/>
        <v>0</v>
      </c>
      <c r="AC170">
        <f t="shared" si="24"/>
        <v>0</v>
      </c>
    </row>
    <row r="171" spans="1:29" ht="13" x14ac:dyDescent="0.15">
      <c r="A171" s="257"/>
      <c r="B171" s="257"/>
      <c r="C171" s="257"/>
      <c r="D171" s="257"/>
      <c r="E171" s="257"/>
      <c r="F171" s="279" t="str">
        <f t="shared" si="22"/>
        <v/>
      </c>
      <c r="AB171">
        <f t="shared" si="23"/>
        <v>0</v>
      </c>
      <c r="AC171">
        <f t="shared" si="24"/>
        <v>0</v>
      </c>
    </row>
    <row r="172" spans="1:29" ht="13" x14ac:dyDescent="0.15">
      <c r="A172" s="257"/>
      <c r="B172" s="257"/>
      <c r="C172" s="257"/>
      <c r="D172" s="257"/>
      <c r="E172" s="257"/>
      <c r="F172" s="279" t="str">
        <f t="shared" si="22"/>
        <v/>
      </c>
      <c r="AB172">
        <f t="shared" si="23"/>
        <v>0</v>
      </c>
      <c r="AC172">
        <f t="shared" si="24"/>
        <v>0</v>
      </c>
    </row>
    <row r="173" spans="1:29" ht="13" x14ac:dyDescent="0.15">
      <c r="A173" s="257"/>
      <c r="B173" s="257"/>
      <c r="C173" s="257"/>
      <c r="D173" s="257"/>
      <c r="E173" s="257"/>
      <c r="F173" s="279" t="str">
        <f t="shared" si="22"/>
        <v/>
      </c>
      <c r="AB173">
        <f t="shared" si="23"/>
        <v>0</v>
      </c>
      <c r="AC173">
        <f t="shared" si="24"/>
        <v>0</v>
      </c>
    </row>
    <row r="174" spans="1:29" ht="13" x14ac:dyDescent="0.15">
      <c r="A174" s="257"/>
      <c r="B174" s="257"/>
      <c r="C174" s="257"/>
      <c r="D174" s="257"/>
      <c r="E174" s="257"/>
      <c r="F174" s="279" t="str">
        <f t="shared" si="22"/>
        <v/>
      </c>
      <c r="AB174">
        <f t="shared" si="23"/>
        <v>0</v>
      </c>
      <c r="AC174">
        <f t="shared" si="24"/>
        <v>0</v>
      </c>
    </row>
    <row r="175" spans="1:29" ht="13" x14ac:dyDescent="0.15">
      <c r="A175" s="257"/>
      <c r="B175" s="257"/>
      <c r="C175" s="257"/>
      <c r="D175" s="257"/>
      <c r="E175" s="257"/>
      <c r="F175" s="279" t="str">
        <f t="shared" si="22"/>
        <v/>
      </c>
      <c r="AB175">
        <f t="shared" si="23"/>
        <v>0</v>
      </c>
      <c r="AC175">
        <f t="shared" si="24"/>
        <v>0</v>
      </c>
    </row>
    <row r="176" spans="1:29" ht="13" x14ac:dyDescent="0.15">
      <c r="A176" s="257"/>
      <c r="B176" s="257"/>
      <c r="C176" s="257"/>
      <c r="D176" s="257"/>
      <c r="E176" s="257"/>
      <c r="F176" s="279" t="str">
        <f t="shared" si="22"/>
        <v/>
      </c>
      <c r="AB176">
        <f t="shared" si="23"/>
        <v>0</v>
      </c>
      <c r="AC176">
        <f t="shared" si="24"/>
        <v>0</v>
      </c>
    </row>
    <row r="177" spans="1:29" ht="13" x14ac:dyDescent="0.15">
      <c r="A177" s="257"/>
      <c r="B177" s="257"/>
      <c r="C177" s="257"/>
      <c r="D177" s="257"/>
      <c r="E177" s="257"/>
      <c r="F177" s="279" t="str">
        <f t="shared" si="22"/>
        <v/>
      </c>
      <c r="AB177">
        <f t="shared" si="23"/>
        <v>0</v>
      </c>
      <c r="AC177">
        <f t="shared" si="24"/>
        <v>0</v>
      </c>
    </row>
    <row r="178" spans="1:29" ht="13" x14ac:dyDescent="0.15">
      <c r="A178" s="257"/>
      <c r="B178" s="257"/>
      <c r="C178" s="257"/>
      <c r="D178" s="257"/>
      <c r="E178" s="257"/>
      <c r="F178" s="279" t="str">
        <f t="shared" si="22"/>
        <v/>
      </c>
      <c r="AB178">
        <f t="shared" si="23"/>
        <v>0</v>
      </c>
      <c r="AC178">
        <f t="shared" si="24"/>
        <v>0</v>
      </c>
    </row>
    <row r="179" spans="1:29" ht="13" x14ac:dyDescent="0.15">
      <c r="A179" s="257"/>
      <c r="B179" s="257"/>
      <c r="C179" s="257"/>
      <c r="D179" s="257"/>
      <c r="E179" s="257"/>
      <c r="F179" s="279" t="str">
        <f t="shared" si="22"/>
        <v/>
      </c>
      <c r="AB179">
        <f t="shared" si="23"/>
        <v>0</v>
      </c>
      <c r="AC179">
        <f t="shared" si="24"/>
        <v>0</v>
      </c>
    </row>
    <row r="180" spans="1:29" ht="13" x14ac:dyDescent="0.15">
      <c r="A180" s="257"/>
      <c r="B180" s="257"/>
      <c r="C180" s="257"/>
      <c r="D180" s="257"/>
      <c r="E180" s="257"/>
      <c r="F180" s="279" t="str">
        <f t="shared" si="22"/>
        <v/>
      </c>
      <c r="AB180">
        <f t="shared" si="23"/>
        <v>0</v>
      </c>
      <c r="AC180">
        <f t="shared" si="24"/>
        <v>0</v>
      </c>
    </row>
    <row r="181" spans="1:29" ht="13" x14ac:dyDescent="0.15">
      <c r="A181" s="257"/>
      <c r="B181" s="257"/>
      <c r="C181" s="257"/>
      <c r="D181" s="257"/>
      <c r="E181" s="257"/>
      <c r="F181" s="279" t="str">
        <f t="shared" si="22"/>
        <v/>
      </c>
      <c r="AB181">
        <f t="shared" si="23"/>
        <v>0</v>
      </c>
      <c r="AC181">
        <f t="shared" si="24"/>
        <v>0</v>
      </c>
    </row>
    <row r="182" spans="1:29" ht="13" x14ac:dyDescent="0.15">
      <c r="A182" s="257"/>
      <c r="B182" s="257"/>
      <c r="C182" s="257"/>
      <c r="D182" s="257"/>
      <c r="E182" s="257"/>
      <c r="F182" s="279" t="str">
        <f t="shared" si="22"/>
        <v/>
      </c>
      <c r="AB182">
        <f t="shared" si="23"/>
        <v>0</v>
      </c>
      <c r="AC182">
        <f t="shared" si="24"/>
        <v>0</v>
      </c>
    </row>
    <row r="183" spans="1:29" ht="13" x14ac:dyDescent="0.15">
      <c r="A183" s="257"/>
      <c r="B183" s="257"/>
      <c r="C183" s="257"/>
      <c r="D183" s="257"/>
      <c r="E183" s="257"/>
      <c r="F183" s="279" t="str">
        <f t="shared" si="22"/>
        <v/>
      </c>
      <c r="AB183">
        <f t="shared" si="23"/>
        <v>0</v>
      </c>
      <c r="AC183">
        <f t="shared" si="24"/>
        <v>0</v>
      </c>
    </row>
    <row r="184" spans="1:29" ht="13" x14ac:dyDescent="0.15">
      <c r="A184" s="257"/>
      <c r="B184" s="257"/>
      <c r="C184" s="257"/>
      <c r="D184" s="257"/>
      <c r="E184" s="257"/>
      <c r="F184" s="279" t="str">
        <f t="shared" si="22"/>
        <v/>
      </c>
      <c r="AB184">
        <f t="shared" si="23"/>
        <v>0</v>
      </c>
      <c r="AC184">
        <f t="shared" si="24"/>
        <v>0</v>
      </c>
    </row>
    <row r="185" spans="1:29" ht="13" x14ac:dyDescent="0.15">
      <c r="A185" s="257"/>
      <c r="B185" s="257"/>
      <c r="C185" s="257"/>
      <c r="D185" s="257"/>
      <c r="E185" s="257"/>
      <c r="F185" s="279" t="str">
        <f t="shared" si="22"/>
        <v/>
      </c>
      <c r="AB185">
        <f t="shared" si="23"/>
        <v>0</v>
      </c>
      <c r="AC185">
        <f t="shared" si="24"/>
        <v>0</v>
      </c>
    </row>
    <row r="186" spans="1:29" ht="13" x14ac:dyDescent="0.15">
      <c r="A186" s="257"/>
      <c r="B186" s="257"/>
      <c r="C186" s="257"/>
      <c r="D186" s="257"/>
      <c r="E186" s="257"/>
      <c r="F186" s="279" t="str">
        <f t="shared" si="22"/>
        <v/>
      </c>
      <c r="AB186">
        <f t="shared" si="23"/>
        <v>0</v>
      </c>
      <c r="AC186">
        <f t="shared" si="24"/>
        <v>0</v>
      </c>
    </row>
    <row r="187" spans="1:29" ht="13" x14ac:dyDescent="0.15">
      <c r="A187" s="257"/>
      <c r="B187" s="257"/>
      <c r="C187" s="257"/>
      <c r="D187" s="257"/>
      <c r="E187" s="257"/>
      <c r="F187" s="279" t="str">
        <f t="shared" si="22"/>
        <v/>
      </c>
      <c r="AB187">
        <f t="shared" si="23"/>
        <v>0</v>
      </c>
      <c r="AC187">
        <f t="shared" si="24"/>
        <v>0</v>
      </c>
    </row>
    <row r="188" spans="1:29" ht="13" x14ac:dyDescent="0.15">
      <c r="A188" s="257"/>
      <c r="B188" s="257"/>
      <c r="C188" s="257"/>
      <c r="D188" s="257"/>
      <c r="E188" s="257"/>
      <c r="F188" s="279" t="str">
        <f t="shared" si="22"/>
        <v/>
      </c>
      <c r="AB188">
        <f t="shared" si="23"/>
        <v>0</v>
      </c>
      <c r="AC188">
        <f t="shared" si="24"/>
        <v>0</v>
      </c>
    </row>
    <row r="189" spans="1:29" ht="13" x14ac:dyDescent="0.15">
      <c r="A189" s="257"/>
      <c r="B189" s="257"/>
      <c r="C189" s="257"/>
      <c r="D189" s="257"/>
      <c r="E189" s="257"/>
      <c r="F189" s="279" t="str">
        <f t="shared" si="22"/>
        <v/>
      </c>
      <c r="AB189">
        <f t="shared" si="23"/>
        <v>0</v>
      </c>
      <c r="AC189">
        <f t="shared" si="24"/>
        <v>0</v>
      </c>
    </row>
    <row r="190" spans="1:29" ht="13" x14ac:dyDescent="0.15">
      <c r="A190" s="257"/>
      <c r="B190" s="257"/>
      <c r="C190" s="257"/>
      <c r="D190" s="257"/>
      <c r="E190" s="257"/>
      <c r="F190" s="279" t="str">
        <f t="shared" si="22"/>
        <v/>
      </c>
      <c r="AB190">
        <f t="shared" si="23"/>
        <v>0</v>
      </c>
      <c r="AC190">
        <f t="shared" si="24"/>
        <v>0</v>
      </c>
    </row>
    <row r="191" spans="1:29" ht="13" x14ac:dyDescent="0.15">
      <c r="A191" s="257"/>
      <c r="B191" s="257"/>
      <c r="C191" s="257"/>
      <c r="D191" s="257"/>
      <c r="E191" s="257"/>
      <c r="F191" s="279" t="str">
        <f t="shared" si="22"/>
        <v/>
      </c>
      <c r="AB191">
        <f t="shared" si="23"/>
        <v>0</v>
      </c>
      <c r="AC191">
        <f t="shared" si="24"/>
        <v>0</v>
      </c>
    </row>
    <row r="192" spans="1:29" ht="13" x14ac:dyDescent="0.15">
      <c r="A192" s="257"/>
      <c r="B192" s="257"/>
      <c r="C192" s="257"/>
      <c r="D192" s="257"/>
      <c r="E192" s="257"/>
      <c r="F192" s="279" t="str">
        <f t="shared" si="22"/>
        <v/>
      </c>
      <c r="AB192">
        <f t="shared" si="23"/>
        <v>0</v>
      </c>
      <c r="AC192">
        <f t="shared" si="24"/>
        <v>0</v>
      </c>
    </row>
    <row r="193" spans="1:29" ht="13" x14ac:dyDescent="0.15">
      <c r="A193" s="257"/>
      <c r="B193" s="257"/>
      <c r="C193" s="257"/>
      <c r="D193" s="257"/>
      <c r="E193" s="257"/>
      <c r="F193" s="279" t="str">
        <f t="shared" si="22"/>
        <v/>
      </c>
      <c r="AB193">
        <f t="shared" si="23"/>
        <v>0</v>
      </c>
      <c r="AC193">
        <f t="shared" si="24"/>
        <v>0</v>
      </c>
    </row>
    <row r="194" spans="1:29" ht="13" x14ac:dyDescent="0.15">
      <c r="A194" s="257"/>
      <c r="B194" s="257"/>
      <c r="C194" s="257"/>
      <c r="D194" s="257"/>
      <c r="E194" s="257"/>
      <c r="F194" s="279" t="str">
        <f t="shared" ref="F194:F200" si="25">IF(ISBLANK(B194),"",IF(ISNUMBER($K$10),D194*$K$10,E194))</f>
        <v/>
      </c>
      <c r="AB194">
        <f t="shared" ref="AB194:AB200" si="26">B194</f>
        <v>0</v>
      </c>
      <c r="AC194">
        <f t="shared" ref="AC194:AC200" si="27">A194</f>
        <v>0</v>
      </c>
    </row>
    <row r="195" spans="1:29" ht="13" x14ac:dyDescent="0.15">
      <c r="A195" s="257"/>
      <c r="B195" s="257"/>
      <c r="C195" s="257"/>
      <c r="D195" s="257"/>
      <c r="E195" s="257"/>
      <c r="F195" s="279" t="str">
        <f t="shared" si="25"/>
        <v/>
      </c>
      <c r="AB195">
        <f t="shared" si="26"/>
        <v>0</v>
      </c>
      <c r="AC195">
        <f t="shared" si="27"/>
        <v>0</v>
      </c>
    </row>
    <row r="196" spans="1:29" ht="13" x14ac:dyDescent="0.15">
      <c r="A196" s="257"/>
      <c r="B196" s="257"/>
      <c r="C196" s="257"/>
      <c r="D196" s="257"/>
      <c r="E196" s="257"/>
      <c r="F196" s="279" t="str">
        <f t="shared" si="25"/>
        <v/>
      </c>
      <c r="AB196">
        <f t="shared" si="26"/>
        <v>0</v>
      </c>
      <c r="AC196">
        <f t="shared" si="27"/>
        <v>0</v>
      </c>
    </row>
    <row r="197" spans="1:29" ht="13" x14ac:dyDescent="0.15">
      <c r="A197" s="257"/>
      <c r="B197" s="257"/>
      <c r="C197" s="257"/>
      <c r="D197" s="257"/>
      <c r="E197" s="257"/>
      <c r="F197" s="279" t="str">
        <f t="shared" si="25"/>
        <v/>
      </c>
      <c r="AB197">
        <f t="shared" si="26"/>
        <v>0</v>
      </c>
      <c r="AC197">
        <f t="shared" si="27"/>
        <v>0</v>
      </c>
    </row>
    <row r="198" spans="1:29" ht="13" x14ac:dyDescent="0.15">
      <c r="A198" s="257"/>
      <c r="B198" s="257"/>
      <c r="C198" s="257"/>
      <c r="D198" s="257"/>
      <c r="E198" s="257"/>
      <c r="F198" s="279" t="str">
        <f t="shared" si="25"/>
        <v/>
      </c>
      <c r="AB198">
        <f t="shared" si="26"/>
        <v>0</v>
      </c>
      <c r="AC198">
        <f t="shared" si="27"/>
        <v>0</v>
      </c>
    </row>
    <row r="199" spans="1:29" ht="13" x14ac:dyDescent="0.15">
      <c r="A199" s="257"/>
      <c r="B199" s="257"/>
      <c r="C199" s="257"/>
      <c r="D199" s="257"/>
      <c r="E199" s="257"/>
      <c r="F199" s="279" t="str">
        <f t="shared" si="25"/>
        <v/>
      </c>
      <c r="AB199">
        <f t="shared" si="26"/>
        <v>0</v>
      </c>
      <c r="AC199">
        <f t="shared" si="27"/>
        <v>0</v>
      </c>
    </row>
    <row r="200" spans="1:29" ht="13" x14ac:dyDescent="0.15">
      <c r="A200" s="257"/>
      <c r="B200" s="257"/>
      <c r="C200" s="257"/>
      <c r="D200" s="257"/>
      <c r="E200" s="257"/>
      <c r="F200" s="279" t="str">
        <f t="shared" si="25"/>
        <v/>
      </c>
      <c r="AB200">
        <f t="shared" si="26"/>
        <v>0</v>
      </c>
      <c r="AC200">
        <f t="shared" si="27"/>
        <v>0</v>
      </c>
    </row>
  </sheetData>
  <autoFilter ref="A1:E57" xr:uid="{DE92D323-C019-814E-840D-5F4324994034}">
    <sortState xmlns:xlrd2="http://schemas.microsoft.com/office/spreadsheetml/2017/richdata2" ref="A2:E57">
      <sortCondition ref="B1:B57"/>
    </sortState>
  </autoFilter>
  <phoneticPr fontId="16" type="noConversion"/>
  <pageMargins left="0.75" right="0.75" top="1" bottom="1" header="0.5" footer="0.5"/>
  <pageSetup orientation="portrait" horizont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7596-41E7-F143-ACF2-DB3D42BA9ABC}">
  <sheetPr codeName="Sheet4">
    <pageSetUpPr fitToPage="1"/>
  </sheetPr>
  <dimension ref="A1:X65536"/>
  <sheetViews>
    <sheetView workbookViewId="0">
      <selection activeCell="R36" sqref="R36"/>
    </sheetView>
  </sheetViews>
  <sheetFormatPr baseColWidth="10" defaultColWidth="8.796875" defaultRowHeight="11" x14ac:dyDescent="0.15"/>
  <cols>
    <col min="1" max="1" width="11.3984375" style="1" customWidth="1"/>
    <col min="2" max="2" width="8.3984375" style="1" customWidth="1"/>
    <col min="3" max="3" width="10.19921875" style="283" customWidth="1"/>
    <col min="4" max="4" width="11.3984375" style="284" bestFit="1" customWidth="1"/>
    <col min="5" max="5" width="11.59765625" style="1" bestFit="1" customWidth="1"/>
    <col min="6" max="6" width="9.3984375" style="1" bestFit="1" customWidth="1"/>
    <col min="7" max="7" width="8.796875" style="1" customWidth="1"/>
    <col min="8" max="8" width="11.796875" style="1" customWidth="1"/>
    <col min="9" max="9" width="10.796875" style="1" customWidth="1"/>
    <col min="10" max="10" width="8.796875" style="1"/>
    <col min="12" max="12" width="10" customWidth="1"/>
    <col min="13" max="13" width="11.3984375" customWidth="1"/>
    <col min="15" max="17" width="10.19921875" bestFit="1" customWidth="1"/>
  </cols>
  <sheetData>
    <row r="1" spans="1:24" ht="14" thickBot="1" x14ac:dyDescent="0.2">
      <c r="A1" s="287" t="s">
        <v>163</v>
      </c>
      <c r="B1" s="216"/>
      <c r="C1" s="288"/>
      <c r="D1" s="289"/>
      <c r="E1" s="216"/>
      <c r="F1" s="216"/>
      <c r="G1" s="216"/>
      <c r="H1" s="290" t="s">
        <v>181</v>
      </c>
      <c r="I1" s="291"/>
      <c r="J1" s="292"/>
      <c r="L1" s="196" t="s">
        <v>285</v>
      </c>
      <c r="M1" s="197"/>
      <c r="N1" s="367"/>
      <c r="O1" s="368" t="s">
        <v>277</v>
      </c>
      <c r="P1" s="369" t="s">
        <v>278</v>
      </c>
      <c r="Q1" s="370" t="s">
        <v>279</v>
      </c>
      <c r="W1" t="s">
        <v>280</v>
      </c>
      <c r="X1" t="s">
        <v>283</v>
      </c>
    </row>
    <row r="2" spans="1:24" ht="13" x14ac:dyDescent="0.15">
      <c r="A2" s="293" t="s">
        <v>38</v>
      </c>
      <c r="B2" s="293" t="s">
        <v>11</v>
      </c>
      <c r="C2" s="294" t="s">
        <v>40</v>
      </c>
      <c r="D2" s="295" t="s">
        <v>110</v>
      </c>
      <c r="E2" s="293" t="s">
        <v>111</v>
      </c>
      <c r="F2" s="293" t="s">
        <v>47</v>
      </c>
      <c r="H2" s="169" t="s">
        <v>2</v>
      </c>
      <c r="I2" s="169" t="s">
        <v>11</v>
      </c>
      <c r="J2" s="169" t="s">
        <v>40</v>
      </c>
      <c r="L2" s="311" t="s">
        <v>4</v>
      </c>
      <c r="M2" s="371">
        <f>RCertification!G48</f>
        <v>0.11906917893669093</v>
      </c>
      <c r="N2" s="372">
        <f>RCertification!H48</f>
        <v>1.9000200223760373E-2</v>
      </c>
      <c r="O2" s="373">
        <f>RCertification!H54*N2*N3</f>
        <v>-3.3505945655325534E-4</v>
      </c>
      <c r="P2" s="374" t="str">
        <f>IF(ISNUMBER(M4),RCertification!I54*N2*N4,"")</f>
        <v/>
      </c>
      <c r="Q2" s="375" t="str">
        <f>IF(ISNUMBER(M4),RCertification!I55*N3*N4,"")</f>
        <v/>
      </c>
      <c r="W2" t="s">
        <v>281</v>
      </c>
      <c r="X2" t="s">
        <v>282</v>
      </c>
    </row>
    <row r="3" spans="1:24" ht="13" x14ac:dyDescent="0.15">
      <c r="A3" s="257"/>
      <c r="B3" s="257"/>
      <c r="C3" s="257"/>
      <c r="D3" s="257"/>
      <c r="E3" s="285" t="str">
        <f t="shared" ref="E3:E34" si="0">IF(ISNUMBER(C3),C3*C3*$M$4+C3*$M$3+$M$2,"")</f>
        <v/>
      </c>
      <c r="F3" s="286" t="str">
        <f t="shared" ref="F3:F34" si="1">IF(ISNUMBER(C3),(D3-E3)/D3,"")</f>
        <v/>
      </c>
      <c r="H3" s="257" t="s">
        <v>415</v>
      </c>
      <c r="I3" s="257">
        <v>2</v>
      </c>
      <c r="J3" s="384">
        <v>1.0006651408843694</v>
      </c>
      <c r="L3" s="311" t="s">
        <v>5</v>
      </c>
      <c r="M3" s="371">
        <f>RCertification!G49</f>
        <v>5.0205063042696549</v>
      </c>
      <c r="N3" s="372">
        <f>RCertification!H49</f>
        <v>1.8371030250849327E-2</v>
      </c>
      <c r="O3" s="376"/>
      <c r="P3" s="377"/>
      <c r="Q3" s="378"/>
    </row>
    <row r="4" spans="1:24" ht="14" thickBot="1" x14ac:dyDescent="0.2">
      <c r="A4" s="257"/>
      <c r="B4" s="257"/>
      <c r="C4" s="257"/>
      <c r="D4" s="257"/>
      <c r="E4" s="285" t="str">
        <f t="shared" si="0"/>
        <v/>
      </c>
      <c r="F4" s="286" t="str">
        <f t="shared" si="1"/>
        <v/>
      </c>
      <c r="H4" s="257" t="s">
        <v>415</v>
      </c>
      <c r="I4" s="257">
        <v>2</v>
      </c>
      <c r="J4" s="384">
        <v>1.0014671659269316</v>
      </c>
      <c r="L4" s="312" t="s">
        <v>6</v>
      </c>
      <c r="M4" s="379" t="str">
        <f>RCertification!G50</f>
        <v/>
      </c>
      <c r="N4" s="380" t="str">
        <f>RCertification!H50</f>
        <v/>
      </c>
      <c r="O4" s="381"/>
      <c r="P4" s="382"/>
      <c r="Q4" s="383"/>
      <c r="W4" t="s">
        <v>286</v>
      </c>
    </row>
    <row r="5" spans="1:24" ht="13" x14ac:dyDescent="0.15">
      <c r="A5" s="257"/>
      <c r="B5" s="257"/>
      <c r="C5" s="257"/>
      <c r="D5" s="257"/>
      <c r="E5" s="285" t="str">
        <f t="shared" si="0"/>
        <v/>
      </c>
      <c r="F5" s="286" t="str">
        <f t="shared" si="1"/>
        <v/>
      </c>
      <c r="H5" s="257" t="s">
        <v>415</v>
      </c>
      <c r="I5" s="257">
        <v>2</v>
      </c>
      <c r="J5" s="384">
        <v>1.0012222598593559</v>
      </c>
      <c r="W5" t="s">
        <v>287</v>
      </c>
    </row>
    <row r="6" spans="1:24" ht="14" thickBot="1" x14ac:dyDescent="0.2">
      <c r="A6" s="257"/>
      <c r="B6" s="257"/>
      <c r="C6" s="257"/>
      <c r="D6" s="257"/>
      <c r="E6" s="285" t="str">
        <f t="shared" si="0"/>
        <v/>
      </c>
      <c r="F6" s="286" t="str">
        <f t="shared" si="1"/>
        <v/>
      </c>
      <c r="H6" s="257" t="s">
        <v>415</v>
      </c>
      <c r="I6" s="257">
        <v>2</v>
      </c>
      <c r="J6" s="384">
        <v>1.0008019747878356</v>
      </c>
      <c r="L6" s="319" t="s">
        <v>255</v>
      </c>
      <c r="W6" t="s">
        <v>288</v>
      </c>
    </row>
    <row r="7" spans="1:24" ht="13" x14ac:dyDescent="0.15">
      <c r="A7" s="257"/>
      <c r="B7" s="257"/>
      <c r="C7" s="257"/>
      <c r="D7" s="257"/>
      <c r="E7" s="285" t="str">
        <f t="shared" si="0"/>
        <v/>
      </c>
      <c r="F7" s="286" t="str">
        <f t="shared" si="1"/>
        <v/>
      </c>
      <c r="H7" s="257" t="s">
        <v>415</v>
      </c>
      <c r="I7" s="257">
        <v>2</v>
      </c>
      <c r="J7" s="384">
        <v>1.0004340235516485</v>
      </c>
      <c r="L7" s="296" t="s">
        <v>182</v>
      </c>
      <c r="M7" s="297"/>
      <c r="N7" s="297"/>
      <c r="O7" s="297"/>
      <c r="P7" s="297"/>
      <c r="Q7" s="297"/>
      <c r="R7" s="297"/>
      <c r="S7" s="297"/>
      <c r="T7" s="298"/>
    </row>
    <row r="8" spans="1:24" ht="13" x14ac:dyDescent="0.15">
      <c r="A8" s="257"/>
      <c r="B8" s="257"/>
      <c r="C8" s="257"/>
      <c r="D8" s="257"/>
      <c r="E8" s="285" t="str">
        <f t="shared" si="0"/>
        <v/>
      </c>
      <c r="F8" s="286" t="str">
        <f t="shared" si="1"/>
        <v/>
      </c>
      <c r="H8" s="257" t="s">
        <v>415</v>
      </c>
      <c r="I8" s="257">
        <v>2</v>
      </c>
      <c r="J8" s="384">
        <v>1.0007153471294923</v>
      </c>
      <c r="L8" s="299"/>
      <c r="M8" s="300"/>
      <c r="N8" s="300"/>
      <c r="O8" s="300"/>
      <c r="P8" s="300"/>
      <c r="Q8" s="300"/>
      <c r="R8" s="300"/>
      <c r="S8" s="300"/>
      <c r="T8" s="301"/>
    </row>
    <row r="9" spans="1:24" ht="13" x14ac:dyDescent="0.15">
      <c r="A9" s="257"/>
      <c r="B9" s="257"/>
      <c r="C9" s="257"/>
      <c r="D9" s="257"/>
      <c r="E9" s="285" t="str">
        <f t="shared" si="0"/>
        <v/>
      </c>
      <c r="F9" s="286" t="str">
        <f t="shared" si="1"/>
        <v/>
      </c>
      <c r="H9" s="257" t="s">
        <v>415</v>
      </c>
      <c r="I9" s="257">
        <v>2</v>
      </c>
      <c r="J9" s="384">
        <v>1.0019565277701357</v>
      </c>
      <c r="L9" s="299"/>
      <c r="M9" s="303" t="s">
        <v>11</v>
      </c>
      <c r="N9" s="303" t="s">
        <v>11</v>
      </c>
      <c r="O9" s="303" t="s">
        <v>11</v>
      </c>
      <c r="P9" s="303" t="s">
        <v>11</v>
      </c>
      <c r="Q9" s="303" t="s">
        <v>11</v>
      </c>
      <c r="R9" s="303" t="s">
        <v>11</v>
      </c>
      <c r="S9" s="303" t="s">
        <v>11</v>
      </c>
      <c r="T9" s="304" t="s">
        <v>11</v>
      </c>
    </row>
    <row r="10" spans="1:24" ht="13" x14ac:dyDescent="0.15">
      <c r="A10" s="257"/>
      <c r="B10" s="257"/>
      <c r="C10" s="257"/>
      <c r="D10" s="257"/>
      <c r="E10" s="285" t="str">
        <f t="shared" si="0"/>
        <v/>
      </c>
      <c r="F10" s="286" t="str">
        <f t="shared" si="1"/>
        <v/>
      </c>
      <c r="H10" s="257" t="s">
        <v>415</v>
      </c>
      <c r="I10" s="257">
        <v>2</v>
      </c>
      <c r="J10" s="384">
        <v>1.001186891271425</v>
      </c>
      <c r="L10" s="299"/>
      <c r="M10" s="303">
        <v>1</v>
      </c>
      <c r="N10" s="303">
        <v>2</v>
      </c>
      <c r="O10" s="303">
        <v>3</v>
      </c>
      <c r="P10" s="303">
        <v>4</v>
      </c>
      <c r="Q10" s="303">
        <v>5</v>
      </c>
      <c r="R10" s="303">
        <v>6</v>
      </c>
      <c r="S10" s="303">
        <v>7</v>
      </c>
      <c r="T10" s="304">
        <v>8</v>
      </c>
    </row>
    <row r="11" spans="1:24" ht="13" x14ac:dyDescent="0.15">
      <c r="A11" s="257"/>
      <c r="B11" s="257"/>
      <c r="C11" s="257"/>
      <c r="D11" s="257"/>
      <c r="E11" s="285" t="str">
        <f t="shared" si="0"/>
        <v/>
      </c>
      <c r="F11" s="286" t="str">
        <f t="shared" si="1"/>
        <v/>
      </c>
      <c r="H11" s="257" t="s">
        <v>415</v>
      </c>
      <c r="I11" s="257">
        <v>2</v>
      </c>
      <c r="J11" s="384">
        <v>1.0010564848138803</v>
      </c>
      <c r="L11" s="118" t="s">
        <v>239</v>
      </c>
      <c r="M11" s="305" t="e">
        <f>DAVERAGE($A$2:$F$100,"Past Conc",M9:M10)</f>
        <v>#DIV/0!</v>
      </c>
      <c r="N11" s="306" t="e">
        <f t="shared" ref="N11:T11" si="2">DAVERAGE($A$2:$F$100,"Past Conc",N9:N10)</f>
        <v>#DIV/0!</v>
      </c>
      <c r="O11" s="305" t="e">
        <f t="shared" si="2"/>
        <v>#DIV/0!</v>
      </c>
      <c r="P11" s="305" t="e">
        <f t="shared" si="2"/>
        <v>#DIV/0!</v>
      </c>
      <c r="Q11" s="305" t="e">
        <f t="shared" si="2"/>
        <v>#DIV/0!</v>
      </c>
      <c r="R11" s="305" t="e">
        <f t="shared" si="2"/>
        <v>#DIV/0!</v>
      </c>
      <c r="S11" s="305" t="e">
        <f t="shared" si="2"/>
        <v>#DIV/0!</v>
      </c>
      <c r="T11" s="307" t="e">
        <f t="shared" si="2"/>
        <v>#DIV/0!</v>
      </c>
    </row>
    <row r="12" spans="1:24" ht="13" x14ac:dyDescent="0.15">
      <c r="A12" s="257"/>
      <c r="B12" s="257"/>
      <c r="C12" s="257"/>
      <c r="D12" s="257"/>
      <c r="E12" s="285" t="str">
        <f t="shared" si="0"/>
        <v/>
      </c>
      <c r="F12" s="286" t="str">
        <f t="shared" si="1"/>
        <v/>
      </c>
      <c r="H12" s="257" t="s">
        <v>415</v>
      </c>
      <c r="I12" s="257">
        <v>2</v>
      </c>
      <c r="J12" s="384">
        <v>1.0004597280055503</v>
      </c>
      <c r="L12" s="118" t="s">
        <v>274</v>
      </c>
      <c r="M12" s="305" t="e">
        <f>DAVERAGE($A$2:$F$100,"Ratio",M9:M10)</f>
        <v>#DIV/0!</v>
      </c>
      <c r="N12" s="305" t="e">
        <f t="shared" ref="N12:T12" si="3">DAVERAGE($A$2:$F$100,"Ratio",N9:N10)</f>
        <v>#DIV/0!</v>
      </c>
      <c r="O12" s="305" t="e">
        <f t="shared" si="3"/>
        <v>#DIV/0!</v>
      </c>
      <c r="P12" s="305" t="e">
        <f t="shared" si="3"/>
        <v>#DIV/0!</v>
      </c>
      <c r="Q12" s="305" t="e">
        <f t="shared" si="3"/>
        <v>#DIV/0!</v>
      </c>
      <c r="R12" s="305" t="e">
        <f t="shared" si="3"/>
        <v>#DIV/0!</v>
      </c>
      <c r="S12" s="305" t="e">
        <f t="shared" si="3"/>
        <v>#DIV/0!</v>
      </c>
      <c r="T12" s="307" t="e">
        <f t="shared" si="3"/>
        <v>#DIV/0!</v>
      </c>
    </row>
    <row r="13" spans="1:24" ht="13" x14ac:dyDescent="0.15">
      <c r="A13" s="257"/>
      <c r="B13" s="257"/>
      <c r="C13" s="257"/>
      <c r="D13" s="257"/>
      <c r="E13" s="285" t="str">
        <f t="shared" si="0"/>
        <v/>
      </c>
      <c r="F13" s="286" t="str">
        <f t="shared" si="1"/>
        <v/>
      </c>
      <c r="H13" s="257" t="s">
        <v>415</v>
      </c>
      <c r="I13" s="257">
        <v>2</v>
      </c>
      <c r="J13" s="384">
        <v>1.0009920878986647</v>
      </c>
      <c r="L13" s="118" t="s">
        <v>275</v>
      </c>
      <c r="M13" s="305" t="e">
        <f>DSTDEV($A$2:$F$100,"Ratio",M9:M10)/SQRT(DCOUNT($A$2:$F$100,"Ratio",M9:M10))</f>
        <v>#DIV/0!</v>
      </c>
      <c r="N13" s="305" t="e">
        <f t="shared" ref="N13:T13" si="4">DSTDEV($A$2:$F$100,"Ratio",N9:N10)/SQRT(DCOUNT($A$2:$F$100,"Ratio",N9:N10))</f>
        <v>#DIV/0!</v>
      </c>
      <c r="O13" s="305" t="e">
        <f t="shared" si="4"/>
        <v>#DIV/0!</v>
      </c>
      <c r="P13" s="305" t="e">
        <f t="shared" si="4"/>
        <v>#DIV/0!</v>
      </c>
      <c r="Q13" s="305" t="e">
        <f t="shared" si="4"/>
        <v>#DIV/0!</v>
      </c>
      <c r="R13" s="305" t="e">
        <f t="shared" si="4"/>
        <v>#DIV/0!</v>
      </c>
      <c r="S13" s="305" t="e">
        <f t="shared" si="4"/>
        <v>#DIV/0!</v>
      </c>
      <c r="T13" s="307" t="e">
        <f t="shared" si="4"/>
        <v>#DIV/0!</v>
      </c>
    </row>
    <row r="14" spans="1:24" ht="13" x14ac:dyDescent="0.15">
      <c r="A14" s="257"/>
      <c r="B14" s="257"/>
      <c r="C14" s="257"/>
      <c r="D14" s="257"/>
      <c r="E14" s="285" t="str">
        <f t="shared" si="0"/>
        <v/>
      </c>
      <c r="F14" s="286" t="str">
        <f t="shared" si="1"/>
        <v/>
      </c>
      <c r="H14" s="257" t="s">
        <v>415</v>
      </c>
      <c r="I14" s="257">
        <v>2</v>
      </c>
      <c r="J14" s="384">
        <v>1.0009987357324572</v>
      </c>
      <c r="L14" s="118" t="s">
        <v>240</v>
      </c>
      <c r="M14" s="306" t="e">
        <f t="shared" ref="M14:T14" si="5">M12 ^ 2 * $M$4 + M12 * $M$3 + $M$2</f>
        <v>#DIV/0!</v>
      </c>
      <c r="N14" s="306" t="e">
        <f t="shared" si="5"/>
        <v>#DIV/0!</v>
      </c>
      <c r="O14" s="306" t="e">
        <f t="shared" si="5"/>
        <v>#DIV/0!</v>
      </c>
      <c r="P14" s="306" t="e">
        <f t="shared" si="5"/>
        <v>#DIV/0!</v>
      </c>
      <c r="Q14" s="306" t="e">
        <f t="shared" si="5"/>
        <v>#DIV/0!</v>
      </c>
      <c r="R14" s="306" t="e">
        <f t="shared" si="5"/>
        <v>#DIV/0!</v>
      </c>
      <c r="S14" s="306" t="e">
        <f t="shared" si="5"/>
        <v>#DIV/0!</v>
      </c>
      <c r="T14" s="362" t="e">
        <f t="shared" si="5"/>
        <v>#DIV/0!</v>
      </c>
    </row>
    <row r="15" spans="1:24" ht="13" x14ac:dyDescent="0.15">
      <c r="A15" s="257"/>
      <c r="B15" s="257"/>
      <c r="C15" s="257"/>
      <c r="D15" s="257"/>
      <c r="E15" s="285" t="str">
        <f t="shared" si="0"/>
        <v/>
      </c>
      <c r="F15" s="286" t="str">
        <f t="shared" si="1"/>
        <v/>
      </c>
      <c r="H15" s="257" t="s">
        <v>416</v>
      </c>
      <c r="I15" s="257">
        <v>3</v>
      </c>
      <c r="J15" s="384">
        <v>0.99712063038162135</v>
      </c>
      <c r="L15" s="118" t="s">
        <v>276</v>
      </c>
      <c r="M15" s="306" t="e">
        <f t="shared" ref="M15:T15" si="6">SQRT(($M$3 + 2 * $M$4 * M12) ^ 2 * M13 ^ 2 + $N$2 ^ 2 + ($N$3 ^ 2 * M12 ^ 2) + ($N$4 ^ 2 * M12 ^ 4) + (2 * M12 * $O$2) + (2 * $P$2 * M12 ^ 2) + (2 * $Q$2* M12 ^ 3))</f>
        <v>#VALUE!</v>
      </c>
      <c r="N15" s="306" t="e">
        <f t="shared" si="6"/>
        <v>#VALUE!</v>
      </c>
      <c r="O15" s="306" t="e">
        <f t="shared" si="6"/>
        <v>#VALUE!</v>
      </c>
      <c r="P15" s="306" t="e">
        <f t="shared" si="6"/>
        <v>#VALUE!</v>
      </c>
      <c r="Q15" s="306" t="e">
        <f t="shared" si="6"/>
        <v>#VALUE!</v>
      </c>
      <c r="R15" s="306" t="e">
        <f t="shared" si="6"/>
        <v>#VALUE!</v>
      </c>
      <c r="S15" s="306" t="e">
        <f t="shared" si="6"/>
        <v>#VALUE!</v>
      </c>
      <c r="T15" s="362" t="e">
        <f t="shared" si="6"/>
        <v>#VALUE!</v>
      </c>
    </row>
    <row r="16" spans="1:24" ht="13" x14ac:dyDescent="0.15">
      <c r="A16" s="257"/>
      <c r="B16" s="257"/>
      <c r="C16" s="257"/>
      <c r="D16" s="257"/>
      <c r="E16" s="285" t="str">
        <f t="shared" si="0"/>
        <v/>
      </c>
      <c r="F16" s="286" t="str">
        <f t="shared" si="1"/>
        <v/>
      </c>
      <c r="H16" s="257" t="s">
        <v>416</v>
      </c>
      <c r="I16" s="257">
        <v>3</v>
      </c>
      <c r="J16" s="384">
        <v>0.99610329755083615</v>
      </c>
      <c r="K16" s="1"/>
      <c r="L16" s="118" t="s">
        <v>241</v>
      </c>
      <c r="M16" s="308" t="e">
        <f t="shared" ref="M16:T16" si="7">(M11-M14)/M11</f>
        <v>#DIV/0!</v>
      </c>
      <c r="N16" s="308" t="e">
        <f t="shared" si="7"/>
        <v>#DIV/0!</v>
      </c>
      <c r="O16" s="308" t="e">
        <f t="shared" si="7"/>
        <v>#DIV/0!</v>
      </c>
      <c r="P16" s="308" t="e">
        <f t="shared" si="7"/>
        <v>#DIV/0!</v>
      </c>
      <c r="Q16" s="308" t="e">
        <f t="shared" si="7"/>
        <v>#DIV/0!</v>
      </c>
      <c r="R16" s="308" t="e">
        <f t="shared" si="7"/>
        <v>#DIV/0!</v>
      </c>
      <c r="S16" s="308" t="e">
        <f t="shared" si="7"/>
        <v>#DIV/0!</v>
      </c>
      <c r="T16" s="309" t="e">
        <f t="shared" si="7"/>
        <v>#DIV/0!</v>
      </c>
    </row>
    <row r="17" spans="1:22" ht="13" x14ac:dyDescent="0.15">
      <c r="A17" s="257"/>
      <c r="B17" s="257"/>
      <c r="C17" s="257"/>
      <c r="D17" s="257"/>
      <c r="E17" s="285" t="str">
        <f t="shared" si="0"/>
        <v/>
      </c>
      <c r="F17" s="286" t="str">
        <f t="shared" si="1"/>
        <v/>
      </c>
      <c r="H17" s="257" t="s">
        <v>416</v>
      </c>
      <c r="I17" s="257">
        <v>3</v>
      </c>
      <c r="J17" s="384">
        <v>0.99635501633821522</v>
      </c>
      <c r="K17" s="1"/>
      <c r="L17" s="118" t="s">
        <v>242</v>
      </c>
      <c r="M17" s="120" t="str">
        <f t="shared" ref="M17:T17" si="8">IF(ISERROR(M16),"",ABS(M16))</f>
        <v/>
      </c>
      <c r="N17" s="120" t="str">
        <f t="shared" si="8"/>
        <v/>
      </c>
      <c r="O17" s="120" t="str">
        <f t="shared" si="8"/>
        <v/>
      </c>
      <c r="P17" s="120" t="str">
        <f t="shared" si="8"/>
        <v/>
      </c>
      <c r="Q17" s="120" t="str">
        <f t="shared" si="8"/>
        <v/>
      </c>
      <c r="R17" s="120" t="str">
        <f t="shared" si="8"/>
        <v/>
      </c>
      <c r="S17" s="120" t="str">
        <f t="shared" si="8"/>
        <v/>
      </c>
      <c r="T17" s="121" t="str">
        <f t="shared" si="8"/>
        <v/>
      </c>
      <c r="U17" s="8"/>
      <c r="V17" s="8"/>
    </row>
    <row r="18" spans="1:22" ht="14" thickBot="1" x14ac:dyDescent="0.2">
      <c r="A18" s="257"/>
      <c r="B18" s="257"/>
      <c r="C18" s="257"/>
      <c r="D18" s="257"/>
      <c r="E18" s="285" t="str">
        <f t="shared" si="0"/>
        <v/>
      </c>
      <c r="F18" s="286" t="str">
        <f t="shared" si="1"/>
        <v/>
      </c>
      <c r="H18" s="257" t="s">
        <v>416</v>
      </c>
      <c r="I18" s="257">
        <v>3</v>
      </c>
      <c r="J18" s="384">
        <v>0.99673517118595933</v>
      </c>
      <c r="K18" s="1"/>
      <c r="L18" s="302" t="s">
        <v>243</v>
      </c>
      <c r="M18" s="122"/>
      <c r="N18" s="310" t="e">
        <f>AVERAGE(M17:T17)</f>
        <v>#DIV/0!</v>
      </c>
      <c r="O18" s="123"/>
      <c r="P18" s="123"/>
      <c r="Q18" s="124"/>
      <c r="R18" s="124"/>
      <c r="S18" s="131"/>
      <c r="T18" s="135"/>
      <c r="U18" s="8"/>
      <c r="V18" s="8"/>
    </row>
    <row r="19" spans="1:22" ht="13" x14ac:dyDescent="0.15">
      <c r="A19" s="257"/>
      <c r="B19" s="257"/>
      <c r="C19" s="257"/>
      <c r="D19" s="257"/>
      <c r="E19" s="285" t="str">
        <f t="shared" si="0"/>
        <v/>
      </c>
      <c r="F19" s="286" t="str">
        <f t="shared" si="1"/>
        <v/>
      </c>
      <c r="H19" s="257" t="s">
        <v>416</v>
      </c>
      <c r="I19" s="257">
        <v>3</v>
      </c>
      <c r="J19" s="384">
        <v>0.99683258088482729</v>
      </c>
      <c r="K19" s="1"/>
      <c r="L19" s="1"/>
      <c r="M19" s="4"/>
      <c r="N19" s="4"/>
      <c r="O19" s="6"/>
    </row>
    <row r="20" spans="1:22" ht="14" thickBot="1" x14ac:dyDescent="0.2">
      <c r="A20" s="257"/>
      <c r="B20" s="257"/>
      <c r="C20" s="257"/>
      <c r="D20" s="257"/>
      <c r="E20" s="285" t="str">
        <f t="shared" si="0"/>
        <v/>
      </c>
      <c r="F20" s="286" t="str">
        <f t="shared" si="1"/>
        <v/>
      </c>
      <c r="H20" s="257" t="s">
        <v>416</v>
      </c>
      <c r="I20" s="257">
        <v>3</v>
      </c>
      <c r="J20" s="384">
        <v>0.99662874079390995</v>
      </c>
      <c r="K20" s="1"/>
      <c r="L20" s="319" t="s">
        <v>254</v>
      </c>
      <c r="M20" s="4"/>
      <c r="N20" s="4"/>
      <c r="O20" s="6"/>
      <c r="Q20" s="8"/>
      <c r="R20" s="8"/>
      <c r="S20" s="8"/>
      <c r="T20" s="8"/>
    </row>
    <row r="21" spans="1:22" ht="13" x14ac:dyDescent="0.15">
      <c r="A21" s="257"/>
      <c r="B21" s="257"/>
      <c r="C21" s="257"/>
      <c r="D21" s="257"/>
      <c r="E21" s="285" t="str">
        <f t="shared" si="0"/>
        <v/>
      </c>
      <c r="F21" s="286" t="str">
        <f t="shared" si="1"/>
        <v/>
      </c>
      <c r="H21" s="257" t="s">
        <v>416</v>
      </c>
      <c r="I21" s="257">
        <v>3</v>
      </c>
      <c r="J21" s="384">
        <v>0.99766815659726293</v>
      </c>
      <c r="K21" s="1"/>
      <c r="L21" s="163" t="s">
        <v>181</v>
      </c>
      <c r="M21" s="125"/>
      <c r="N21" s="125"/>
      <c r="O21" s="168"/>
      <c r="Q21" s="8"/>
      <c r="R21" s="8"/>
      <c r="S21" s="8"/>
      <c r="T21" s="8"/>
    </row>
    <row r="22" spans="1:22" ht="13" x14ac:dyDescent="0.15">
      <c r="A22" s="257"/>
      <c r="B22" s="257"/>
      <c r="C22" s="257"/>
      <c r="D22" s="257"/>
      <c r="E22" s="285" t="str">
        <f t="shared" si="0"/>
        <v/>
      </c>
      <c r="F22" s="286" t="str">
        <f t="shared" si="1"/>
        <v/>
      </c>
      <c r="H22" s="257" t="s">
        <v>416</v>
      </c>
      <c r="I22" s="257">
        <v>3</v>
      </c>
      <c r="J22" s="384">
        <v>0.99681282811116478</v>
      </c>
      <c r="K22" s="1"/>
      <c r="L22" s="119"/>
      <c r="M22" s="164"/>
      <c r="N22" s="164"/>
      <c r="O22" s="167"/>
    </row>
    <row r="23" spans="1:22" ht="13" x14ac:dyDescent="0.15">
      <c r="A23" s="257"/>
      <c r="B23" s="257"/>
      <c r="C23" s="257"/>
      <c r="D23" s="257"/>
      <c r="E23" s="285" t="str">
        <f t="shared" si="0"/>
        <v/>
      </c>
      <c r="F23" s="286" t="str">
        <f t="shared" si="1"/>
        <v/>
      </c>
      <c r="H23" s="257" t="s">
        <v>416</v>
      </c>
      <c r="I23" s="257">
        <v>3</v>
      </c>
      <c r="J23" s="384">
        <v>0.99761995894978917</v>
      </c>
      <c r="L23" s="119"/>
      <c r="M23" s="164" t="s">
        <v>11</v>
      </c>
      <c r="N23" s="164" t="s">
        <v>11</v>
      </c>
      <c r="O23" s="166" t="s">
        <v>11</v>
      </c>
      <c r="P23" s="4"/>
      <c r="Q23" s="4"/>
    </row>
    <row r="24" spans="1:22" ht="13" x14ac:dyDescent="0.15">
      <c r="A24" s="257"/>
      <c r="B24" s="257"/>
      <c r="C24" s="257"/>
      <c r="D24" s="257"/>
      <c r="E24" s="285" t="str">
        <f t="shared" si="0"/>
        <v/>
      </c>
      <c r="F24" s="286" t="str">
        <f t="shared" si="1"/>
        <v/>
      </c>
      <c r="H24" s="257" t="s">
        <v>416</v>
      </c>
      <c r="I24" s="257">
        <v>3</v>
      </c>
      <c r="J24" s="384">
        <v>0.99678597094317334</v>
      </c>
      <c r="L24" s="119"/>
      <c r="M24" s="164">
        <v>2</v>
      </c>
      <c r="N24" s="164">
        <v>3</v>
      </c>
      <c r="O24" s="166">
        <v>4</v>
      </c>
      <c r="P24" s="4"/>
      <c r="Q24" s="4"/>
    </row>
    <row r="25" spans="1:22" ht="13" x14ac:dyDescent="0.15">
      <c r="A25" s="257"/>
      <c r="B25" s="257"/>
      <c r="C25" s="257"/>
      <c r="D25" s="257"/>
      <c r="E25" s="285" t="str">
        <f t="shared" si="0"/>
        <v/>
      </c>
      <c r="F25" s="286" t="str">
        <f t="shared" si="1"/>
        <v/>
      </c>
      <c r="H25" s="257" t="s">
        <v>416</v>
      </c>
      <c r="I25" s="257">
        <v>3</v>
      </c>
      <c r="J25" s="384">
        <v>0.99710961605190884</v>
      </c>
      <c r="L25" s="118" t="s">
        <v>40</v>
      </c>
      <c r="M25" s="165">
        <f>DAVERAGE($H$2:$J$50,3,M$23:M$24)</f>
        <v>1.000996363969312</v>
      </c>
      <c r="N25" s="165">
        <f>DAVERAGE($H$2:$J$50,3,N$23:N$24)</f>
        <v>0.99695906603513162</v>
      </c>
      <c r="O25" s="167">
        <f>DAVERAGE($H$2:$J$50,3,O$23:O$24)</f>
        <v>1.0021489855652523</v>
      </c>
      <c r="P25" s="6"/>
      <c r="Q25" s="6"/>
    </row>
    <row r="26" spans="1:22" ht="13" x14ac:dyDescent="0.15">
      <c r="A26" s="257"/>
      <c r="B26" s="257"/>
      <c r="C26" s="257"/>
      <c r="D26" s="257"/>
      <c r="E26" s="285" t="str">
        <f t="shared" si="0"/>
        <v/>
      </c>
      <c r="F26" s="286" t="str">
        <f t="shared" si="1"/>
        <v/>
      </c>
      <c r="H26" s="257" t="s">
        <v>416</v>
      </c>
      <c r="I26" s="257">
        <v>3</v>
      </c>
      <c r="J26" s="384">
        <v>0.99773682463291236</v>
      </c>
      <c r="K26" s="1"/>
      <c r="L26" s="118" t="s">
        <v>61</v>
      </c>
      <c r="M26" s="165">
        <f>DSTDEV($H$2:$J$50,3,M$23:M$24)/SQRT(DCOUNT($H$2:$J$50,3,M$23:M$24))</f>
        <v>1.2508204255391652E-4</v>
      </c>
      <c r="N26" s="165">
        <f>DSTDEV($H$2:$J$50,3,N$23:N$24)/SQRT(DCOUNT($H$2:$J$50,3,N$23:N$24))</f>
        <v>1.4865740025877939E-4</v>
      </c>
      <c r="O26" s="167">
        <f>DSTDEV($H$2:$J$50,3,O$23:O$24)/SQRT(DCOUNT($H$2:$J$50,3,O$23:O$24))</f>
        <v>1.2365776940853035E-4</v>
      </c>
      <c r="P26" s="6"/>
      <c r="Q26" s="6"/>
    </row>
    <row r="27" spans="1:22" ht="13" x14ac:dyDescent="0.15">
      <c r="A27" s="257"/>
      <c r="B27" s="257"/>
      <c r="C27" s="257"/>
      <c r="D27" s="257"/>
      <c r="E27" s="285" t="str">
        <f t="shared" si="0"/>
        <v/>
      </c>
      <c r="F27" s="286" t="str">
        <f t="shared" si="1"/>
        <v/>
      </c>
      <c r="H27" s="257" t="s">
        <v>417</v>
      </c>
      <c r="I27" s="257">
        <v>4</v>
      </c>
      <c r="J27" s="384">
        <v>1.0024186261237882</v>
      </c>
      <c r="K27" s="3"/>
      <c r="L27" s="118"/>
      <c r="M27" s="165"/>
      <c r="N27" s="165"/>
      <c r="O27" s="167"/>
    </row>
    <row r="28" spans="1:22" ht="14" thickBot="1" x14ac:dyDescent="0.2">
      <c r="A28" s="257"/>
      <c r="B28" s="257"/>
      <c r="C28" s="257"/>
      <c r="D28" s="257"/>
      <c r="E28" s="285" t="str">
        <f t="shared" si="0"/>
        <v/>
      </c>
      <c r="F28" s="286" t="str">
        <f t="shared" si="1"/>
        <v/>
      </c>
      <c r="H28" s="257" t="s">
        <v>417</v>
      </c>
      <c r="I28" s="257">
        <v>4</v>
      </c>
      <c r="J28" s="384">
        <v>1.0013850047591035</v>
      </c>
      <c r="K28" s="3"/>
      <c r="L28" s="264"/>
      <c r="M28" s="265" t="s">
        <v>237</v>
      </c>
      <c r="N28" s="266">
        <f>COUNT(J3:J50)</f>
        <v>36</v>
      </c>
      <c r="O28" s="135"/>
    </row>
    <row r="29" spans="1:22" ht="13" x14ac:dyDescent="0.15">
      <c r="A29" s="257"/>
      <c r="B29" s="257"/>
      <c r="C29" s="257"/>
      <c r="D29" s="257"/>
      <c r="E29" s="285" t="str">
        <f t="shared" si="0"/>
        <v/>
      </c>
      <c r="F29" s="286" t="str">
        <f t="shared" si="1"/>
        <v/>
      </c>
      <c r="H29" s="257" t="s">
        <v>417</v>
      </c>
      <c r="I29" s="257">
        <v>4</v>
      </c>
      <c r="J29" s="384">
        <v>1.0020327432617002</v>
      </c>
      <c r="K29" s="1"/>
      <c r="L29" s="321" t="s">
        <v>257</v>
      </c>
    </row>
    <row r="30" spans="1:22" ht="13" x14ac:dyDescent="0.15">
      <c r="A30" s="257"/>
      <c r="B30" s="257"/>
      <c r="C30" s="257"/>
      <c r="D30" s="257"/>
      <c r="E30" s="285" t="str">
        <f t="shared" si="0"/>
        <v/>
      </c>
      <c r="F30" s="286" t="str">
        <f t="shared" si="1"/>
        <v/>
      </c>
      <c r="H30" s="257" t="s">
        <v>417</v>
      </c>
      <c r="I30" s="257">
        <v>4</v>
      </c>
      <c r="J30" s="384">
        <v>1.0019015080703304</v>
      </c>
      <c r="K30" s="1"/>
      <c r="M30" s="322"/>
      <c r="N30" s="322"/>
      <c r="O30" s="322"/>
      <c r="P30" s="318"/>
      <c r="Q30" s="318"/>
      <c r="R30" s="318"/>
      <c r="S30" s="318"/>
    </row>
    <row r="31" spans="1:22" ht="13" x14ac:dyDescent="0.15">
      <c r="A31" s="257"/>
      <c r="B31" s="257"/>
      <c r="C31" s="257"/>
      <c r="D31" s="257"/>
      <c r="E31" s="285" t="str">
        <f t="shared" si="0"/>
        <v/>
      </c>
      <c r="F31" s="286" t="str">
        <f t="shared" si="1"/>
        <v/>
      </c>
      <c r="H31" s="257" t="s">
        <v>417</v>
      </c>
      <c r="I31" s="257">
        <v>4</v>
      </c>
      <c r="J31" s="384">
        <v>1.002221711346075</v>
      </c>
      <c r="K31" s="1"/>
      <c r="M31" s="3"/>
      <c r="N31" s="1"/>
      <c r="O31" s="1"/>
    </row>
    <row r="32" spans="1:22" ht="13" x14ac:dyDescent="0.15">
      <c r="A32" s="257"/>
      <c r="B32" s="257"/>
      <c r="C32" s="257"/>
      <c r="D32" s="257"/>
      <c r="E32" s="285" t="str">
        <f t="shared" si="0"/>
        <v/>
      </c>
      <c r="F32" s="286" t="str">
        <f t="shared" si="1"/>
        <v/>
      </c>
      <c r="H32" s="257" t="s">
        <v>417</v>
      </c>
      <c r="I32" s="257">
        <v>4</v>
      </c>
      <c r="J32" s="384">
        <v>1.0018019341733091</v>
      </c>
      <c r="K32" s="1"/>
      <c r="M32" s="3"/>
      <c r="N32" s="1"/>
      <c r="O32" s="1"/>
    </row>
    <row r="33" spans="1:15" ht="13" x14ac:dyDescent="0.15">
      <c r="A33" s="257"/>
      <c r="B33" s="257"/>
      <c r="C33" s="257"/>
      <c r="D33" s="257"/>
      <c r="E33" s="285" t="str">
        <f t="shared" si="0"/>
        <v/>
      </c>
      <c r="F33" s="286" t="str">
        <f t="shared" si="1"/>
        <v/>
      </c>
      <c r="H33" s="257" t="s">
        <v>417</v>
      </c>
      <c r="I33" s="257">
        <v>4</v>
      </c>
      <c r="J33" s="384">
        <v>1.0023234725835322</v>
      </c>
      <c r="K33" s="1"/>
      <c r="M33" s="4"/>
      <c r="N33" s="1"/>
      <c r="O33" s="1"/>
    </row>
    <row r="34" spans="1:15" ht="13" x14ac:dyDescent="0.15">
      <c r="A34" s="257"/>
      <c r="B34" s="257"/>
      <c r="C34" s="257"/>
      <c r="D34" s="257"/>
      <c r="E34" s="285" t="str">
        <f t="shared" si="0"/>
        <v/>
      </c>
      <c r="F34" s="286" t="str">
        <f t="shared" si="1"/>
        <v/>
      </c>
      <c r="H34" s="257" t="s">
        <v>417</v>
      </c>
      <c r="I34" s="257">
        <v>4</v>
      </c>
      <c r="J34" s="384">
        <v>1.002033891928372</v>
      </c>
      <c r="K34" s="1"/>
      <c r="L34" s="1"/>
      <c r="M34" s="4"/>
      <c r="N34" s="1"/>
      <c r="O34" s="1"/>
    </row>
    <row r="35" spans="1:15" ht="13" x14ac:dyDescent="0.15">
      <c r="A35" s="257"/>
      <c r="B35" s="257"/>
      <c r="C35" s="257"/>
      <c r="D35" s="257"/>
      <c r="E35" s="285" t="str">
        <f t="shared" ref="E35:E66" si="9">IF(ISNUMBER(C35),C35*C35*$M$4+C35*$M$3+$M$2,"")</f>
        <v/>
      </c>
      <c r="F35" s="286" t="str">
        <f t="shared" ref="F35:F66" si="10">IF(ISNUMBER(C35),(D35-E35)/D35,"")</f>
        <v/>
      </c>
      <c r="H35" s="257" t="s">
        <v>417</v>
      </c>
      <c r="I35" s="257">
        <v>4</v>
      </c>
      <c r="J35" s="384">
        <v>1.0029232372567574</v>
      </c>
      <c r="L35" s="1"/>
      <c r="M35" s="4"/>
      <c r="N35" s="1"/>
      <c r="O35" s="1"/>
    </row>
    <row r="36" spans="1:15" ht="13" x14ac:dyDescent="0.15">
      <c r="A36" s="257"/>
      <c r="B36" s="257"/>
      <c r="C36" s="257"/>
      <c r="D36" s="257"/>
      <c r="E36" s="285" t="str">
        <f t="shared" si="9"/>
        <v/>
      </c>
      <c r="F36" s="286" t="str">
        <f t="shared" si="10"/>
        <v/>
      </c>
      <c r="H36" s="257" t="s">
        <v>417</v>
      </c>
      <c r="I36" s="257">
        <v>4</v>
      </c>
      <c r="J36" s="384">
        <v>1.0021539346994888</v>
      </c>
      <c r="K36" s="1"/>
      <c r="L36" s="1"/>
      <c r="M36" s="4"/>
      <c r="N36" s="1"/>
      <c r="O36" s="1"/>
    </row>
    <row r="37" spans="1:15" ht="13" x14ac:dyDescent="0.15">
      <c r="A37" s="257"/>
      <c r="B37" s="257"/>
      <c r="C37" s="257"/>
      <c r="D37" s="257"/>
      <c r="E37" s="285" t="str">
        <f t="shared" si="9"/>
        <v/>
      </c>
      <c r="F37" s="286" t="str">
        <f t="shared" si="10"/>
        <v/>
      </c>
      <c r="H37" s="257" t="s">
        <v>417</v>
      </c>
      <c r="I37" s="257">
        <v>4</v>
      </c>
      <c r="J37" s="384">
        <v>1.0027833447537342</v>
      </c>
      <c r="K37" s="1"/>
      <c r="L37" s="1"/>
      <c r="M37" s="4"/>
      <c r="N37" s="1"/>
      <c r="O37" s="1"/>
    </row>
    <row r="38" spans="1:15" ht="13" x14ac:dyDescent="0.15">
      <c r="A38" s="257"/>
      <c r="B38" s="257"/>
      <c r="C38" s="257"/>
      <c r="D38" s="257"/>
      <c r="E38" s="285" t="str">
        <f t="shared" si="9"/>
        <v/>
      </c>
      <c r="F38" s="286" t="str">
        <f t="shared" si="10"/>
        <v/>
      </c>
      <c r="H38" s="257" t="s">
        <v>417</v>
      </c>
      <c r="I38" s="257">
        <v>4</v>
      </c>
      <c r="J38" s="384">
        <v>1.0018084178268374</v>
      </c>
      <c r="K38" s="1"/>
      <c r="L38" s="1"/>
      <c r="M38" s="4"/>
      <c r="N38" s="1"/>
      <c r="O38" s="1"/>
    </row>
    <row r="39" spans="1:15" ht="13" x14ac:dyDescent="0.15">
      <c r="A39" s="257"/>
      <c r="B39" s="257"/>
      <c r="C39" s="257"/>
      <c r="D39" s="257"/>
      <c r="E39" s="285" t="str">
        <f t="shared" si="9"/>
        <v/>
      </c>
      <c r="F39" s="286" t="str">
        <f t="shared" si="10"/>
        <v/>
      </c>
      <c r="H39" s="257"/>
      <c r="I39" s="257"/>
      <c r="J39" s="257"/>
      <c r="K39" s="1"/>
      <c r="L39" s="1"/>
      <c r="M39" s="4"/>
      <c r="N39" s="1"/>
      <c r="O39" s="1"/>
    </row>
    <row r="40" spans="1:15" ht="13" x14ac:dyDescent="0.15">
      <c r="A40" s="257"/>
      <c r="B40" s="257"/>
      <c r="C40" s="257"/>
      <c r="D40" s="257"/>
      <c r="E40" s="285" t="str">
        <f t="shared" si="9"/>
        <v/>
      </c>
      <c r="F40" s="286" t="str">
        <f t="shared" si="10"/>
        <v/>
      </c>
      <c r="H40" s="257"/>
      <c r="I40" s="257"/>
      <c r="J40" s="257"/>
      <c r="K40" s="1"/>
      <c r="L40" s="1"/>
      <c r="M40" s="4"/>
      <c r="N40" s="1"/>
      <c r="O40" s="1"/>
    </row>
    <row r="41" spans="1:15" ht="13" x14ac:dyDescent="0.15">
      <c r="A41" s="257"/>
      <c r="B41" s="257"/>
      <c r="C41" s="257"/>
      <c r="D41" s="257"/>
      <c r="E41" s="285" t="str">
        <f t="shared" si="9"/>
        <v/>
      </c>
      <c r="F41" s="286" t="str">
        <f t="shared" si="10"/>
        <v/>
      </c>
      <c r="H41" s="257"/>
      <c r="I41" s="257"/>
      <c r="J41" s="257"/>
      <c r="K41" s="1"/>
      <c r="L41" s="1"/>
      <c r="M41" s="4"/>
      <c r="N41" s="1"/>
      <c r="O41" s="1"/>
    </row>
    <row r="42" spans="1:15" ht="13" x14ac:dyDescent="0.15">
      <c r="A42" s="257"/>
      <c r="B42" s="257"/>
      <c r="C42" s="257"/>
      <c r="D42" s="257"/>
      <c r="E42" s="285" t="str">
        <f t="shared" si="9"/>
        <v/>
      </c>
      <c r="F42" s="286" t="str">
        <f t="shared" si="10"/>
        <v/>
      </c>
      <c r="H42" s="257"/>
      <c r="I42" s="257"/>
      <c r="J42" s="257"/>
      <c r="L42" s="1"/>
      <c r="M42" s="4"/>
      <c r="N42" s="1"/>
      <c r="O42" s="1"/>
    </row>
    <row r="43" spans="1:15" ht="13" x14ac:dyDescent="0.15">
      <c r="A43" s="257"/>
      <c r="B43" s="257"/>
      <c r="C43" s="257"/>
      <c r="D43" s="257"/>
      <c r="E43" s="285" t="str">
        <f t="shared" si="9"/>
        <v/>
      </c>
      <c r="F43" s="286" t="str">
        <f t="shared" si="10"/>
        <v/>
      </c>
      <c r="H43" s="257"/>
      <c r="I43" s="257"/>
      <c r="J43" s="257"/>
      <c r="L43" s="1"/>
      <c r="M43" s="4"/>
      <c r="N43" s="1"/>
      <c r="O43" s="1"/>
    </row>
    <row r="44" spans="1:15" ht="13" x14ac:dyDescent="0.15">
      <c r="A44" s="257"/>
      <c r="B44" s="257"/>
      <c r="C44" s="257"/>
      <c r="D44" s="257"/>
      <c r="E44" s="285" t="str">
        <f t="shared" si="9"/>
        <v/>
      </c>
      <c r="F44" s="286" t="str">
        <f t="shared" si="10"/>
        <v/>
      </c>
      <c r="H44" s="257"/>
      <c r="I44" s="257"/>
      <c r="J44" s="257"/>
      <c r="L44" s="1"/>
      <c r="M44" s="4"/>
      <c r="N44" s="1"/>
      <c r="O44" s="1"/>
    </row>
    <row r="45" spans="1:15" ht="13" x14ac:dyDescent="0.15">
      <c r="A45" s="257"/>
      <c r="B45" s="257"/>
      <c r="C45" s="257"/>
      <c r="D45" s="257"/>
      <c r="E45" s="285" t="str">
        <f t="shared" si="9"/>
        <v/>
      </c>
      <c r="F45" s="286" t="str">
        <f t="shared" si="10"/>
        <v/>
      </c>
      <c r="H45" s="257"/>
      <c r="I45" s="257"/>
      <c r="J45" s="257"/>
      <c r="L45" s="1"/>
      <c r="M45" s="4"/>
      <c r="N45" s="1"/>
      <c r="O45" s="1"/>
    </row>
    <row r="46" spans="1:15" ht="13" x14ac:dyDescent="0.15">
      <c r="A46" s="257"/>
      <c r="B46" s="257"/>
      <c r="C46" s="257"/>
      <c r="D46" s="257"/>
      <c r="E46" s="285" t="str">
        <f t="shared" si="9"/>
        <v/>
      </c>
      <c r="F46" s="286" t="str">
        <f t="shared" si="10"/>
        <v/>
      </c>
      <c r="H46" s="257"/>
      <c r="I46" s="257"/>
      <c r="J46" s="257"/>
      <c r="N46" s="1"/>
      <c r="O46" s="1"/>
    </row>
    <row r="47" spans="1:15" ht="13" x14ac:dyDescent="0.15">
      <c r="A47" s="257"/>
      <c r="B47" s="257"/>
      <c r="C47" s="257"/>
      <c r="D47" s="257"/>
      <c r="E47" s="285" t="str">
        <f t="shared" si="9"/>
        <v/>
      </c>
      <c r="F47" s="286" t="str">
        <f t="shared" si="10"/>
        <v/>
      </c>
      <c r="H47" s="257"/>
      <c r="I47" s="257"/>
      <c r="J47" s="257"/>
      <c r="N47" s="1"/>
      <c r="O47" s="1"/>
    </row>
    <row r="48" spans="1:15" ht="13" x14ac:dyDescent="0.15">
      <c r="A48" s="257"/>
      <c r="B48" s="257"/>
      <c r="C48" s="257"/>
      <c r="D48" s="257"/>
      <c r="E48" s="285" t="str">
        <f t="shared" si="9"/>
        <v/>
      </c>
      <c r="F48" s="286" t="str">
        <f t="shared" si="10"/>
        <v/>
      </c>
      <c r="H48" s="257"/>
      <c r="I48" s="257"/>
      <c r="J48" s="257"/>
      <c r="N48" s="1"/>
      <c r="O48" s="1"/>
    </row>
    <row r="49" spans="1:15" ht="13" x14ac:dyDescent="0.15">
      <c r="A49" s="257"/>
      <c r="B49" s="257"/>
      <c r="C49" s="257"/>
      <c r="D49" s="257"/>
      <c r="E49" s="285" t="str">
        <f t="shared" si="9"/>
        <v/>
      </c>
      <c r="F49" s="286" t="str">
        <f t="shared" si="10"/>
        <v/>
      </c>
      <c r="H49" s="257"/>
      <c r="I49" s="257"/>
      <c r="J49" s="257"/>
      <c r="N49" s="1"/>
      <c r="O49" s="1"/>
    </row>
    <row r="50" spans="1:15" ht="13" x14ac:dyDescent="0.15">
      <c r="A50" s="257"/>
      <c r="B50" s="257"/>
      <c r="C50" s="257"/>
      <c r="D50" s="257"/>
      <c r="E50" s="285" t="str">
        <f t="shared" si="9"/>
        <v/>
      </c>
      <c r="F50" s="286" t="str">
        <f t="shared" si="10"/>
        <v/>
      </c>
      <c r="H50" s="257"/>
      <c r="I50" s="257"/>
      <c r="J50" s="257"/>
      <c r="N50" s="1"/>
      <c r="O50" s="1"/>
    </row>
    <row r="51" spans="1:15" ht="13" x14ac:dyDescent="0.15">
      <c r="A51" s="257"/>
      <c r="B51" s="257"/>
      <c r="C51" s="257"/>
      <c r="D51" s="257"/>
      <c r="E51" s="285" t="str">
        <f t="shared" si="9"/>
        <v/>
      </c>
      <c r="F51" s="286" t="str">
        <f t="shared" si="10"/>
        <v/>
      </c>
      <c r="N51" s="1"/>
      <c r="O51" s="1"/>
    </row>
    <row r="52" spans="1:15" ht="13" x14ac:dyDescent="0.15">
      <c r="A52" s="257"/>
      <c r="B52" s="257"/>
      <c r="C52" s="257"/>
      <c r="D52" s="257"/>
      <c r="E52" s="285" t="str">
        <f t="shared" si="9"/>
        <v/>
      </c>
      <c r="F52" s="286" t="str">
        <f t="shared" si="10"/>
        <v/>
      </c>
      <c r="N52" s="1"/>
      <c r="O52" s="1"/>
    </row>
    <row r="53" spans="1:15" ht="13" x14ac:dyDescent="0.15">
      <c r="A53" s="257"/>
      <c r="B53" s="257"/>
      <c r="C53" s="257"/>
      <c r="D53" s="257"/>
      <c r="E53" s="285" t="str">
        <f t="shared" si="9"/>
        <v/>
      </c>
      <c r="F53" s="286" t="str">
        <f t="shared" si="10"/>
        <v/>
      </c>
      <c r="N53" s="1"/>
      <c r="O53" s="1"/>
    </row>
    <row r="54" spans="1:15" ht="13" x14ac:dyDescent="0.15">
      <c r="A54" s="257"/>
      <c r="B54" s="257"/>
      <c r="C54" s="257"/>
      <c r="D54" s="257"/>
      <c r="E54" s="285" t="str">
        <f t="shared" si="9"/>
        <v/>
      </c>
      <c r="F54" s="286" t="str">
        <f t="shared" si="10"/>
        <v/>
      </c>
      <c r="N54" s="1"/>
      <c r="O54" s="1"/>
    </row>
    <row r="55" spans="1:15" ht="13" x14ac:dyDescent="0.15">
      <c r="A55" s="257"/>
      <c r="B55" s="257"/>
      <c r="C55" s="257"/>
      <c r="D55" s="257"/>
      <c r="E55" s="285" t="str">
        <f t="shared" si="9"/>
        <v/>
      </c>
      <c r="F55" s="286" t="str">
        <f t="shared" si="10"/>
        <v/>
      </c>
      <c r="N55" s="1"/>
      <c r="O55" s="1"/>
    </row>
    <row r="56" spans="1:15" ht="13" x14ac:dyDescent="0.15">
      <c r="A56" s="257"/>
      <c r="B56" s="257"/>
      <c r="C56" s="257"/>
      <c r="D56" s="257"/>
      <c r="E56" s="285" t="str">
        <f t="shared" si="9"/>
        <v/>
      </c>
      <c r="F56" s="286" t="str">
        <f t="shared" si="10"/>
        <v/>
      </c>
      <c r="N56" s="1"/>
      <c r="O56" s="1"/>
    </row>
    <row r="57" spans="1:15" ht="13" x14ac:dyDescent="0.15">
      <c r="A57" s="257"/>
      <c r="B57" s="257"/>
      <c r="C57" s="257"/>
      <c r="D57" s="257"/>
      <c r="E57" s="285" t="str">
        <f t="shared" si="9"/>
        <v/>
      </c>
      <c r="F57" s="286" t="str">
        <f t="shared" si="10"/>
        <v/>
      </c>
      <c r="N57" s="1"/>
      <c r="O57" s="1"/>
    </row>
    <row r="58" spans="1:15" ht="13" x14ac:dyDescent="0.15">
      <c r="A58" s="257"/>
      <c r="B58" s="257"/>
      <c r="C58" s="257"/>
      <c r="D58" s="257"/>
      <c r="E58" s="285" t="str">
        <f t="shared" si="9"/>
        <v/>
      </c>
      <c r="F58" s="286" t="str">
        <f t="shared" si="10"/>
        <v/>
      </c>
      <c r="N58" s="1"/>
      <c r="O58" s="1"/>
    </row>
    <row r="59" spans="1:15" ht="13" x14ac:dyDescent="0.15">
      <c r="A59" s="257"/>
      <c r="B59" s="257"/>
      <c r="C59" s="257"/>
      <c r="D59" s="257"/>
      <c r="E59" s="285" t="str">
        <f t="shared" si="9"/>
        <v/>
      </c>
      <c r="F59" s="286" t="str">
        <f t="shared" si="10"/>
        <v/>
      </c>
      <c r="N59" s="1"/>
      <c r="O59" s="1"/>
    </row>
    <row r="60" spans="1:15" ht="13" x14ac:dyDescent="0.15">
      <c r="A60" s="257"/>
      <c r="B60" s="257"/>
      <c r="C60" s="257"/>
      <c r="D60" s="257"/>
      <c r="E60" s="285" t="str">
        <f t="shared" si="9"/>
        <v/>
      </c>
      <c r="F60" s="286" t="str">
        <f t="shared" si="10"/>
        <v/>
      </c>
      <c r="N60" s="1"/>
      <c r="O60" s="1"/>
    </row>
    <row r="61" spans="1:15" ht="13" x14ac:dyDescent="0.15">
      <c r="A61" s="257"/>
      <c r="B61" s="257"/>
      <c r="C61" s="257"/>
      <c r="D61" s="257"/>
      <c r="E61" s="285" t="str">
        <f t="shared" si="9"/>
        <v/>
      </c>
      <c r="F61" s="286" t="str">
        <f t="shared" si="10"/>
        <v/>
      </c>
      <c r="N61" s="1"/>
      <c r="O61" s="1"/>
    </row>
    <row r="62" spans="1:15" ht="13" x14ac:dyDescent="0.15">
      <c r="A62" s="257"/>
      <c r="B62" s="257"/>
      <c r="C62" s="257"/>
      <c r="D62" s="257"/>
      <c r="E62" s="285" t="str">
        <f t="shared" si="9"/>
        <v/>
      </c>
      <c r="F62" s="286" t="str">
        <f t="shared" si="10"/>
        <v/>
      </c>
      <c r="N62" s="1"/>
      <c r="O62" s="1"/>
    </row>
    <row r="63" spans="1:15" ht="13" x14ac:dyDescent="0.15">
      <c r="A63" s="257"/>
      <c r="B63" s="257"/>
      <c r="C63" s="257"/>
      <c r="D63" s="257"/>
      <c r="E63" s="285" t="str">
        <f t="shared" si="9"/>
        <v/>
      </c>
      <c r="F63" s="286" t="str">
        <f t="shared" si="10"/>
        <v/>
      </c>
      <c r="N63" s="1"/>
      <c r="O63" s="1"/>
    </row>
    <row r="64" spans="1:15" ht="13" x14ac:dyDescent="0.15">
      <c r="A64" s="257"/>
      <c r="B64" s="257"/>
      <c r="C64" s="257"/>
      <c r="D64" s="257"/>
      <c r="E64" s="285" t="str">
        <f t="shared" si="9"/>
        <v/>
      </c>
      <c r="F64" s="286" t="str">
        <f t="shared" si="10"/>
        <v/>
      </c>
      <c r="N64" s="1"/>
      <c r="O64" s="1"/>
    </row>
    <row r="65" spans="1:15" ht="13" x14ac:dyDescent="0.15">
      <c r="A65" s="257"/>
      <c r="B65" s="257"/>
      <c r="C65" s="257"/>
      <c r="D65" s="257"/>
      <c r="E65" s="285" t="str">
        <f t="shared" si="9"/>
        <v/>
      </c>
      <c r="F65" s="286" t="str">
        <f t="shared" si="10"/>
        <v/>
      </c>
      <c r="N65" s="1"/>
      <c r="O65" s="1"/>
    </row>
    <row r="66" spans="1:15" ht="13" x14ac:dyDescent="0.15">
      <c r="A66" s="257"/>
      <c r="B66" s="257"/>
      <c r="C66" s="257"/>
      <c r="D66" s="257"/>
      <c r="E66" s="285" t="str">
        <f t="shared" si="9"/>
        <v/>
      </c>
      <c r="F66" s="286" t="str">
        <f t="shared" si="10"/>
        <v/>
      </c>
      <c r="N66" s="1"/>
      <c r="O66" s="1"/>
    </row>
    <row r="67" spans="1:15" ht="13" x14ac:dyDescent="0.15">
      <c r="A67" s="257"/>
      <c r="B67" s="257"/>
      <c r="C67" s="257"/>
      <c r="D67" s="257"/>
      <c r="E67" s="285" t="str">
        <f t="shared" ref="E67:E100" si="11">IF(ISNUMBER(C67),C67*C67*$M$4+C67*$M$3+$M$2,"")</f>
        <v/>
      </c>
      <c r="F67" s="286" t="str">
        <f t="shared" ref="F67:F98" si="12">IF(ISNUMBER(C67),(D67-E67)/D67,"")</f>
        <v/>
      </c>
      <c r="N67" s="1"/>
      <c r="O67" s="1"/>
    </row>
    <row r="68" spans="1:15" ht="13" x14ac:dyDescent="0.15">
      <c r="A68" s="257"/>
      <c r="B68" s="257"/>
      <c r="C68" s="257"/>
      <c r="D68" s="257"/>
      <c r="E68" s="285" t="str">
        <f t="shared" si="11"/>
        <v/>
      </c>
      <c r="F68" s="286" t="str">
        <f t="shared" si="12"/>
        <v/>
      </c>
    </row>
    <row r="69" spans="1:15" ht="13" x14ac:dyDescent="0.15">
      <c r="A69" s="257"/>
      <c r="B69" s="257"/>
      <c r="C69" s="257"/>
      <c r="D69" s="257"/>
      <c r="E69" s="285" t="str">
        <f t="shared" si="11"/>
        <v/>
      </c>
      <c r="F69" s="286" t="str">
        <f t="shared" si="12"/>
        <v/>
      </c>
    </row>
    <row r="70" spans="1:15" ht="13" x14ac:dyDescent="0.15">
      <c r="A70" s="257"/>
      <c r="B70" s="257"/>
      <c r="C70" s="257"/>
      <c r="D70" s="257"/>
      <c r="E70" s="285" t="str">
        <f t="shared" si="11"/>
        <v/>
      </c>
      <c r="F70" s="286" t="str">
        <f t="shared" si="12"/>
        <v/>
      </c>
    </row>
    <row r="71" spans="1:15" ht="13" x14ac:dyDescent="0.15">
      <c r="A71" s="257"/>
      <c r="B71" s="257"/>
      <c r="C71" s="257"/>
      <c r="D71" s="257"/>
      <c r="E71" s="285" t="str">
        <f t="shared" si="11"/>
        <v/>
      </c>
      <c r="F71" s="286" t="str">
        <f t="shared" si="12"/>
        <v/>
      </c>
    </row>
    <row r="72" spans="1:15" ht="13" x14ac:dyDescent="0.15">
      <c r="A72" s="257"/>
      <c r="B72" s="257"/>
      <c r="C72" s="257"/>
      <c r="D72" s="257"/>
      <c r="E72" s="285" t="str">
        <f t="shared" si="11"/>
        <v/>
      </c>
      <c r="F72" s="286" t="str">
        <f t="shared" si="12"/>
        <v/>
      </c>
    </row>
    <row r="73" spans="1:15" ht="13" x14ac:dyDescent="0.15">
      <c r="A73" s="257"/>
      <c r="B73" s="257"/>
      <c r="C73" s="257"/>
      <c r="D73" s="257"/>
      <c r="E73" s="285" t="str">
        <f t="shared" si="11"/>
        <v/>
      </c>
      <c r="F73" s="286" t="str">
        <f t="shared" si="12"/>
        <v/>
      </c>
    </row>
    <row r="74" spans="1:15" ht="13" x14ac:dyDescent="0.15">
      <c r="A74" s="257"/>
      <c r="B74" s="257"/>
      <c r="C74" s="257"/>
      <c r="D74" s="257"/>
      <c r="E74" s="285" t="str">
        <f t="shared" si="11"/>
        <v/>
      </c>
      <c r="F74" s="286" t="str">
        <f t="shared" si="12"/>
        <v/>
      </c>
    </row>
    <row r="75" spans="1:15" ht="13" x14ac:dyDescent="0.15">
      <c r="A75" s="257"/>
      <c r="B75" s="257"/>
      <c r="C75" s="257"/>
      <c r="D75" s="257"/>
      <c r="E75" s="285" t="str">
        <f t="shared" si="11"/>
        <v/>
      </c>
      <c r="F75" s="286" t="str">
        <f t="shared" si="12"/>
        <v/>
      </c>
    </row>
    <row r="76" spans="1:15" ht="13" x14ac:dyDescent="0.15">
      <c r="A76" s="257"/>
      <c r="B76" s="257"/>
      <c r="C76" s="257"/>
      <c r="D76" s="257"/>
      <c r="E76" s="285" t="str">
        <f t="shared" si="11"/>
        <v/>
      </c>
      <c r="F76" s="286" t="str">
        <f t="shared" si="12"/>
        <v/>
      </c>
    </row>
    <row r="77" spans="1:15" ht="13" x14ac:dyDescent="0.15">
      <c r="A77" s="257"/>
      <c r="B77" s="257"/>
      <c r="C77" s="257"/>
      <c r="D77" s="257"/>
      <c r="E77" s="285" t="str">
        <f t="shared" si="11"/>
        <v/>
      </c>
      <c r="F77" s="286" t="str">
        <f t="shared" si="12"/>
        <v/>
      </c>
    </row>
    <row r="78" spans="1:15" ht="13" x14ac:dyDescent="0.15">
      <c r="A78" s="257"/>
      <c r="B78" s="257"/>
      <c r="C78" s="257"/>
      <c r="D78" s="257"/>
      <c r="E78" s="285" t="str">
        <f t="shared" si="11"/>
        <v/>
      </c>
      <c r="F78" s="286" t="str">
        <f t="shared" si="12"/>
        <v/>
      </c>
    </row>
    <row r="79" spans="1:15" ht="13" x14ac:dyDescent="0.15">
      <c r="A79" s="257"/>
      <c r="B79" s="257"/>
      <c r="C79" s="257"/>
      <c r="D79" s="257"/>
      <c r="E79" s="285" t="str">
        <f t="shared" si="11"/>
        <v/>
      </c>
      <c r="F79" s="286" t="str">
        <f t="shared" si="12"/>
        <v/>
      </c>
    </row>
    <row r="80" spans="1:15" ht="13" x14ac:dyDescent="0.15">
      <c r="A80" s="257"/>
      <c r="B80" s="257"/>
      <c r="C80" s="257"/>
      <c r="D80" s="257"/>
      <c r="E80" s="285" t="str">
        <f t="shared" si="11"/>
        <v/>
      </c>
      <c r="F80" s="286" t="str">
        <f t="shared" si="12"/>
        <v/>
      </c>
    </row>
    <row r="81" spans="1:6" ht="13" x14ac:dyDescent="0.15">
      <c r="A81" s="257"/>
      <c r="B81" s="257"/>
      <c r="C81" s="257"/>
      <c r="D81" s="257"/>
      <c r="E81" s="285" t="str">
        <f t="shared" si="11"/>
        <v/>
      </c>
      <c r="F81" s="286" t="str">
        <f t="shared" si="12"/>
        <v/>
      </c>
    </row>
    <row r="82" spans="1:6" ht="13" x14ac:dyDescent="0.15">
      <c r="A82" s="257"/>
      <c r="B82" s="257"/>
      <c r="C82" s="257"/>
      <c r="D82" s="257"/>
      <c r="E82" s="285" t="str">
        <f t="shared" si="11"/>
        <v/>
      </c>
      <c r="F82" s="286" t="str">
        <f t="shared" si="12"/>
        <v/>
      </c>
    </row>
    <row r="83" spans="1:6" ht="13" x14ac:dyDescent="0.15">
      <c r="A83" s="257"/>
      <c r="B83" s="257"/>
      <c r="C83" s="257"/>
      <c r="D83" s="257"/>
      <c r="E83" s="285" t="str">
        <f t="shared" si="11"/>
        <v/>
      </c>
      <c r="F83" s="286" t="str">
        <f t="shared" si="12"/>
        <v/>
      </c>
    </row>
    <row r="84" spans="1:6" ht="13" x14ac:dyDescent="0.15">
      <c r="A84" s="257"/>
      <c r="B84" s="257"/>
      <c r="C84" s="257"/>
      <c r="D84" s="257"/>
      <c r="E84" s="285" t="str">
        <f t="shared" si="11"/>
        <v/>
      </c>
      <c r="F84" s="286" t="str">
        <f t="shared" si="12"/>
        <v/>
      </c>
    </row>
    <row r="85" spans="1:6" ht="13" x14ac:dyDescent="0.15">
      <c r="A85" s="257"/>
      <c r="B85" s="257"/>
      <c r="C85" s="257"/>
      <c r="D85" s="257"/>
      <c r="E85" s="285" t="str">
        <f t="shared" si="11"/>
        <v/>
      </c>
      <c r="F85" s="286" t="str">
        <f t="shared" si="12"/>
        <v/>
      </c>
    </row>
    <row r="86" spans="1:6" ht="13" x14ac:dyDescent="0.15">
      <c r="A86" s="257"/>
      <c r="B86" s="257"/>
      <c r="C86" s="257"/>
      <c r="D86" s="257"/>
      <c r="E86" s="285" t="str">
        <f t="shared" si="11"/>
        <v/>
      </c>
      <c r="F86" s="286" t="str">
        <f t="shared" si="12"/>
        <v/>
      </c>
    </row>
    <row r="87" spans="1:6" ht="13" x14ac:dyDescent="0.15">
      <c r="A87" s="257"/>
      <c r="B87" s="257"/>
      <c r="C87" s="257"/>
      <c r="D87" s="257"/>
      <c r="E87" s="285" t="str">
        <f t="shared" si="11"/>
        <v/>
      </c>
      <c r="F87" s="286" t="str">
        <f t="shared" si="12"/>
        <v/>
      </c>
    </row>
    <row r="88" spans="1:6" ht="13" x14ac:dyDescent="0.15">
      <c r="A88" s="257"/>
      <c r="B88" s="257"/>
      <c r="C88" s="257"/>
      <c r="D88" s="257"/>
      <c r="E88" s="285" t="str">
        <f t="shared" si="11"/>
        <v/>
      </c>
      <c r="F88" s="286" t="str">
        <f t="shared" si="12"/>
        <v/>
      </c>
    </row>
    <row r="89" spans="1:6" ht="13" x14ac:dyDescent="0.15">
      <c r="A89" s="257"/>
      <c r="B89" s="257"/>
      <c r="C89" s="257"/>
      <c r="D89" s="257"/>
      <c r="E89" s="285" t="str">
        <f t="shared" si="11"/>
        <v/>
      </c>
      <c r="F89" s="286" t="str">
        <f t="shared" si="12"/>
        <v/>
      </c>
    </row>
    <row r="90" spans="1:6" ht="13" x14ac:dyDescent="0.15">
      <c r="A90" s="257"/>
      <c r="B90" s="257"/>
      <c r="C90" s="257"/>
      <c r="D90" s="257"/>
      <c r="E90" s="285" t="str">
        <f t="shared" si="11"/>
        <v/>
      </c>
      <c r="F90" s="286" t="str">
        <f t="shared" si="12"/>
        <v/>
      </c>
    </row>
    <row r="91" spans="1:6" ht="13" x14ac:dyDescent="0.15">
      <c r="A91" s="257"/>
      <c r="B91" s="257"/>
      <c r="C91" s="257"/>
      <c r="D91" s="257"/>
      <c r="E91" s="285" t="str">
        <f t="shared" si="11"/>
        <v/>
      </c>
      <c r="F91" s="286" t="str">
        <f t="shared" si="12"/>
        <v/>
      </c>
    </row>
    <row r="92" spans="1:6" ht="13" x14ac:dyDescent="0.15">
      <c r="A92" s="257"/>
      <c r="B92" s="257"/>
      <c r="C92" s="257"/>
      <c r="D92" s="257"/>
      <c r="E92" s="285" t="str">
        <f t="shared" si="11"/>
        <v/>
      </c>
      <c r="F92" s="286" t="str">
        <f t="shared" si="12"/>
        <v/>
      </c>
    </row>
    <row r="93" spans="1:6" ht="13" x14ac:dyDescent="0.15">
      <c r="A93" s="257"/>
      <c r="B93" s="257"/>
      <c r="C93" s="257"/>
      <c r="D93" s="257"/>
      <c r="E93" s="285" t="str">
        <f t="shared" si="11"/>
        <v/>
      </c>
      <c r="F93" s="286" t="str">
        <f t="shared" si="12"/>
        <v/>
      </c>
    </row>
    <row r="94" spans="1:6" ht="13" x14ac:dyDescent="0.15">
      <c r="A94" s="257"/>
      <c r="B94" s="257"/>
      <c r="C94" s="257"/>
      <c r="D94" s="257"/>
      <c r="E94" s="285" t="str">
        <f t="shared" si="11"/>
        <v/>
      </c>
      <c r="F94" s="286" t="str">
        <f t="shared" si="12"/>
        <v/>
      </c>
    </row>
    <row r="95" spans="1:6" ht="13" x14ac:dyDescent="0.15">
      <c r="A95" s="257"/>
      <c r="B95" s="257"/>
      <c r="C95" s="257"/>
      <c r="D95" s="257"/>
      <c r="E95" s="285" t="str">
        <f t="shared" si="11"/>
        <v/>
      </c>
      <c r="F95" s="286" t="str">
        <f t="shared" si="12"/>
        <v/>
      </c>
    </row>
    <row r="96" spans="1:6" ht="13" x14ac:dyDescent="0.15">
      <c r="A96" s="257"/>
      <c r="B96" s="257"/>
      <c r="C96" s="257"/>
      <c r="D96" s="257"/>
      <c r="E96" s="285" t="str">
        <f t="shared" si="11"/>
        <v/>
      </c>
      <c r="F96" s="286" t="str">
        <f t="shared" si="12"/>
        <v/>
      </c>
    </row>
    <row r="97" spans="1:6" ht="13" x14ac:dyDescent="0.15">
      <c r="A97" s="257"/>
      <c r="B97" s="257"/>
      <c r="C97" s="257"/>
      <c r="D97" s="257"/>
      <c r="E97" s="285" t="str">
        <f t="shared" si="11"/>
        <v/>
      </c>
      <c r="F97" s="286" t="str">
        <f t="shared" si="12"/>
        <v/>
      </c>
    </row>
    <row r="98" spans="1:6" ht="13" x14ac:dyDescent="0.15">
      <c r="A98" s="257"/>
      <c r="B98" s="257"/>
      <c r="C98" s="257"/>
      <c r="D98" s="257"/>
      <c r="E98" s="285" t="str">
        <f t="shared" si="11"/>
        <v/>
      </c>
      <c r="F98" s="286" t="str">
        <f t="shared" si="12"/>
        <v/>
      </c>
    </row>
    <row r="99" spans="1:6" ht="13" x14ac:dyDescent="0.15">
      <c r="A99" s="257"/>
      <c r="B99" s="257"/>
      <c r="C99" s="257"/>
      <c r="D99" s="257"/>
      <c r="E99" s="285" t="str">
        <f t="shared" si="11"/>
        <v/>
      </c>
      <c r="F99" s="286" t="str">
        <f>IF(ISNUMBER(C99),(D99-E99)/D99,"")</f>
        <v/>
      </c>
    </row>
    <row r="100" spans="1:6" ht="13" x14ac:dyDescent="0.15">
      <c r="A100" s="257"/>
      <c r="B100" s="257"/>
      <c r="C100" s="257"/>
      <c r="D100" s="257"/>
      <c r="E100" s="285" t="str">
        <f t="shared" si="11"/>
        <v/>
      </c>
      <c r="F100" s="286" t="str">
        <f>IF(ISNUMBER(C100),(D100-E100)/D100,"")</f>
        <v/>
      </c>
    </row>
    <row r="65536" spans="2:2" x14ac:dyDescent="0.15">
      <c r="B65536" s="108"/>
    </row>
  </sheetData>
  <autoFilter ref="A2:F2" xr:uid="{FE0F31AE-011A-EB40-8B14-3751072C501F}"/>
  <phoneticPr fontId="16" type="noConversion"/>
  <conditionalFormatting sqref="M2:Q4">
    <cfRule type="cellIs" dxfId="4" priority="1" stopIfTrue="1" operator="equal">
      <formula>0</formula>
    </cfRule>
  </conditionalFormatting>
  <pageMargins left="0.75" right="0.75" top="1" bottom="1" header="0.5" footer="0.5"/>
  <pageSetup scale="95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8233-10D1-9440-A414-9F11424D7866}">
  <sheetPr codeName="Sheet5"/>
  <dimension ref="A1:AF189"/>
  <sheetViews>
    <sheetView workbookViewId="0">
      <selection activeCell="Z9" sqref="Z9"/>
    </sheetView>
  </sheetViews>
  <sheetFormatPr baseColWidth="10" defaultColWidth="8.796875" defaultRowHeight="11" x14ac:dyDescent="0.15"/>
  <cols>
    <col min="1" max="1" width="9.3984375" customWidth="1"/>
    <col min="2" max="6" width="9.796875" customWidth="1"/>
    <col min="7" max="7" width="10.796875" customWidth="1"/>
    <col min="8" max="8" width="9.796875" customWidth="1"/>
    <col min="9" max="9" width="10.3984375" customWidth="1"/>
    <col min="10" max="16" width="9.796875" customWidth="1"/>
    <col min="19" max="19" width="4" customWidth="1"/>
    <col min="21" max="21" width="2.796875" customWidth="1"/>
    <col min="23" max="23" width="2.796875" customWidth="1"/>
    <col min="24" max="24" width="13.19921875" customWidth="1"/>
    <col min="26" max="28" width="12.3984375" bestFit="1" customWidth="1"/>
    <col min="29" max="29" width="4" bestFit="1" customWidth="1"/>
  </cols>
  <sheetData>
    <row r="1" spans="1:32" ht="12" x14ac:dyDescent="0.15">
      <c r="A1" s="11" t="s">
        <v>71</v>
      </c>
      <c r="B1" s="11" t="s">
        <v>204</v>
      </c>
      <c r="C1" s="11"/>
      <c r="D1" s="11"/>
      <c r="E1" s="11"/>
      <c r="F1" s="12"/>
      <c r="O1" s="9"/>
      <c r="P1" s="9"/>
      <c r="Q1" s="9"/>
      <c r="R1" s="200" t="s">
        <v>108</v>
      </c>
      <c r="S1" s="200"/>
      <c r="T1" s="200" t="s">
        <v>97</v>
      </c>
      <c r="U1" s="200"/>
      <c r="V1" s="200" t="s">
        <v>62</v>
      </c>
      <c r="W1" s="200"/>
      <c r="X1" s="9" t="s">
        <v>151</v>
      </c>
      <c r="AD1" s="9" t="s">
        <v>179</v>
      </c>
    </row>
    <row r="2" spans="1:32" ht="13" thickBot="1" x14ac:dyDescent="0.2">
      <c r="A2" s="12"/>
      <c r="B2" s="12"/>
      <c r="C2" s="12"/>
      <c r="D2" s="12"/>
      <c r="E2" s="12"/>
      <c r="F2" s="12"/>
      <c r="O2" s="201" t="s">
        <v>117</v>
      </c>
      <c r="P2" s="201" t="s">
        <v>108</v>
      </c>
      <c r="Q2" s="201" t="s">
        <v>82</v>
      </c>
      <c r="R2" s="201" t="s">
        <v>46</v>
      </c>
      <c r="S2" s="201" t="s">
        <v>3</v>
      </c>
      <c r="T2" s="201" t="s">
        <v>46</v>
      </c>
      <c r="U2" s="201" t="s">
        <v>3</v>
      </c>
      <c r="V2" s="201" t="s">
        <v>46</v>
      </c>
      <c r="W2" s="201" t="s">
        <v>3</v>
      </c>
      <c r="X2" s="202" t="s">
        <v>50</v>
      </c>
      <c r="Y2" s="201" t="s">
        <v>25</v>
      </c>
      <c r="Z2" s="202" t="s">
        <v>106</v>
      </c>
      <c r="AA2" s="202" t="s">
        <v>69</v>
      </c>
      <c r="AB2" s="202" t="s">
        <v>94</v>
      </c>
      <c r="AC2" s="202" t="s">
        <v>3</v>
      </c>
      <c r="AD2" s="202" t="s">
        <v>90</v>
      </c>
      <c r="AE2" s="202" t="s">
        <v>114</v>
      </c>
      <c r="AF2" s="202" t="s">
        <v>81</v>
      </c>
    </row>
    <row r="3" spans="1:32" ht="12" x14ac:dyDescent="0.15">
      <c r="B3" s="14" t="s">
        <v>98</v>
      </c>
      <c r="C3" s="47">
        <f>DAVERAGE(RatioData,"Ratio",H4:H5)</f>
        <v>0.98058109855770981</v>
      </c>
      <c r="D3" s="16" t="s">
        <v>1</v>
      </c>
      <c r="E3" s="17" t="s">
        <v>161</v>
      </c>
      <c r="F3" s="17"/>
      <c r="G3" s="18"/>
      <c r="H3" s="10" t="s">
        <v>165</v>
      </c>
      <c r="I3" s="10"/>
      <c r="O3" t="s">
        <v>123</v>
      </c>
      <c r="P3" t="s">
        <v>95</v>
      </c>
      <c r="R3" t="s">
        <v>291</v>
      </c>
      <c r="S3">
        <v>8</v>
      </c>
      <c r="T3" t="s">
        <v>414</v>
      </c>
      <c r="U3">
        <v>10</v>
      </c>
      <c r="X3" t="s">
        <v>462</v>
      </c>
      <c r="Y3" t="s">
        <v>463</v>
      </c>
      <c r="Z3">
        <v>3.9383703924826614E-16</v>
      </c>
      <c r="AA3">
        <v>1.9845327894702726E-8</v>
      </c>
      <c r="AB3" s="420">
        <v>7.1893345091057958E-12</v>
      </c>
      <c r="AC3">
        <v>242</v>
      </c>
      <c r="AD3">
        <v>0.98054291953149142</v>
      </c>
      <c r="AE3">
        <v>1.0138743399910283E-3</v>
      </c>
      <c r="AF3">
        <v>967.12470259398037</v>
      </c>
    </row>
    <row r="4" spans="1:32" ht="12" x14ac:dyDescent="0.15">
      <c r="B4" s="19"/>
      <c r="C4" s="39">
        <f>DSTDEV(RatioData,"Ratio",H4:H5)</f>
        <v>6.4671356816192157E-3</v>
      </c>
      <c r="D4" s="13" t="s">
        <v>1</v>
      </c>
      <c r="E4" s="12" t="s">
        <v>211</v>
      </c>
      <c r="F4" s="12"/>
      <c r="G4" s="20"/>
      <c r="H4" s="33" t="s">
        <v>96</v>
      </c>
      <c r="I4" s="10"/>
      <c r="O4" t="s">
        <v>124</v>
      </c>
      <c r="P4" t="s">
        <v>96</v>
      </c>
      <c r="R4" t="s">
        <v>292</v>
      </c>
      <c r="S4">
        <v>8</v>
      </c>
      <c r="T4" t="s">
        <v>413</v>
      </c>
      <c r="U4">
        <v>12</v>
      </c>
      <c r="X4" t="s">
        <v>95</v>
      </c>
      <c r="Y4" t="s">
        <v>463</v>
      </c>
      <c r="Z4">
        <v>4.6053637111649585E-5</v>
      </c>
      <c r="AA4">
        <v>6.7862830114613984E-3</v>
      </c>
      <c r="AB4" s="420">
        <v>0.84069036063391389</v>
      </c>
      <c r="AC4">
        <v>59</v>
      </c>
    </row>
    <row r="5" spans="1:32" ht="12" x14ac:dyDescent="0.15">
      <c r="B5" s="19"/>
      <c r="C5">
        <f>DCOUNT(RatioData,"Ratio",H4:H5)</f>
        <v>472</v>
      </c>
      <c r="D5" s="13" t="s">
        <v>1</v>
      </c>
      <c r="E5" s="12" t="s">
        <v>168</v>
      </c>
      <c r="F5" s="12"/>
      <c r="G5" s="20"/>
      <c r="H5" s="34"/>
      <c r="I5" s="10"/>
      <c r="O5" t="s">
        <v>52</v>
      </c>
      <c r="P5" t="s">
        <v>40</v>
      </c>
      <c r="R5" t="s">
        <v>293</v>
      </c>
      <c r="S5">
        <v>8</v>
      </c>
      <c r="T5" t="s">
        <v>411</v>
      </c>
      <c r="U5">
        <v>12</v>
      </c>
      <c r="X5" t="s">
        <v>85</v>
      </c>
      <c r="Y5" t="s">
        <v>463</v>
      </c>
      <c r="Z5">
        <v>7.441076312253347E-6</v>
      </c>
      <c r="AA5">
        <v>2.7278336298706611E-3</v>
      </c>
      <c r="AB5" s="420">
        <v>0.13583381293614119</v>
      </c>
      <c r="AC5">
        <v>31</v>
      </c>
    </row>
    <row r="6" spans="1:32" ht="12" x14ac:dyDescent="0.15">
      <c r="B6" s="19" t="s">
        <v>99</v>
      </c>
      <c r="C6" s="48">
        <f>C4/SQRT(C5)</f>
        <v>2.9767404795016114E-4</v>
      </c>
      <c r="D6" s="13" t="s">
        <v>1</v>
      </c>
      <c r="E6" s="12" t="s">
        <v>207</v>
      </c>
      <c r="F6" s="12"/>
      <c r="G6" s="20"/>
      <c r="O6" t="s">
        <v>41</v>
      </c>
      <c r="P6" t="s">
        <v>39</v>
      </c>
      <c r="R6" t="s">
        <v>294</v>
      </c>
      <c r="S6">
        <v>8</v>
      </c>
      <c r="T6" t="s">
        <v>412</v>
      </c>
      <c r="U6">
        <v>12</v>
      </c>
      <c r="X6" t="s">
        <v>10</v>
      </c>
      <c r="Y6" t="s">
        <v>463</v>
      </c>
      <c r="Z6">
        <v>6.8785803843513557E-15</v>
      </c>
      <c r="AA6">
        <v>8.2937207478618157E-8</v>
      </c>
      <c r="AB6" s="420">
        <v>1.2556567920901342E-10</v>
      </c>
      <c r="AC6">
        <v>22</v>
      </c>
    </row>
    <row r="7" spans="1:32" ht="13" thickBot="1" x14ac:dyDescent="0.2">
      <c r="B7" s="21" t="s">
        <v>100</v>
      </c>
      <c r="C7" s="22">
        <f>C5-1</f>
        <v>471</v>
      </c>
      <c r="D7" s="23" t="s">
        <v>1</v>
      </c>
      <c r="E7" s="22" t="s">
        <v>164</v>
      </c>
      <c r="F7" s="22"/>
      <c r="G7" s="24"/>
      <c r="O7" t="s">
        <v>30</v>
      </c>
      <c r="P7" t="s">
        <v>85</v>
      </c>
      <c r="R7" t="s">
        <v>295</v>
      </c>
      <c r="S7">
        <v>8</v>
      </c>
      <c r="X7" t="s">
        <v>26</v>
      </c>
      <c r="Y7" t="s">
        <v>463</v>
      </c>
      <c r="Z7">
        <v>2.0831349061363922E-8</v>
      </c>
      <c r="AA7">
        <v>1.4433069341399259E-4</v>
      </c>
      <c r="AB7" s="420">
        <v>3.8026778020663687E-4</v>
      </c>
      <c r="AC7">
        <v>5</v>
      </c>
    </row>
    <row r="8" spans="1:32" x14ac:dyDescent="0.15">
      <c r="O8" t="s">
        <v>80</v>
      </c>
      <c r="P8" t="s">
        <v>10</v>
      </c>
      <c r="R8" t="s">
        <v>296</v>
      </c>
      <c r="S8">
        <v>8</v>
      </c>
      <c r="X8" t="s">
        <v>428</v>
      </c>
      <c r="Z8">
        <v>1.2651917051005516E-6</v>
      </c>
      <c r="AA8">
        <v>1.1248074080039442E-3</v>
      </c>
      <c r="AB8" s="420">
        <v>2.3095558516983351E-2</v>
      </c>
    </row>
    <row r="9" spans="1:32" x14ac:dyDescent="0.15">
      <c r="P9" t="s">
        <v>26</v>
      </c>
      <c r="R9" t="s">
        <v>297</v>
      </c>
      <c r="S9">
        <v>8</v>
      </c>
    </row>
    <row r="10" spans="1:32" ht="12" x14ac:dyDescent="0.15">
      <c r="A10" s="11" t="s">
        <v>72</v>
      </c>
      <c r="B10" s="11" t="s">
        <v>172</v>
      </c>
      <c r="P10" t="s">
        <v>58</v>
      </c>
      <c r="R10" t="s">
        <v>298</v>
      </c>
      <c r="S10">
        <v>8</v>
      </c>
    </row>
    <row r="11" spans="1:32" x14ac:dyDescent="0.15">
      <c r="P11" t="s">
        <v>31</v>
      </c>
      <c r="R11" t="s">
        <v>300</v>
      </c>
      <c r="S11">
        <v>8</v>
      </c>
    </row>
    <row r="12" spans="1:32" ht="12" thickBot="1" x14ac:dyDescent="0.2">
      <c r="R12" t="s">
        <v>301</v>
      </c>
      <c r="S12">
        <v>8</v>
      </c>
    </row>
    <row r="13" spans="1:32" ht="12" x14ac:dyDescent="0.15">
      <c r="A13" s="53" t="s">
        <v>102</v>
      </c>
      <c r="B13" s="57" t="s">
        <v>184</v>
      </c>
      <c r="C13" s="17"/>
      <c r="D13" s="15"/>
      <c r="E13" s="15"/>
      <c r="F13" s="15"/>
      <c r="G13" s="17"/>
      <c r="H13" s="17"/>
      <c r="I13" s="17"/>
      <c r="J13" s="15"/>
      <c r="K13" s="15"/>
      <c r="L13" s="15"/>
      <c r="M13" s="15"/>
      <c r="N13" s="26"/>
      <c r="R13" t="s">
        <v>302</v>
      </c>
      <c r="S13">
        <v>8</v>
      </c>
    </row>
    <row r="14" spans="1:32" ht="12" x14ac:dyDescent="0.15">
      <c r="A14" s="29"/>
      <c r="B14" s="50" t="s">
        <v>217</v>
      </c>
      <c r="E14" s="2"/>
      <c r="G14" s="13"/>
      <c r="J14" s="2"/>
      <c r="N14" s="27"/>
      <c r="R14" t="s">
        <v>303</v>
      </c>
      <c r="S14">
        <v>8</v>
      </c>
    </row>
    <row r="15" spans="1:32" x14ac:dyDescent="0.15">
      <c r="A15" s="29"/>
      <c r="N15" s="27"/>
      <c r="R15" t="s">
        <v>304</v>
      </c>
      <c r="S15">
        <v>8</v>
      </c>
    </row>
    <row r="16" spans="1:32" x14ac:dyDescent="0.15">
      <c r="A16" s="29"/>
      <c r="B16" s="1"/>
      <c r="G16" s="2"/>
      <c r="N16" s="27"/>
      <c r="R16" t="s">
        <v>305</v>
      </c>
      <c r="S16">
        <v>8</v>
      </c>
    </row>
    <row r="17" spans="1:19" x14ac:dyDescent="0.15">
      <c r="A17" s="2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27"/>
      <c r="R17" t="s">
        <v>306</v>
      </c>
      <c r="S17">
        <v>8</v>
      </c>
    </row>
    <row r="18" spans="1:19" x14ac:dyDescent="0.15">
      <c r="A18" s="29"/>
      <c r="B18" s="1"/>
      <c r="G18" s="1"/>
      <c r="N18" s="27"/>
      <c r="R18" t="s">
        <v>307</v>
      </c>
      <c r="S18">
        <v>8</v>
      </c>
    </row>
    <row r="19" spans="1:19" x14ac:dyDescent="0.15">
      <c r="A19" s="29"/>
      <c r="N19" s="27"/>
      <c r="R19" t="s">
        <v>308</v>
      </c>
      <c r="S19">
        <v>8</v>
      </c>
    </row>
    <row r="20" spans="1:19" x14ac:dyDescent="0.15">
      <c r="A20" s="29"/>
      <c r="N20" s="27"/>
      <c r="R20" t="s">
        <v>309</v>
      </c>
      <c r="S20">
        <v>8</v>
      </c>
    </row>
    <row r="21" spans="1:19" x14ac:dyDescent="0.15">
      <c r="A21" s="29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27"/>
      <c r="R21" t="s">
        <v>310</v>
      </c>
      <c r="S21">
        <v>8</v>
      </c>
    </row>
    <row r="22" spans="1:19" x14ac:dyDescent="0.15">
      <c r="A22" s="29"/>
      <c r="B22" s="1"/>
      <c r="G22" s="1"/>
      <c r="N22" s="27"/>
      <c r="R22" t="s">
        <v>311</v>
      </c>
      <c r="S22">
        <v>8</v>
      </c>
    </row>
    <row r="23" spans="1:19" x14ac:dyDescent="0.15">
      <c r="A23" s="2"/>
      <c r="B23" s="2" t="s">
        <v>244</v>
      </c>
      <c r="C23" s="39">
        <f>C3</f>
        <v>0.98058109855770981</v>
      </c>
      <c r="G23" s="1"/>
      <c r="N23" s="27"/>
      <c r="R23" t="s">
        <v>312</v>
      </c>
      <c r="S23">
        <v>8</v>
      </c>
    </row>
    <row r="24" spans="1:19" x14ac:dyDescent="0.15">
      <c r="A24" s="2"/>
      <c r="B24" s="2" t="s">
        <v>245</v>
      </c>
      <c r="C24" s="39">
        <f>C4</f>
        <v>6.4671356816192157E-3</v>
      </c>
      <c r="G24" s="1"/>
      <c r="N24" s="27"/>
      <c r="R24" t="s">
        <v>313</v>
      </c>
      <c r="S24">
        <v>8</v>
      </c>
    </row>
    <row r="25" spans="1:19" x14ac:dyDescent="0.15">
      <c r="A25" s="2"/>
      <c r="B25" s="2" t="s">
        <v>246</v>
      </c>
      <c r="C25">
        <f>C5</f>
        <v>472</v>
      </c>
      <c r="F25" s="36"/>
      <c r="G25" s="1"/>
      <c r="N25" s="27"/>
      <c r="R25" t="s">
        <v>314</v>
      </c>
      <c r="S25">
        <v>8</v>
      </c>
    </row>
    <row r="26" spans="1:19" ht="12" x14ac:dyDescent="0.15">
      <c r="A26" s="314"/>
      <c r="B26" s="314" t="s">
        <v>247</v>
      </c>
      <c r="C26" s="39">
        <f>C24/SQRT(C25)</f>
        <v>2.9767404795016114E-4</v>
      </c>
      <c r="F26" s="36"/>
      <c r="G26" s="1"/>
      <c r="N26" s="27"/>
      <c r="R26" t="s">
        <v>315</v>
      </c>
      <c r="S26">
        <v>8</v>
      </c>
    </row>
    <row r="27" spans="1:19" ht="13" thickBot="1" x14ac:dyDescent="0.2">
      <c r="A27" s="315"/>
      <c r="B27" s="315" t="s">
        <v>248</v>
      </c>
      <c r="C27" s="31">
        <f>C25-1</f>
        <v>471</v>
      </c>
      <c r="D27" s="31"/>
      <c r="E27" s="31"/>
      <c r="F27" s="31"/>
      <c r="G27" s="37"/>
      <c r="H27" s="31"/>
      <c r="I27" s="31"/>
      <c r="J27" s="31"/>
      <c r="K27" s="31"/>
      <c r="L27" s="31"/>
      <c r="M27" s="31"/>
      <c r="N27" s="32"/>
      <c r="R27" t="s">
        <v>316</v>
      </c>
      <c r="S27">
        <v>8</v>
      </c>
    </row>
    <row r="28" spans="1:19" x14ac:dyDescent="0.15">
      <c r="B28" s="1"/>
      <c r="G28" s="1"/>
      <c r="R28" t="s">
        <v>317</v>
      </c>
      <c r="S28">
        <v>8</v>
      </c>
    </row>
    <row r="29" spans="1:19" ht="12" thickBot="1" x14ac:dyDescent="0.2">
      <c r="B29" s="1"/>
      <c r="G29" s="1"/>
      <c r="R29" t="s">
        <v>318</v>
      </c>
      <c r="S29">
        <v>8</v>
      </c>
    </row>
    <row r="30" spans="1:19" ht="12" x14ac:dyDescent="0.15">
      <c r="A30" s="56" t="s">
        <v>102</v>
      </c>
      <c r="B30" s="57" t="s">
        <v>199</v>
      </c>
      <c r="C30" s="15"/>
      <c r="D30" s="15"/>
      <c r="E30" s="15"/>
      <c r="F30" s="15"/>
      <c r="G30" s="44"/>
      <c r="H30" s="15"/>
      <c r="I30" s="15"/>
      <c r="J30" s="15"/>
      <c r="K30" s="15"/>
      <c r="L30" s="15"/>
      <c r="M30" s="15"/>
      <c r="N30" s="26"/>
      <c r="R30" t="s">
        <v>319</v>
      </c>
      <c r="S30">
        <v>8</v>
      </c>
    </row>
    <row r="31" spans="1:19" x14ac:dyDescent="0.15">
      <c r="A31" s="29"/>
      <c r="B31" s="1"/>
      <c r="G31" s="1"/>
      <c r="N31" s="27"/>
      <c r="R31" t="s">
        <v>320</v>
      </c>
      <c r="S31">
        <v>8</v>
      </c>
    </row>
    <row r="32" spans="1:19" x14ac:dyDescent="0.15">
      <c r="A32" s="29"/>
      <c r="B32" s="1" t="s">
        <v>96</v>
      </c>
      <c r="C32" s="1" t="s">
        <v>96</v>
      </c>
      <c r="D32" s="1" t="s">
        <v>96</v>
      </c>
      <c r="E32" s="1" t="s">
        <v>96</v>
      </c>
      <c r="F32" s="1" t="s">
        <v>96</v>
      </c>
      <c r="G32" s="1" t="s">
        <v>96</v>
      </c>
      <c r="H32" s="1" t="s">
        <v>96</v>
      </c>
      <c r="I32" s="1" t="s">
        <v>96</v>
      </c>
      <c r="J32" s="1" t="s">
        <v>96</v>
      </c>
      <c r="K32" s="1" t="s">
        <v>96</v>
      </c>
      <c r="L32" s="1" t="s">
        <v>96</v>
      </c>
      <c r="M32" s="1" t="s">
        <v>96</v>
      </c>
      <c r="N32" s="109" t="s">
        <v>96</v>
      </c>
      <c r="R32" t="s">
        <v>321</v>
      </c>
      <c r="S32">
        <v>8</v>
      </c>
    </row>
    <row r="33" spans="1:19" x14ac:dyDescent="0.15">
      <c r="A33" s="29"/>
      <c r="B33" s="1">
        <v>1</v>
      </c>
      <c r="C33" s="1">
        <f t="shared" ref="C33:N33" si="0">B33+1</f>
        <v>2</v>
      </c>
      <c r="D33" s="1">
        <f t="shared" si="0"/>
        <v>3</v>
      </c>
      <c r="E33" s="1">
        <f t="shared" si="0"/>
        <v>4</v>
      </c>
      <c r="F33" s="1">
        <f t="shared" si="0"/>
        <v>5</v>
      </c>
      <c r="G33" s="1">
        <f t="shared" si="0"/>
        <v>6</v>
      </c>
      <c r="H33" s="1">
        <f t="shared" si="0"/>
        <v>7</v>
      </c>
      <c r="I33" s="1">
        <f t="shared" si="0"/>
        <v>8</v>
      </c>
      <c r="J33" s="1">
        <f t="shared" si="0"/>
        <v>9</v>
      </c>
      <c r="K33" s="1">
        <f t="shared" si="0"/>
        <v>10</v>
      </c>
      <c r="L33" s="1">
        <f t="shared" si="0"/>
        <v>11</v>
      </c>
      <c r="M33" s="1">
        <f t="shared" si="0"/>
        <v>12</v>
      </c>
      <c r="N33" s="109">
        <f t="shared" si="0"/>
        <v>13</v>
      </c>
      <c r="R33" t="s">
        <v>322</v>
      </c>
      <c r="S33">
        <v>8</v>
      </c>
    </row>
    <row r="34" spans="1:19" x14ac:dyDescent="0.15">
      <c r="A34" s="29"/>
      <c r="B34" s="6" t="e">
        <f t="shared" ref="B34:N34" si="1">DAVERAGE(RatioData,"Ratio",B32:B33)</f>
        <v>#DIV/0!</v>
      </c>
      <c r="C34" s="6" t="e">
        <f t="shared" si="1"/>
        <v>#DIV/0!</v>
      </c>
      <c r="D34" s="6" t="e">
        <f t="shared" si="1"/>
        <v>#DIV/0!</v>
      </c>
      <c r="E34" s="6" t="e">
        <f t="shared" si="1"/>
        <v>#DIV/0!</v>
      </c>
      <c r="F34" s="6">
        <f t="shared" si="1"/>
        <v>0.98117350036438478</v>
      </c>
      <c r="G34" s="6">
        <f t="shared" si="1"/>
        <v>0.97371897894520854</v>
      </c>
      <c r="H34" s="6">
        <f t="shared" si="1"/>
        <v>0.98641548587868344</v>
      </c>
      <c r="I34" s="6">
        <f t="shared" si="1"/>
        <v>0.96610189189193552</v>
      </c>
      <c r="J34" s="6">
        <f t="shared" si="1"/>
        <v>0.97729187899803593</v>
      </c>
      <c r="K34" s="6">
        <f t="shared" si="1"/>
        <v>0.98387807572263419</v>
      </c>
      <c r="L34" s="6">
        <f t="shared" si="1"/>
        <v>0.96823203409032577</v>
      </c>
      <c r="M34" s="6">
        <f t="shared" si="1"/>
        <v>0.99108564771750152</v>
      </c>
      <c r="N34" s="110" t="e">
        <f t="shared" si="1"/>
        <v>#DIV/0!</v>
      </c>
      <c r="R34" t="s">
        <v>323</v>
      </c>
      <c r="S34">
        <v>8</v>
      </c>
    </row>
    <row r="35" spans="1:19" x14ac:dyDescent="0.15">
      <c r="A35" s="29"/>
      <c r="B35" s="158" t="e">
        <f t="shared" ref="B35:N35" si="2">DSTDEV(RatioData,"Ratio",B32:B33)/B34</f>
        <v>#DIV/0!</v>
      </c>
      <c r="C35" s="158" t="e">
        <f t="shared" si="2"/>
        <v>#DIV/0!</v>
      </c>
      <c r="D35" s="158" t="e">
        <f t="shared" si="2"/>
        <v>#DIV/0!</v>
      </c>
      <c r="E35" s="158" t="e">
        <f t="shared" si="2"/>
        <v>#DIV/0!</v>
      </c>
      <c r="F35" s="158">
        <f t="shared" si="2"/>
        <v>1.7381290166058815E-3</v>
      </c>
      <c r="G35" s="158">
        <f t="shared" si="2"/>
        <v>3.667385488049034E-4</v>
      </c>
      <c r="H35" s="158">
        <f t="shared" si="2"/>
        <v>7.7256985360002581E-4</v>
      </c>
      <c r="I35" s="158">
        <f t="shared" si="2"/>
        <v>1.7259063191337491E-3</v>
      </c>
      <c r="J35" s="158">
        <f t="shared" si="2"/>
        <v>6.0724205500549432E-4</v>
      </c>
      <c r="K35" s="158">
        <f t="shared" si="2"/>
        <v>1.077550915788814E-3</v>
      </c>
      <c r="L35" s="158">
        <f t="shared" si="2"/>
        <v>1.0429216039311725E-3</v>
      </c>
      <c r="M35" s="158">
        <f t="shared" si="2"/>
        <v>4.4389271499985098E-3</v>
      </c>
      <c r="N35" s="159" t="e">
        <f t="shared" si="2"/>
        <v>#DIV/0!</v>
      </c>
      <c r="R35" t="s">
        <v>324</v>
      </c>
      <c r="S35">
        <v>8</v>
      </c>
    </row>
    <row r="36" spans="1:19" x14ac:dyDescent="0.15">
      <c r="A36" s="29"/>
      <c r="B36" s="6" t="str">
        <f t="shared" ref="B36:N36" si="3">IF(ISNUMBER(B34),B34,"")</f>
        <v/>
      </c>
      <c r="C36" s="6" t="str">
        <f t="shared" si="3"/>
        <v/>
      </c>
      <c r="D36" s="6" t="str">
        <f t="shared" si="3"/>
        <v/>
      </c>
      <c r="E36" s="6" t="str">
        <f t="shared" si="3"/>
        <v/>
      </c>
      <c r="F36" s="6">
        <f t="shared" si="3"/>
        <v>0.98117350036438478</v>
      </c>
      <c r="G36" s="6">
        <f t="shared" si="3"/>
        <v>0.97371897894520854</v>
      </c>
      <c r="H36" s="6">
        <f t="shared" si="3"/>
        <v>0.98641548587868344</v>
      </c>
      <c r="I36" s="6">
        <f t="shared" si="3"/>
        <v>0.96610189189193552</v>
      </c>
      <c r="J36" s="6">
        <f t="shared" si="3"/>
        <v>0.97729187899803593</v>
      </c>
      <c r="K36" s="6">
        <f t="shared" si="3"/>
        <v>0.98387807572263419</v>
      </c>
      <c r="L36" s="6">
        <f t="shared" si="3"/>
        <v>0.96823203409032577</v>
      </c>
      <c r="M36" s="6">
        <f t="shared" si="3"/>
        <v>0.99108564771750152</v>
      </c>
      <c r="N36" s="110" t="str">
        <f t="shared" si="3"/>
        <v/>
      </c>
      <c r="R36" t="s">
        <v>325</v>
      </c>
      <c r="S36">
        <v>8</v>
      </c>
    </row>
    <row r="37" spans="1:19" x14ac:dyDescent="0.15">
      <c r="A37" s="29"/>
      <c r="B37" s="1"/>
      <c r="G37" s="1"/>
      <c r="N37" s="27"/>
      <c r="R37" t="s">
        <v>326</v>
      </c>
      <c r="S37">
        <v>8</v>
      </c>
    </row>
    <row r="38" spans="1:19" x14ac:dyDescent="0.15">
      <c r="A38" s="29"/>
      <c r="B38" s="1" t="s">
        <v>96</v>
      </c>
      <c r="C38" s="1" t="s">
        <v>96</v>
      </c>
      <c r="D38" s="1" t="s">
        <v>96</v>
      </c>
      <c r="E38" s="1" t="s">
        <v>96</v>
      </c>
      <c r="F38" s="1" t="s">
        <v>96</v>
      </c>
      <c r="G38" s="1" t="s">
        <v>96</v>
      </c>
      <c r="H38" s="1" t="s">
        <v>96</v>
      </c>
      <c r="I38" s="1" t="s">
        <v>96</v>
      </c>
      <c r="J38" s="1" t="s">
        <v>96</v>
      </c>
      <c r="K38" s="1" t="s">
        <v>96</v>
      </c>
      <c r="L38" s="1" t="s">
        <v>96</v>
      </c>
      <c r="M38" s="1" t="s">
        <v>96</v>
      </c>
      <c r="N38" s="109" t="s">
        <v>96</v>
      </c>
      <c r="R38" t="s">
        <v>327</v>
      </c>
      <c r="S38">
        <v>8</v>
      </c>
    </row>
    <row r="39" spans="1:19" x14ac:dyDescent="0.15">
      <c r="A39" s="29"/>
      <c r="B39" s="1">
        <v>14</v>
      </c>
      <c r="C39" s="1">
        <f t="shared" ref="C39:N39" si="4">B39+1</f>
        <v>15</v>
      </c>
      <c r="D39" s="1">
        <f t="shared" si="4"/>
        <v>16</v>
      </c>
      <c r="E39" s="1">
        <f t="shared" si="4"/>
        <v>17</v>
      </c>
      <c r="F39" s="1">
        <f t="shared" si="4"/>
        <v>18</v>
      </c>
      <c r="G39" s="1">
        <f t="shared" si="4"/>
        <v>19</v>
      </c>
      <c r="H39" s="1">
        <f t="shared" si="4"/>
        <v>20</v>
      </c>
      <c r="I39" s="1">
        <f t="shared" si="4"/>
        <v>21</v>
      </c>
      <c r="J39" s="1">
        <f t="shared" si="4"/>
        <v>22</v>
      </c>
      <c r="K39" s="1">
        <f t="shared" si="4"/>
        <v>23</v>
      </c>
      <c r="L39" s="1">
        <f t="shared" si="4"/>
        <v>24</v>
      </c>
      <c r="M39" s="1">
        <f t="shared" si="4"/>
        <v>25</v>
      </c>
      <c r="N39" s="109">
        <f t="shared" si="4"/>
        <v>26</v>
      </c>
      <c r="R39" t="s">
        <v>328</v>
      </c>
      <c r="S39">
        <v>8</v>
      </c>
    </row>
    <row r="40" spans="1:19" x14ac:dyDescent="0.15">
      <c r="A40" s="29"/>
      <c r="B40" s="6">
        <f t="shared" ref="B40:N40" si="5">DAVERAGE(RatioData,"Ratio",B38:B39)</f>
        <v>0.98099175235176062</v>
      </c>
      <c r="C40" s="6">
        <f t="shared" si="5"/>
        <v>0.97626829425568706</v>
      </c>
      <c r="D40" s="6">
        <f t="shared" si="5"/>
        <v>0.9812987719491203</v>
      </c>
      <c r="E40" s="6">
        <f t="shared" si="5"/>
        <v>0.97746146150784619</v>
      </c>
      <c r="F40" s="6">
        <f t="shared" si="5"/>
        <v>0.9828030957791517</v>
      </c>
      <c r="G40" s="6">
        <f t="shared" si="5"/>
        <v>0.98700031988212533</v>
      </c>
      <c r="H40" s="6">
        <f t="shared" si="5"/>
        <v>0.9803846279960251</v>
      </c>
      <c r="I40" s="6">
        <f t="shared" si="5"/>
        <v>0.98702944063712972</v>
      </c>
      <c r="J40" s="6">
        <f t="shared" si="5"/>
        <v>0.98886037520484305</v>
      </c>
      <c r="K40" s="6">
        <f t="shared" si="5"/>
        <v>0.98860728464587988</v>
      </c>
      <c r="L40" s="6">
        <f t="shared" si="5"/>
        <v>0.97473058753570729</v>
      </c>
      <c r="M40" s="6">
        <f t="shared" si="5"/>
        <v>0.98201050051593408</v>
      </c>
      <c r="N40" s="110">
        <f t="shared" si="5"/>
        <v>0.98639559595218385</v>
      </c>
      <c r="R40" t="s">
        <v>329</v>
      </c>
      <c r="S40">
        <v>8</v>
      </c>
    </row>
    <row r="41" spans="1:19" x14ac:dyDescent="0.15">
      <c r="A41" s="29"/>
      <c r="B41" s="158">
        <f t="shared" ref="B41:N41" si="6">DSTDEV(RatioData,"Ratio",B38:B39)/B40</f>
        <v>2.237635668200916E-3</v>
      </c>
      <c r="C41" s="158">
        <f t="shared" si="6"/>
        <v>4.1910063512486519E-4</v>
      </c>
      <c r="D41" s="158">
        <f t="shared" si="6"/>
        <v>7.1479984739913514E-4</v>
      </c>
      <c r="E41" s="158">
        <f t="shared" si="6"/>
        <v>5.8120418036916761E-4</v>
      </c>
      <c r="F41" s="158">
        <f t="shared" si="6"/>
        <v>1.2548234768785433E-3</v>
      </c>
      <c r="G41" s="158">
        <f t="shared" si="6"/>
        <v>5.3777772626748465E-4</v>
      </c>
      <c r="H41" s="158">
        <f t="shared" si="6"/>
        <v>2.1261435660559708E-3</v>
      </c>
      <c r="I41" s="158">
        <f t="shared" si="6"/>
        <v>1.9347786467705684E-3</v>
      </c>
      <c r="J41" s="158">
        <f t="shared" si="6"/>
        <v>6.3642767476504393E-4</v>
      </c>
      <c r="K41" s="158">
        <f t="shared" si="6"/>
        <v>1.9066135679149019E-3</v>
      </c>
      <c r="L41" s="158">
        <f t="shared" si="6"/>
        <v>9.2999573362390487E-4</v>
      </c>
      <c r="M41" s="158">
        <f t="shared" si="6"/>
        <v>8.6337780695075028E-4</v>
      </c>
      <c r="N41" s="159">
        <f t="shared" si="6"/>
        <v>9.2776433568832965E-4</v>
      </c>
      <c r="R41" t="s">
        <v>330</v>
      </c>
      <c r="S41">
        <v>8</v>
      </c>
    </row>
    <row r="42" spans="1:19" x14ac:dyDescent="0.15">
      <c r="A42" s="29"/>
      <c r="B42" s="6">
        <f t="shared" ref="B42:N42" si="7">IF(ISNUMBER(B40),B40,"")</f>
        <v>0.98099175235176062</v>
      </c>
      <c r="C42" s="6">
        <f t="shared" si="7"/>
        <v>0.97626829425568706</v>
      </c>
      <c r="D42" s="6">
        <f t="shared" si="7"/>
        <v>0.9812987719491203</v>
      </c>
      <c r="E42" s="6">
        <f t="shared" si="7"/>
        <v>0.97746146150784619</v>
      </c>
      <c r="F42" s="6">
        <f t="shared" si="7"/>
        <v>0.9828030957791517</v>
      </c>
      <c r="G42" s="6">
        <f t="shared" si="7"/>
        <v>0.98700031988212533</v>
      </c>
      <c r="H42" s="6">
        <f t="shared" si="7"/>
        <v>0.9803846279960251</v>
      </c>
      <c r="I42" s="6">
        <f t="shared" si="7"/>
        <v>0.98702944063712972</v>
      </c>
      <c r="J42" s="6">
        <f t="shared" si="7"/>
        <v>0.98886037520484305</v>
      </c>
      <c r="K42" s="6">
        <f t="shared" si="7"/>
        <v>0.98860728464587988</v>
      </c>
      <c r="L42" s="6">
        <f t="shared" si="7"/>
        <v>0.97473058753570729</v>
      </c>
      <c r="M42" s="6">
        <f t="shared" si="7"/>
        <v>0.98201050051593408</v>
      </c>
      <c r="N42" s="110">
        <f t="shared" si="7"/>
        <v>0.98639559595218385</v>
      </c>
      <c r="R42" t="s">
        <v>331</v>
      </c>
      <c r="S42">
        <v>8</v>
      </c>
    </row>
    <row r="43" spans="1:19" x14ac:dyDescent="0.15">
      <c r="A43" s="29"/>
      <c r="B43" s="1"/>
      <c r="G43" s="1"/>
      <c r="N43" s="27"/>
      <c r="R43" t="s">
        <v>332</v>
      </c>
      <c r="S43">
        <v>8</v>
      </c>
    </row>
    <row r="44" spans="1:19" x14ac:dyDescent="0.15">
      <c r="A44" s="29"/>
      <c r="B44" s="1" t="s">
        <v>96</v>
      </c>
      <c r="C44" s="1" t="s">
        <v>96</v>
      </c>
      <c r="D44" s="1" t="s">
        <v>96</v>
      </c>
      <c r="E44" s="1" t="s">
        <v>96</v>
      </c>
      <c r="F44" s="1" t="s">
        <v>96</v>
      </c>
      <c r="G44" s="1" t="s">
        <v>96</v>
      </c>
      <c r="H44" s="1" t="s">
        <v>96</v>
      </c>
      <c r="I44" s="1" t="s">
        <v>96</v>
      </c>
      <c r="J44" s="1" t="s">
        <v>96</v>
      </c>
      <c r="K44" s="1" t="s">
        <v>96</v>
      </c>
      <c r="L44" s="1" t="s">
        <v>96</v>
      </c>
      <c r="M44" s="1" t="s">
        <v>96</v>
      </c>
      <c r="N44" s="109" t="s">
        <v>96</v>
      </c>
      <c r="R44" t="s">
        <v>333</v>
      </c>
      <c r="S44">
        <v>8</v>
      </c>
    </row>
    <row r="45" spans="1:19" x14ac:dyDescent="0.15">
      <c r="A45" s="29"/>
      <c r="B45" s="1">
        <v>27</v>
      </c>
      <c r="C45" s="1">
        <f t="shared" ref="C45:N45" si="8">B45+1</f>
        <v>28</v>
      </c>
      <c r="D45" s="1">
        <f t="shared" si="8"/>
        <v>29</v>
      </c>
      <c r="E45" s="1">
        <f t="shared" si="8"/>
        <v>30</v>
      </c>
      <c r="F45" s="1">
        <f t="shared" si="8"/>
        <v>31</v>
      </c>
      <c r="G45" s="1">
        <f t="shared" si="8"/>
        <v>32</v>
      </c>
      <c r="H45" s="1">
        <f t="shared" si="8"/>
        <v>33</v>
      </c>
      <c r="I45" s="1">
        <f t="shared" si="8"/>
        <v>34</v>
      </c>
      <c r="J45" s="1">
        <f t="shared" si="8"/>
        <v>35</v>
      </c>
      <c r="K45" s="1">
        <f t="shared" si="8"/>
        <v>36</v>
      </c>
      <c r="L45" s="1">
        <f t="shared" si="8"/>
        <v>37</v>
      </c>
      <c r="M45" s="1">
        <f t="shared" si="8"/>
        <v>38</v>
      </c>
      <c r="N45" s="109">
        <f t="shared" si="8"/>
        <v>39</v>
      </c>
      <c r="R45" t="s">
        <v>334</v>
      </c>
      <c r="S45">
        <v>8</v>
      </c>
    </row>
    <row r="46" spans="1:19" x14ac:dyDescent="0.15">
      <c r="A46" s="29"/>
      <c r="B46" s="6">
        <f t="shared" ref="B46:N46" si="9">DAVERAGE(RatioData,"Ratio",B44:B45)</f>
        <v>0.98187434653058381</v>
      </c>
      <c r="C46" s="6">
        <f t="shared" si="9"/>
        <v>0.98558308760336422</v>
      </c>
      <c r="D46" s="6">
        <f t="shared" si="9"/>
        <v>0.98347656516375948</v>
      </c>
      <c r="E46" s="6">
        <f t="shared" si="9"/>
        <v>0.98369778446024236</v>
      </c>
      <c r="F46" s="6">
        <f t="shared" si="9"/>
        <v>0.9783611205411149</v>
      </c>
      <c r="G46" s="6">
        <f t="shared" si="9"/>
        <v>0.98285192100052887</v>
      </c>
      <c r="H46" s="6">
        <f t="shared" si="9"/>
        <v>0.97666718712767675</v>
      </c>
      <c r="I46" s="6">
        <f t="shared" si="9"/>
        <v>0.97780387916038114</v>
      </c>
      <c r="J46" s="6">
        <f t="shared" si="9"/>
        <v>0.97782590099882927</v>
      </c>
      <c r="K46" s="6">
        <f t="shared" si="9"/>
        <v>0.98204642015883903</v>
      </c>
      <c r="L46" s="6">
        <f t="shared" si="9"/>
        <v>0.97222968873184823</v>
      </c>
      <c r="M46" s="6">
        <f t="shared" si="9"/>
        <v>0.9895919148470701</v>
      </c>
      <c r="N46" s="110">
        <f t="shared" si="9"/>
        <v>0.98190548532238631</v>
      </c>
      <c r="R46" t="s">
        <v>335</v>
      </c>
      <c r="S46">
        <v>8</v>
      </c>
    </row>
    <row r="47" spans="1:19" x14ac:dyDescent="0.15">
      <c r="A47" s="29"/>
      <c r="B47" s="158">
        <f t="shared" ref="B47:N47" si="10">DSTDEV(RatioData,"Ratio",B44:B45)/B46</f>
        <v>5.5881687471590351E-4</v>
      </c>
      <c r="C47" s="158">
        <f t="shared" si="10"/>
        <v>8.8385423072236363E-4</v>
      </c>
      <c r="D47" s="158">
        <f t="shared" si="10"/>
        <v>5.3175707128653115E-4</v>
      </c>
      <c r="E47" s="158">
        <f t="shared" si="10"/>
        <v>1.0582636356365762E-3</v>
      </c>
      <c r="F47" s="158">
        <f t="shared" si="10"/>
        <v>8.2085710281822597E-4</v>
      </c>
      <c r="G47" s="158">
        <f t="shared" si="10"/>
        <v>8.5707605647485118E-4</v>
      </c>
      <c r="H47" s="158">
        <f t="shared" si="10"/>
        <v>1.0929071882836978E-3</v>
      </c>
      <c r="I47" s="158">
        <f t="shared" si="10"/>
        <v>1.8004551094759689E-3</v>
      </c>
      <c r="J47" s="158">
        <f t="shared" si="10"/>
        <v>8.1253777051373084E-4</v>
      </c>
      <c r="K47" s="158">
        <f t="shared" si="10"/>
        <v>1.055795291931579E-3</v>
      </c>
      <c r="L47" s="158">
        <f t="shared" si="10"/>
        <v>8.4289358955679644E-4</v>
      </c>
      <c r="M47" s="158">
        <f t="shared" si="10"/>
        <v>6.7431109207276264E-4</v>
      </c>
      <c r="N47" s="159">
        <f t="shared" si="10"/>
        <v>7.7100779414621394E-4</v>
      </c>
      <c r="R47" t="s">
        <v>336</v>
      </c>
      <c r="S47">
        <v>8</v>
      </c>
    </row>
    <row r="48" spans="1:19" x14ac:dyDescent="0.15">
      <c r="A48" s="29"/>
      <c r="B48" s="6">
        <f t="shared" ref="B48:N48" si="11">IF(ISNUMBER(B46),B46,"")</f>
        <v>0.98187434653058381</v>
      </c>
      <c r="C48" s="6">
        <f t="shared" si="11"/>
        <v>0.98558308760336422</v>
      </c>
      <c r="D48" s="6">
        <f t="shared" si="11"/>
        <v>0.98347656516375948</v>
      </c>
      <c r="E48" s="6">
        <f t="shared" si="11"/>
        <v>0.98369778446024236</v>
      </c>
      <c r="F48" s="6">
        <f t="shared" si="11"/>
        <v>0.9783611205411149</v>
      </c>
      <c r="G48" s="6">
        <f t="shared" si="11"/>
        <v>0.98285192100052887</v>
      </c>
      <c r="H48" s="6">
        <f t="shared" si="11"/>
        <v>0.97666718712767675</v>
      </c>
      <c r="I48" s="6">
        <f t="shared" si="11"/>
        <v>0.97780387916038114</v>
      </c>
      <c r="J48" s="6">
        <f t="shared" si="11"/>
        <v>0.97782590099882927</v>
      </c>
      <c r="K48" s="6">
        <f t="shared" si="11"/>
        <v>0.98204642015883903</v>
      </c>
      <c r="L48" s="6">
        <f t="shared" si="11"/>
        <v>0.97222968873184823</v>
      </c>
      <c r="M48" s="6">
        <f t="shared" si="11"/>
        <v>0.9895919148470701</v>
      </c>
      <c r="N48" s="110">
        <f t="shared" si="11"/>
        <v>0.98190548532238631</v>
      </c>
      <c r="R48" t="s">
        <v>337</v>
      </c>
      <c r="S48">
        <v>8</v>
      </c>
    </row>
    <row r="49" spans="1:19" x14ac:dyDescent="0.15">
      <c r="A49" s="29"/>
      <c r="B49" s="1"/>
      <c r="G49" s="1"/>
      <c r="N49" s="27"/>
      <c r="R49" t="s">
        <v>338</v>
      </c>
      <c r="S49">
        <v>8</v>
      </c>
    </row>
    <row r="50" spans="1:19" x14ac:dyDescent="0.15">
      <c r="A50" s="29"/>
      <c r="B50" s="1" t="s">
        <v>96</v>
      </c>
      <c r="C50" s="1" t="s">
        <v>96</v>
      </c>
      <c r="D50" s="1" t="s">
        <v>96</v>
      </c>
      <c r="E50" s="1" t="s">
        <v>96</v>
      </c>
      <c r="F50" s="1" t="s">
        <v>96</v>
      </c>
      <c r="G50" s="1" t="s">
        <v>96</v>
      </c>
      <c r="H50" s="1" t="s">
        <v>96</v>
      </c>
      <c r="I50" s="1" t="s">
        <v>96</v>
      </c>
      <c r="J50" s="1" t="s">
        <v>96</v>
      </c>
      <c r="K50" s="1" t="s">
        <v>96</v>
      </c>
      <c r="L50" s="1" t="s">
        <v>96</v>
      </c>
      <c r="M50" s="1" t="s">
        <v>96</v>
      </c>
      <c r="N50" s="109" t="s">
        <v>96</v>
      </c>
      <c r="R50" t="s">
        <v>339</v>
      </c>
      <c r="S50">
        <v>8</v>
      </c>
    </row>
    <row r="51" spans="1:19" x14ac:dyDescent="0.15">
      <c r="A51" s="29"/>
      <c r="B51" s="1">
        <v>40</v>
      </c>
      <c r="C51" s="1">
        <f t="shared" ref="C51:N51" si="12">B51+1</f>
        <v>41</v>
      </c>
      <c r="D51" s="1">
        <f t="shared" si="12"/>
        <v>42</v>
      </c>
      <c r="E51" s="1">
        <f t="shared" si="12"/>
        <v>43</v>
      </c>
      <c r="F51" s="1">
        <f t="shared" si="12"/>
        <v>44</v>
      </c>
      <c r="G51" s="1">
        <f t="shared" si="12"/>
        <v>45</v>
      </c>
      <c r="H51" s="1">
        <f t="shared" si="12"/>
        <v>46</v>
      </c>
      <c r="I51" s="1">
        <f t="shared" si="12"/>
        <v>47</v>
      </c>
      <c r="J51" s="1">
        <f t="shared" si="12"/>
        <v>48</v>
      </c>
      <c r="K51" s="1">
        <f t="shared" si="12"/>
        <v>49</v>
      </c>
      <c r="L51" s="1">
        <f t="shared" si="12"/>
        <v>50</v>
      </c>
      <c r="M51" s="1">
        <f t="shared" si="12"/>
        <v>51</v>
      </c>
      <c r="N51" s="109">
        <f t="shared" si="12"/>
        <v>52</v>
      </c>
      <c r="R51" t="s">
        <v>340</v>
      </c>
      <c r="S51">
        <v>8</v>
      </c>
    </row>
    <row r="52" spans="1:19" x14ac:dyDescent="0.15">
      <c r="A52" s="29"/>
      <c r="B52" s="6">
        <f t="shared" ref="B52:N52" si="13">DAVERAGE(RatioData,"Ratio",B50:B51)</f>
        <v>0.98497889025251917</v>
      </c>
      <c r="C52" s="6">
        <f t="shared" si="13"/>
        <v>0.98493049581134207</v>
      </c>
      <c r="D52" s="6">
        <f t="shared" si="13"/>
        <v>0.98046954310069268</v>
      </c>
      <c r="E52" s="6">
        <f t="shared" si="13"/>
        <v>0.98028733929231304</v>
      </c>
      <c r="F52" s="6">
        <f t="shared" si="13"/>
        <v>0.9712544647437058</v>
      </c>
      <c r="G52" s="6">
        <f t="shared" si="13"/>
        <v>0.98408849589162917</v>
      </c>
      <c r="H52" s="6">
        <f t="shared" si="13"/>
        <v>0.96789479571669812</v>
      </c>
      <c r="I52" s="6">
        <f t="shared" si="13"/>
        <v>0.98541504935105395</v>
      </c>
      <c r="J52" s="6">
        <f t="shared" si="13"/>
        <v>0.98746340370838548</v>
      </c>
      <c r="K52" s="6">
        <f t="shared" si="13"/>
        <v>0.97345883609908135</v>
      </c>
      <c r="L52" s="6">
        <f t="shared" si="13"/>
        <v>0.98420487714386129</v>
      </c>
      <c r="M52" s="6">
        <f t="shared" si="13"/>
        <v>0.98263969942493179</v>
      </c>
      <c r="N52" s="110">
        <f t="shared" si="13"/>
        <v>0.97750204955011344</v>
      </c>
      <c r="R52" t="s">
        <v>341</v>
      </c>
      <c r="S52">
        <v>8</v>
      </c>
    </row>
    <row r="53" spans="1:19" x14ac:dyDescent="0.15">
      <c r="A53" s="29"/>
      <c r="B53" s="158">
        <f t="shared" ref="B53:N53" si="14">DSTDEV(RatioData,"Ratio",B50:B51)/B52</f>
        <v>5.7184691450672977E-4</v>
      </c>
      <c r="C53" s="158">
        <f t="shared" si="14"/>
        <v>3.2010630142636695E-4</v>
      </c>
      <c r="D53" s="158">
        <f t="shared" si="14"/>
        <v>2.6877728244876367E-3</v>
      </c>
      <c r="E53" s="158">
        <f t="shared" si="14"/>
        <v>8.5416254367021473E-3</v>
      </c>
      <c r="F53" s="158">
        <f t="shared" si="14"/>
        <v>1.4133696696410328E-3</v>
      </c>
      <c r="G53" s="158">
        <f t="shared" si="14"/>
        <v>5.8730725946043254E-4</v>
      </c>
      <c r="H53" s="158">
        <f t="shared" si="14"/>
        <v>1.2063338710422359E-3</v>
      </c>
      <c r="I53" s="158">
        <f t="shared" si="14"/>
        <v>3.8700005019487193E-3</v>
      </c>
      <c r="J53" s="158">
        <f t="shared" si="14"/>
        <v>1.1489332609828712E-3</v>
      </c>
      <c r="K53" s="158">
        <f t="shared" si="14"/>
        <v>6.4437953397424106E-4</v>
      </c>
      <c r="L53" s="158">
        <f t="shared" si="14"/>
        <v>1.1617102807349262E-3</v>
      </c>
      <c r="M53" s="158">
        <f t="shared" si="14"/>
        <v>9.0558548757893988E-4</v>
      </c>
      <c r="N53" s="159">
        <f t="shared" si="14"/>
        <v>5.3114031187164023E-3</v>
      </c>
      <c r="R53" t="s">
        <v>342</v>
      </c>
      <c r="S53">
        <v>8</v>
      </c>
    </row>
    <row r="54" spans="1:19" x14ac:dyDescent="0.15">
      <c r="A54" s="29"/>
      <c r="B54" s="6">
        <f t="shared" ref="B54:N54" si="15">IF(ISNUMBER(B52),B52,"")</f>
        <v>0.98497889025251917</v>
      </c>
      <c r="C54" s="6">
        <f t="shared" si="15"/>
        <v>0.98493049581134207</v>
      </c>
      <c r="D54" s="6">
        <f t="shared" si="15"/>
        <v>0.98046954310069268</v>
      </c>
      <c r="E54" s="6">
        <f t="shared" si="15"/>
        <v>0.98028733929231304</v>
      </c>
      <c r="F54" s="6">
        <f t="shared" si="15"/>
        <v>0.9712544647437058</v>
      </c>
      <c r="G54" s="6">
        <f t="shared" si="15"/>
        <v>0.98408849589162917</v>
      </c>
      <c r="H54" s="6">
        <f t="shared" si="15"/>
        <v>0.96789479571669812</v>
      </c>
      <c r="I54" s="6">
        <f t="shared" si="15"/>
        <v>0.98541504935105395</v>
      </c>
      <c r="J54" s="6">
        <f t="shared" si="15"/>
        <v>0.98746340370838548</v>
      </c>
      <c r="K54" s="6">
        <f t="shared" si="15"/>
        <v>0.97345883609908135</v>
      </c>
      <c r="L54" s="6">
        <f t="shared" si="15"/>
        <v>0.98420487714386129</v>
      </c>
      <c r="M54" s="6">
        <f t="shared" si="15"/>
        <v>0.98263969942493179</v>
      </c>
      <c r="N54" s="110">
        <f t="shared" si="15"/>
        <v>0.97750204955011344</v>
      </c>
      <c r="R54" t="s">
        <v>343</v>
      </c>
      <c r="S54">
        <v>8</v>
      </c>
    </row>
    <row r="55" spans="1:19" x14ac:dyDescent="0.15">
      <c r="A55" s="29"/>
      <c r="G55" s="1"/>
      <c r="N55" s="27"/>
      <c r="R55" t="s">
        <v>344</v>
      </c>
      <c r="S55">
        <v>8</v>
      </c>
    </row>
    <row r="56" spans="1:19" x14ac:dyDescent="0.15">
      <c r="A56" s="29"/>
      <c r="B56" s="1" t="s">
        <v>96</v>
      </c>
      <c r="C56" s="1" t="s">
        <v>96</v>
      </c>
      <c r="D56" s="1" t="s">
        <v>96</v>
      </c>
      <c r="E56" s="1" t="s">
        <v>96</v>
      </c>
      <c r="F56" s="1" t="s">
        <v>96</v>
      </c>
      <c r="G56" s="1" t="s">
        <v>96</v>
      </c>
      <c r="H56" s="1" t="s">
        <v>96</v>
      </c>
      <c r="I56" s="1" t="s">
        <v>96</v>
      </c>
      <c r="J56" s="1" t="s">
        <v>96</v>
      </c>
      <c r="K56" s="1" t="s">
        <v>96</v>
      </c>
      <c r="L56" s="1" t="s">
        <v>96</v>
      </c>
      <c r="M56" s="1" t="s">
        <v>96</v>
      </c>
      <c r="N56" s="109" t="s">
        <v>96</v>
      </c>
      <c r="R56" t="s">
        <v>345</v>
      </c>
      <c r="S56">
        <v>8</v>
      </c>
    </row>
    <row r="57" spans="1:19" x14ac:dyDescent="0.15">
      <c r="A57" s="29"/>
      <c r="B57" s="1">
        <v>53</v>
      </c>
      <c r="C57" s="1">
        <f t="shared" ref="C57:N57" si="16">B57+1</f>
        <v>54</v>
      </c>
      <c r="D57" s="1">
        <f t="shared" si="16"/>
        <v>55</v>
      </c>
      <c r="E57" s="1">
        <f t="shared" si="16"/>
        <v>56</v>
      </c>
      <c r="F57" s="1">
        <f t="shared" si="16"/>
        <v>57</v>
      </c>
      <c r="G57" s="1">
        <f t="shared" si="16"/>
        <v>58</v>
      </c>
      <c r="H57" s="1">
        <f t="shared" si="16"/>
        <v>59</v>
      </c>
      <c r="I57" s="1">
        <f t="shared" si="16"/>
        <v>60</v>
      </c>
      <c r="J57" s="1">
        <f t="shared" si="16"/>
        <v>61</v>
      </c>
      <c r="K57" s="1">
        <f t="shared" si="16"/>
        <v>62</v>
      </c>
      <c r="L57" s="1">
        <f t="shared" si="16"/>
        <v>63</v>
      </c>
      <c r="M57" s="1">
        <f t="shared" si="16"/>
        <v>64</v>
      </c>
      <c r="N57" s="109">
        <f t="shared" si="16"/>
        <v>65</v>
      </c>
      <c r="R57" t="s">
        <v>346</v>
      </c>
      <c r="S57">
        <v>8</v>
      </c>
    </row>
    <row r="58" spans="1:19" x14ac:dyDescent="0.15">
      <c r="A58" s="29"/>
      <c r="B58" s="6">
        <f t="shared" ref="B58:N58" si="17">DAVERAGE(RatioData,"Ratio",B56:B57)</f>
        <v>0.98131224806504713</v>
      </c>
      <c r="C58" s="6">
        <f t="shared" si="17"/>
        <v>0.98418509180050884</v>
      </c>
      <c r="D58" s="6">
        <f t="shared" si="17"/>
        <v>0.97998448635729407</v>
      </c>
      <c r="E58" s="6">
        <f t="shared" si="17"/>
        <v>0.98643399029513112</v>
      </c>
      <c r="F58" s="6">
        <f t="shared" si="17"/>
        <v>0.98740701438846723</v>
      </c>
      <c r="G58" s="6">
        <f t="shared" si="17"/>
        <v>0.97570001101604376</v>
      </c>
      <c r="H58" s="6">
        <f t="shared" si="17"/>
        <v>0.99061093092220132</v>
      </c>
      <c r="I58" s="6">
        <f t="shared" si="17"/>
        <v>0.96098842448174582</v>
      </c>
      <c r="J58" s="6">
        <f t="shared" si="17"/>
        <v>0.98006241382469739</v>
      </c>
      <c r="K58" s="6">
        <f t="shared" si="17"/>
        <v>0.97368199281690238</v>
      </c>
      <c r="L58" s="6">
        <f t="shared" si="17"/>
        <v>0.97313014138709208</v>
      </c>
      <c r="M58" s="6">
        <f t="shared" si="17"/>
        <v>0.98054522599471783</v>
      </c>
      <c r="N58" s="110" t="e">
        <f t="shared" si="17"/>
        <v>#DIV/0!</v>
      </c>
      <c r="R58" t="s">
        <v>347</v>
      </c>
      <c r="S58">
        <v>8</v>
      </c>
    </row>
    <row r="59" spans="1:19" x14ac:dyDescent="0.15">
      <c r="A59" s="29"/>
      <c r="B59" s="158">
        <f t="shared" ref="B59:N59" si="18">DSTDEV(RatioData,"Ratio",B56:B57)/B58</f>
        <v>1.169477422348765E-3</v>
      </c>
      <c r="C59" s="158">
        <f t="shared" si="18"/>
        <v>1.6427595485953253E-3</v>
      </c>
      <c r="D59" s="158">
        <f t="shared" si="18"/>
        <v>8.0877630787376997E-4</v>
      </c>
      <c r="E59" s="158">
        <f t="shared" si="18"/>
        <v>9.8069601481841481E-4</v>
      </c>
      <c r="F59" s="158">
        <f t="shared" si="18"/>
        <v>6.4901354107423949E-4</v>
      </c>
      <c r="G59" s="158">
        <f t="shared" si="18"/>
        <v>5.8171226909823227E-4</v>
      </c>
      <c r="H59" s="158">
        <f t="shared" si="18"/>
        <v>7.436551307209618E-4</v>
      </c>
      <c r="I59" s="158">
        <f t="shared" si="18"/>
        <v>1.1022675867452007E-3</v>
      </c>
      <c r="J59" s="158">
        <f t="shared" si="18"/>
        <v>5.8744547538321838E-4</v>
      </c>
      <c r="K59" s="158">
        <f t="shared" si="18"/>
        <v>8.4852104024774012E-4</v>
      </c>
      <c r="L59" s="158">
        <f t="shared" si="18"/>
        <v>8.828419720066222E-4</v>
      </c>
      <c r="M59" s="158">
        <f t="shared" si="18"/>
        <v>6.7851057199323913E-4</v>
      </c>
      <c r="N59" s="159" t="e">
        <f t="shared" si="18"/>
        <v>#DIV/0!</v>
      </c>
      <c r="R59" t="s">
        <v>348</v>
      </c>
      <c r="S59">
        <v>8</v>
      </c>
    </row>
    <row r="60" spans="1:19" x14ac:dyDescent="0.15">
      <c r="A60" s="29"/>
      <c r="B60" s="6">
        <f t="shared" ref="B60:N60" si="19">IF(ISNUMBER(B58),B58,"")</f>
        <v>0.98131224806504713</v>
      </c>
      <c r="C60" s="6">
        <f t="shared" si="19"/>
        <v>0.98418509180050884</v>
      </c>
      <c r="D60" s="6">
        <f t="shared" si="19"/>
        <v>0.97998448635729407</v>
      </c>
      <c r="E60" s="6">
        <f t="shared" si="19"/>
        <v>0.98643399029513112</v>
      </c>
      <c r="F60" s="6">
        <f t="shared" si="19"/>
        <v>0.98740701438846723</v>
      </c>
      <c r="G60" s="6">
        <f t="shared" si="19"/>
        <v>0.97570001101604376</v>
      </c>
      <c r="H60" s="6">
        <f t="shared" si="19"/>
        <v>0.99061093092220132</v>
      </c>
      <c r="I60" s="6">
        <f t="shared" si="19"/>
        <v>0.96098842448174582</v>
      </c>
      <c r="J60" s="6">
        <f t="shared" si="19"/>
        <v>0.98006241382469739</v>
      </c>
      <c r="K60" s="6">
        <f t="shared" si="19"/>
        <v>0.97368199281690238</v>
      </c>
      <c r="L60" s="6">
        <f t="shared" si="19"/>
        <v>0.97313014138709208</v>
      </c>
      <c r="M60" s="6">
        <f t="shared" si="19"/>
        <v>0.98054522599471783</v>
      </c>
      <c r="N60" s="110" t="str">
        <f t="shared" si="19"/>
        <v/>
      </c>
      <c r="R60" t="s">
        <v>349</v>
      </c>
      <c r="S60">
        <v>8</v>
      </c>
    </row>
    <row r="61" spans="1:19" x14ac:dyDescent="0.15">
      <c r="A61" s="29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110"/>
      <c r="R61" t="s">
        <v>350</v>
      </c>
      <c r="S61">
        <v>8</v>
      </c>
    </row>
    <row r="62" spans="1:19" x14ac:dyDescent="0.15">
      <c r="A62" s="29"/>
      <c r="B62" s="1" t="s">
        <v>96</v>
      </c>
      <c r="C62" s="1" t="s">
        <v>96</v>
      </c>
      <c r="D62" s="1" t="s">
        <v>96</v>
      </c>
      <c r="E62" s="1" t="s">
        <v>96</v>
      </c>
      <c r="F62" s="1" t="s">
        <v>96</v>
      </c>
      <c r="G62" s="1" t="s">
        <v>96</v>
      </c>
      <c r="H62" s="1" t="s">
        <v>96</v>
      </c>
      <c r="I62" s="1" t="s">
        <v>96</v>
      </c>
      <c r="J62" s="1" t="s">
        <v>96</v>
      </c>
      <c r="K62" s="1" t="s">
        <v>96</v>
      </c>
      <c r="L62" s="1" t="s">
        <v>96</v>
      </c>
      <c r="M62" s="1" t="s">
        <v>96</v>
      </c>
      <c r="N62" s="109" t="s">
        <v>96</v>
      </c>
    </row>
    <row r="63" spans="1:19" x14ac:dyDescent="0.15">
      <c r="A63" s="29"/>
      <c r="B63" s="1">
        <v>66</v>
      </c>
      <c r="C63" s="1">
        <f t="shared" ref="C63:N63" si="20">B63+1</f>
        <v>67</v>
      </c>
      <c r="D63" s="1">
        <f t="shared" si="20"/>
        <v>68</v>
      </c>
      <c r="E63" s="1">
        <f t="shared" si="20"/>
        <v>69</v>
      </c>
      <c r="F63" s="1">
        <f t="shared" si="20"/>
        <v>70</v>
      </c>
      <c r="G63" s="1">
        <f t="shared" si="20"/>
        <v>71</v>
      </c>
      <c r="H63" s="1">
        <f t="shared" si="20"/>
        <v>72</v>
      </c>
      <c r="I63" s="1">
        <f t="shared" si="20"/>
        <v>73</v>
      </c>
      <c r="J63" s="1">
        <f t="shared" si="20"/>
        <v>74</v>
      </c>
      <c r="K63" s="1">
        <f t="shared" si="20"/>
        <v>75</v>
      </c>
      <c r="L63" s="1">
        <f t="shared" si="20"/>
        <v>76</v>
      </c>
      <c r="M63" s="1">
        <f t="shared" si="20"/>
        <v>77</v>
      </c>
      <c r="N63" s="109">
        <f t="shared" si="20"/>
        <v>78</v>
      </c>
    </row>
    <row r="64" spans="1:19" x14ac:dyDescent="0.15">
      <c r="A64" s="29"/>
      <c r="B64" s="6" t="e">
        <f t="shared" ref="B64:N64" si="21">DAVERAGE(RatioData,"Ratio",B62:B63)</f>
        <v>#DIV/0!</v>
      </c>
      <c r="C64" s="6" t="e">
        <f t="shared" si="21"/>
        <v>#DIV/0!</v>
      </c>
      <c r="D64" s="6" t="e">
        <f t="shared" si="21"/>
        <v>#DIV/0!</v>
      </c>
      <c r="E64" s="6" t="e">
        <f t="shared" si="21"/>
        <v>#DIV/0!</v>
      </c>
      <c r="F64" s="6" t="e">
        <f t="shared" si="21"/>
        <v>#DIV/0!</v>
      </c>
      <c r="G64" s="6" t="e">
        <f t="shared" si="21"/>
        <v>#DIV/0!</v>
      </c>
      <c r="H64" s="6" t="e">
        <f t="shared" si="21"/>
        <v>#DIV/0!</v>
      </c>
      <c r="I64" s="6" t="e">
        <f t="shared" si="21"/>
        <v>#DIV/0!</v>
      </c>
      <c r="J64" s="6" t="e">
        <f t="shared" si="21"/>
        <v>#DIV/0!</v>
      </c>
      <c r="K64" s="6" t="e">
        <f t="shared" si="21"/>
        <v>#DIV/0!</v>
      </c>
      <c r="L64" s="6" t="e">
        <f t="shared" si="21"/>
        <v>#DIV/0!</v>
      </c>
      <c r="M64" s="6" t="e">
        <f t="shared" si="21"/>
        <v>#DIV/0!</v>
      </c>
      <c r="N64" s="110" t="e">
        <f t="shared" si="21"/>
        <v>#DIV/0!</v>
      </c>
    </row>
    <row r="65" spans="1:14" x14ac:dyDescent="0.15">
      <c r="A65" s="29"/>
      <c r="B65" s="158" t="e">
        <f t="shared" ref="B65:N65" si="22">DSTDEV(RatioData,"Ratio",B62:B63)/B64</f>
        <v>#DIV/0!</v>
      </c>
      <c r="C65" s="158" t="e">
        <f t="shared" si="22"/>
        <v>#DIV/0!</v>
      </c>
      <c r="D65" s="158" t="e">
        <f t="shared" si="22"/>
        <v>#DIV/0!</v>
      </c>
      <c r="E65" s="158" t="e">
        <f t="shared" si="22"/>
        <v>#DIV/0!</v>
      </c>
      <c r="F65" s="158" t="e">
        <f t="shared" si="22"/>
        <v>#DIV/0!</v>
      </c>
      <c r="G65" s="158" t="e">
        <f t="shared" si="22"/>
        <v>#DIV/0!</v>
      </c>
      <c r="H65" s="158" t="e">
        <f t="shared" si="22"/>
        <v>#DIV/0!</v>
      </c>
      <c r="I65" s="158" t="e">
        <f t="shared" si="22"/>
        <v>#DIV/0!</v>
      </c>
      <c r="J65" s="158" t="e">
        <f t="shared" si="22"/>
        <v>#DIV/0!</v>
      </c>
      <c r="K65" s="158" t="e">
        <f t="shared" si="22"/>
        <v>#DIV/0!</v>
      </c>
      <c r="L65" s="158" t="e">
        <f t="shared" si="22"/>
        <v>#DIV/0!</v>
      </c>
      <c r="M65" s="158" t="e">
        <f t="shared" si="22"/>
        <v>#DIV/0!</v>
      </c>
      <c r="N65" s="159" t="e">
        <f t="shared" si="22"/>
        <v>#DIV/0!</v>
      </c>
    </row>
    <row r="66" spans="1:14" x14ac:dyDescent="0.15">
      <c r="A66" s="29"/>
      <c r="B66" s="6" t="str">
        <f t="shared" ref="B66:N66" si="23">IF(ISNUMBER(B64),B64,"")</f>
        <v/>
      </c>
      <c r="C66" s="6" t="str">
        <f t="shared" si="23"/>
        <v/>
      </c>
      <c r="D66" s="6" t="str">
        <f t="shared" si="23"/>
        <v/>
      </c>
      <c r="E66" s="6" t="str">
        <f t="shared" si="23"/>
        <v/>
      </c>
      <c r="F66" s="6" t="str">
        <f t="shared" si="23"/>
        <v/>
      </c>
      <c r="G66" s="6" t="str">
        <f t="shared" si="23"/>
        <v/>
      </c>
      <c r="H66" s="6" t="str">
        <f t="shared" si="23"/>
        <v/>
      </c>
      <c r="I66" s="6" t="str">
        <f t="shared" si="23"/>
        <v/>
      </c>
      <c r="J66" s="6" t="str">
        <f t="shared" si="23"/>
        <v/>
      </c>
      <c r="K66" s="6" t="str">
        <f t="shared" si="23"/>
        <v/>
      </c>
      <c r="L66" s="6" t="str">
        <f t="shared" si="23"/>
        <v/>
      </c>
      <c r="M66" s="6" t="str">
        <f t="shared" si="23"/>
        <v/>
      </c>
      <c r="N66" s="110" t="str">
        <f t="shared" si="23"/>
        <v/>
      </c>
    </row>
    <row r="67" spans="1:14" x14ac:dyDescent="0.15">
      <c r="A67" s="2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110"/>
    </row>
    <row r="68" spans="1:14" x14ac:dyDescent="0.15">
      <c r="A68" s="29"/>
      <c r="B68" s="1" t="s">
        <v>96</v>
      </c>
      <c r="C68" s="1" t="s">
        <v>96</v>
      </c>
      <c r="D68" s="1" t="s">
        <v>96</v>
      </c>
      <c r="E68" s="1" t="s">
        <v>96</v>
      </c>
      <c r="F68" s="1" t="s">
        <v>96</v>
      </c>
      <c r="G68" s="1" t="s">
        <v>96</v>
      </c>
      <c r="H68" s="1" t="s">
        <v>96</v>
      </c>
      <c r="I68" s="1" t="s">
        <v>96</v>
      </c>
      <c r="J68" s="1" t="s">
        <v>96</v>
      </c>
      <c r="K68" s="1" t="s">
        <v>96</v>
      </c>
      <c r="L68" s="1" t="s">
        <v>96</v>
      </c>
      <c r="M68" s="1" t="s">
        <v>96</v>
      </c>
      <c r="N68" s="109" t="s">
        <v>96</v>
      </c>
    </row>
    <row r="69" spans="1:14" x14ac:dyDescent="0.15">
      <c r="A69" s="29"/>
      <c r="B69" s="1">
        <v>79</v>
      </c>
      <c r="C69" s="1">
        <f t="shared" ref="C69:N69" si="24">B69+1</f>
        <v>80</v>
      </c>
      <c r="D69" s="1">
        <f t="shared" si="24"/>
        <v>81</v>
      </c>
      <c r="E69" s="1">
        <f t="shared" si="24"/>
        <v>82</v>
      </c>
      <c r="F69" s="1">
        <f t="shared" si="24"/>
        <v>83</v>
      </c>
      <c r="G69" s="1">
        <f t="shared" si="24"/>
        <v>84</v>
      </c>
      <c r="H69" s="1">
        <f t="shared" si="24"/>
        <v>85</v>
      </c>
      <c r="I69" s="1">
        <f t="shared" si="24"/>
        <v>86</v>
      </c>
      <c r="J69" s="1">
        <f t="shared" si="24"/>
        <v>87</v>
      </c>
      <c r="K69" s="1">
        <f t="shared" si="24"/>
        <v>88</v>
      </c>
      <c r="L69" s="1">
        <f t="shared" si="24"/>
        <v>89</v>
      </c>
      <c r="M69" s="1">
        <f t="shared" si="24"/>
        <v>90</v>
      </c>
      <c r="N69" s="109">
        <f t="shared" si="24"/>
        <v>91</v>
      </c>
    </row>
    <row r="70" spans="1:14" x14ac:dyDescent="0.15">
      <c r="A70" s="29"/>
      <c r="B70" s="6" t="e">
        <f t="shared" ref="B70:N70" si="25">DAVERAGE(RatioData,"Ratio",B68:B69)</f>
        <v>#DIV/0!</v>
      </c>
      <c r="C70" s="6" t="e">
        <f t="shared" si="25"/>
        <v>#DIV/0!</v>
      </c>
      <c r="D70" s="6" t="e">
        <f t="shared" si="25"/>
        <v>#DIV/0!</v>
      </c>
      <c r="E70" s="6" t="e">
        <f t="shared" si="25"/>
        <v>#DIV/0!</v>
      </c>
      <c r="F70" s="6" t="e">
        <f t="shared" si="25"/>
        <v>#DIV/0!</v>
      </c>
      <c r="G70" s="6" t="e">
        <f t="shared" si="25"/>
        <v>#DIV/0!</v>
      </c>
      <c r="H70" s="6" t="e">
        <f t="shared" si="25"/>
        <v>#DIV/0!</v>
      </c>
      <c r="I70" s="6" t="e">
        <f t="shared" si="25"/>
        <v>#DIV/0!</v>
      </c>
      <c r="J70" s="6" t="e">
        <f t="shared" si="25"/>
        <v>#DIV/0!</v>
      </c>
      <c r="K70" s="6" t="e">
        <f t="shared" si="25"/>
        <v>#DIV/0!</v>
      </c>
      <c r="L70" s="6" t="e">
        <f t="shared" si="25"/>
        <v>#DIV/0!</v>
      </c>
      <c r="M70" s="6" t="e">
        <f t="shared" si="25"/>
        <v>#DIV/0!</v>
      </c>
      <c r="N70" s="110" t="e">
        <f t="shared" si="25"/>
        <v>#DIV/0!</v>
      </c>
    </row>
    <row r="71" spans="1:14" x14ac:dyDescent="0.15">
      <c r="A71" s="29"/>
      <c r="B71" s="158" t="e">
        <f t="shared" ref="B71:N71" si="26">DSTDEV(RatioData,"Ratio",B68:B69)/B70</f>
        <v>#DIV/0!</v>
      </c>
      <c r="C71" s="158" t="e">
        <f t="shared" si="26"/>
        <v>#DIV/0!</v>
      </c>
      <c r="D71" s="158" t="e">
        <f t="shared" si="26"/>
        <v>#DIV/0!</v>
      </c>
      <c r="E71" s="158" t="e">
        <f t="shared" si="26"/>
        <v>#DIV/0!</v>
      </c>
      <c r="F71" s="158" t="e">
        <f t="shared" si="26"/>
        <v>#DIV/0!</v>
      </c>
      <c r="G71" s="158" t="e">
        <f t="shared" si="26"/>
        <v>#DIV/0!</v>
      </c>
      <c r="H71" s="158" t="e">
        <f t="shared" si="26"/>
        <v>#DIV/0!</v>
      </c>
      <c r="I71" s="158" t="e">
        <f t="shared" si="26"/>
        <v>#DIV/0!</v>
      </c>
      <c r="J71" s="158" t="e">
        <f t="shared" si="26"/>
        <v>#DIV/0!</v>
      </c>
      <c r="K71" s="158" t="e">
        <f t="shared" si="26"/>
        <v>#DIV/0!</v>
      </c>
      <c r="L71" s="158" t="e">
        <f t="shared" si="26"/>
        <v>#DIV/0!</v>
      </c>
      <c r="M71" s="158" t="e">
        <f t="shared" si="26"/>
        <v>#DIV/0!</v>
      </c>
      <c r="N71" s="159" t="e">
        <f t="shared" si="26"/>
        <v>#DIV/0!</v>
      </c>
    </row>
    <row r="72" spans="1:14" x14ac:dyDescent="0.15">
      <c r="A72" s="29"/>
      <c r="B72" s="6" t="str">
        <f t="shared" ref="B72:N72" si="27">IF(ISNUMBER(B70),B70,"")</f>
        <v/>
      </c>
      <c r="C72" s="6" t="str">
        <f t="shared" si="27"/>
        <v/>
      </c>
      <c r="D72" s="6" t="str">
        <f t="shared" si="27"/>
        <v/>
      </c>
      <c r="E72" s="6" t="str">
        <f t="shared" si="27"/>
        <v/>
      </c>
      <c r="F72" s="6" t="str">
        <f t="shared" si="27"/>
        <v/>
      </c>
      <c r="G72" s="6" t="str">
        <f t="shared" si="27"/>
        <v/>
      </c>
      <c r="H72" s="6" t="str">
        <f t="shared" si="27"/>
        <v/>
      </c>
      <c r="I72" s="6" t="str">
        <f t="shared" si="27"/>
        <v/>
      </c>
      <c r="J72" s="6" t="str">
        <f t="shared" si="27"/>
        <v/>
      </c>
      <c r="K72" s="6" t="str">
        <f t="shared" si="27"/>
        <v/>
      </c>
      <c r="L72" s="6" t="str">
        <f t="shared" si="27"/>
        <v/>
      </c>
      <c r="M72" s="6" t="str">
        <f t="shared" si="27"/>
        <v/>
      </c>
      <c r="N72" s="110" t="str">
        <f t="shared" si="27"/>
        <v/>
      </c>
    </row>
    <row r="73" spans="1:14" x14ac:dyDescent="0.15">
      <c r="A73" s="29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110"/>
    </row>
    <row r="74" spans="1:14" x14ac:dyDescent="0.15">
      <c r="A74" s="29"/>
      <c r="B74" s="1" t="s">
        <v>96</v>
      </c>
      <c r="C74" s="1" t="s">
        <v>96</v>
      </c>
      <c r="D74" s="1" t="s">
        <v>96</v>
      </c>
      <c r="E74" s="1" t="s">
        <v>96</v>
      </c>
      <c r="F74" s="1" t="s">
        <v>96</v>
      </c>
      <c r="G74" s="1" t="s">
        <v>96</v>
      </c>
      <c r="H74" s="1" t="s">
        <v>96</v>
      </c>
      <c r="I74" s="1" t="s">
        <v>96</v>
      </c>
      <c r="J74" s="1" t="s">
        <v>96</v>
      </c>
      <c r="K74" s="1" t="s">
        <v>96</v>
      </c>
      <c r="L74" s="1" t="s">
        <v>96</v>
      </c>
      <c r="M74" s="1" t="s">
        <v>96</v>
      </c>
      <c r="N74" s="109" t="s">
        <v>96</v>
      </c>
    </row>
    <row r="75" spans="1:14" x14ac:dyDescent="0.15">
      <c r="A75" s="29"/>
      <c r="B75" s="1">
        <v>92</v>
      </c>
      <c r="C75" s="1">
        <f t="shared" ref="C75:N75" si="28">B75+1</f>
        <v>93</v>
      </c>
      <c r="D75" s="1">
        <f t="shared" si="28"/>
        <v>94</v>
      </c>
      <c r="E75" s="1">
        <f t="shared" si="28"/>
        <v>95</v>
      </c>
      <c r="F75" s="1">
        <f t="shared" si="28"/>
        <v>96</v>
      </c>
      <c r="G75" s="1">
        <f t="shared" si="28"/>
        <v>97</v>
      </c>
      <c r="H75" s="1">
        <f t="shared" si="28"/>
        <v>98</v>
      </c>
      <c r="I75" s="1">
        <f t="shared" si="28"/>
        <v>99</v>
      </c>
      <c r="J75" s="1">
        <f t="shared" si="28"/>
        <v>100</v>
      </c>
      <c r="K75" s="1">
        <f t="shared" si="28"/>
        <v>101</v>
      </c>
      <c r="L75" s="1">
        <f t="shared" si="28"/>
        <v>102</v>
      </c>
      <c r="M75" s="1">
        <f t="shared" si="28"/>
        <v>103</v>
      </c>
      <c r="N75" s="109">
        <f t="shared" si="28"/>
        <v>104</v>
      </c>
    </row>
    <row r="76" spans="1:14" x14ac:dyDescent="0.15">
      <c r="A76" s="29"/>
      <c r="B76" s="6" t="e">
        <f t="shared" ref="B76:N76" si="29">DAVERAGE(RatioData,"Ratio",B74:B75)</f>
        <v>#DIV/0!</v>
      </c>
      <c r="C76" s="6" t="e">
        <f t="shared" si="29"/>
        <v>#DIV/0!</v>
      </c>
      <c r="D76" s="6" t="e">
        <f t="shared" si="29"/>
        <v>#DIV/0!</v>
      </c>
      <c r="E76" s="6" t="e">
        <f t="shared" si="29"/>
        <v>#DIV/0!</v>
      </c>
      <c r="F76" s="6" t="e">
        <f t="shared" si="29"/>
        <v>#DIV/0!</v>
      </c>
      <c r="G76" s="6" t="e">
        <f t="shared" si="29"/>
        <v>#DIV/0!</v>
      </c>
      <c r="H76" s="6" t="e">
        <f t="shared" si="29"/>
        <v>#DIV/0!</v>
      </c>
      <c r="I76" s="6" t="e">
        <f t="shared" si="29"/>
        <v>#DIV/0!</v>
      </c>
      <c r="J76" s="6" t="e">
        <f t="shared" si="29"/>
        <v>#DIV/0!</v>
      </c>
      <c r="K76" s="6" t="e">
        <f t="shared" si="29"/>
        <v>#DIV/0!</v>
      </c>
      <c r="L76" s="6" t="e">
        <f t="shared" si="29"/>
        <v>#DIV/0!</v>
      </c>
      <c r="M76" s="6" t="e">
        <f t="shared" si="29"/>
        <v>#DIV/0!</v>
      </c>
      <c r="N76" s="110" t="e">
        <f t="shared" si="29"/>
        <v>#DIV/0!</v>
      </c>
    </row>
    <row r="77" spans="1:14" x14ac:dyDescent="0.15">
      <c r="A77" s="29"/>
      <c r="B77" s="158" t="e">
        <f t="shared" ref="B77:N77" si="30">DSTDEV(RatioData,"Ratio",B74:B75)/B76</f>
        <v>#DIV/0!</v>
      </c>
      <c r="C77" s="158" t="e">
        <f t="shared" si="30"/>
        <v>#DIV/0!</v>
      </c>
      <c r="D77" s="158" t="e">
        <f t="shared" si="30"/>
        <v>#DIV/0!</v>
      </c>
      <c r="E77" s="158" t="e">
        <f t="shared" si="30"/>
        <v>#DIV/0!</v>
      </c>
      <c r="F77" s="158" t="e">
        <f t="shared" si="30"/>
        <v>#DIV/0!</v>
      </c>
      <c r="G77" s="158" t="e">
        <f t="shared" si="30"/>
        <v>#DIV/0!</v>
      </c>
      <c r="H77" s="158" t="e">
        <f t="shared" si="30"/>
        <v>#DIV/0!</v>
      </c>
      <c r="I77" s="158" t="e">
        <f t="shared" si="30"/>
        <v>#DIV/0!</v>
      </c>
      <c r="J77" s="158" t="e">
        <f t="shared" si="30"/>
        <v>#DIV/0!</v>
      </c>
      <c r="K77" s="158" t="e">
        <f t="shared" si="30"/>
        <v>#DIV/0!</v>
      </c>
      <c r="L77" s="158" t="e">
        <f t="shared" si="30"/>
        <v>#DIV/0!</v>
      </c>
      <c r="M77" s="158" t="e">
        <f t="shared" si="30"/>
        <v>#DIV/0!</v>
      </c>
      <c r="N77" s="159" t="e">
        <f t="shared" si="30"/>
        <v>#DIV/0!</v>
      </c>
    </row>
    <row r="78" spans="1:14" x14ac:dyDescent="0.15">
      <c r="A78" s="29"/>
      <c r="B78" s="6" t="str">
        <f t="shared" ref="B78:N78" si="31">IF(ISNUMBER(B76),B76,"")</f>
        <v/>
      </c>
      <c r="C78" s="6" t="str">
        <f t="shared" si="31"/>
        <v/>
      </c>
      <c r="D78" s="6" t="str">
        <f t="shared" si="31"/>
        <v/>
      </c>
      <c r="E78" s="6" t="str">
        <f t="shared" si="31"/>
        <v/>
      </c>
      <c r="F78" s="6" t="str">
        <f t="shared" si="31"/>
        <v/>
      </c>
      <c r="G78" s="6" t="str">
        <f t="shared" si="31"/>
        <v/>
      </c>
      <c r="H78" s="6" t="str">
        <f t="shared" si="31"/>
        <v/>
      </c>
      <c r="I78" s="6" t="str">
        <f t="shared" si="31"/>
        <v/>
      </c>
      <c r="J78" s="6" t="str">
        <f t="shared" si="31"/>
        <v/>
      </c>
      <c r="K78" s="6" t="str">
        <f t="shared" si="31"/>
        <v/>
      </c>
      <c r="L78" s="6" t="str">
        <f t="shared" si="31"/>
        <v/>
      </c>
      <c r="M78" s="6" t="str">
        <f t="shared" si="31"/>
        <v/>
      </c>
      <c r="N78" s="110" t="str">
        <f t="shared" si="31"/>
        <v/>
      </c>
    </row>
    <row r="79" spans="1:14" x14ac:dyDescent="0.15">
      <c r="A79" s="29"/>
      <c r="G79" s="1"/>
      <c r="N79" s="27"/>
    </row>
    <row r="80" spans="1:14" x14ac:dyDescent="0.15">
      <c r="A80" s="29"/>
      <c r="B80" s="1" t="s">
        <v>96</v>
      </c>
      <c r="C80" s="1" t="s">
        <v>96</v>
      </c>
      <c r="D80" s="1" t="s">
        <v>96</v>
      </c>
      <c r="E80" s="1" t="s">
        <v>96</v>
      </c>
      <c r="F80" s="1" t="s">
        <v>96</v>
      </c>
      <c r="G80" s="1" t="s">
        <v>96</v>
      </c>
      <c r="H80" s="1" t="s">
        <v>96</v>
      </c>
      <c r="I80" s="1" t="s">
        <v>96</v>
      </c>
      <c r="J80" s="1" t="s">
        <v>96</v>
      </c>
      <c r="K80" s="1" t="s">
        <v>96</v>
      </c>
      <c r="L80" s="1" t="s">
        <v>96</v>
      </c>
      <c r="M80" s="1" t="s">
        <v>96</v>
      </c>
      <c r="N80" s="109" t="s">
        <v>96</v>
      </c>
    </row>
    <row r="81" spans="1:14" x14ac:dyDescent="0.15">
      <c r="A81" s="29"/>
      <c r="B81" s="1">
        <v>105</v>
      </c>
      <c r="C81" s="1">
        <f t="shared" ref="C81:N81" si="32">B81+1</f>
        <v>106</v>
      </c>
      <c r="D81" s="1">
        <f t="shared" si="32"/>
        <v>107</v>
      </c>
      <c r="E81" s="1">
        <f t="shared" si="32"/>
        <v>108</v>
      </c>
      <c r="F81" s="1">
        <f t="shared" si="32"/>
        <v>109</v>
      </c>
      <c r="G81" s="1">
        <f t="shared" si="32"/>
        <v>110</v>
      </c>
      <c r="H81" s="1">
        <f t="shared" si="32"/>
        <v>111</v>
      </c>
      <c r="I81" s="1">
        <f t="shared" si="32"/>
        <v>112</v>
      </c>
      <c r="J81" s="1">
        <f t="shared" si="32"/>
        <v>113</v>
      </c>
      <c r="K81" s="1">
        <f t="shared" si="32"/>
        <v>114</v>
      </c>
      <c r="L81" s="1">
        <f t="shared" si="32"/>
        <v>115</v>
      </c>
      <c r="M81" s="1">
        <f t="shared" si="32"/>
        <v>116</v>
      </c>
      <c r="N81" s="109">
        <f t="shared" si="32"/>
        <v>117</v>
      </c>
    </row>
    <row r="82" spans="1:14" x14ac:dyDescent="0.15">
      <c r="A82" s="29"/>
      <c r="B82" s="6" t="e">
        <f t="shared" ref="B82:N82" si="33">DAVERAGE(RatioData,"Ratio",B80:B81)</f>
        <v>#DIV/0!</v>
      </c>
      <c r="C82" s="6" t="e">
        <f t="shared" si="33"/>
        <v>#DIV/0!</v>
      </c>
      <c r="D82" s="6" t="e">
        <f t="shared" si="33"/>
        <v>#DIV/0!</v>
      </c>
      <c r="E82" s="6" t="e">
        <f t="shared" si="33"/>
        <v>#DIV/0!</v>
      </c>
      <c r="F82" s="6" t="e">
        <f t="shared" si="33"/>
        <v>#DIV/0!</v>
      </c>
      <c r="G82" s="6" t="e">
        <f t="shared" si="33"/>
        <v>#DIV/0!</v>
      </c>
      <c r="H82" s="6" t="e">
        <f t="shared" si="33"/>
        <v>#DIV/0!</v>
      </c>
      <c r="I82" s="6" t="e">
        <f t="shared" si="33"/>
        <v>#DIV/0!</v>
      </c>
      <c r="J82" s="6" t="e">
        <f t="shared" si="33"/>
        <v>#DIV/0!</v>
      </c>
      <c r="K82" s="6" t="e">
        <f t="shared" si="33"/>
        <v>#DIV/0!</v>
      </c>
      <c r="L82" s="6" t="e">
        <f t="shared" si="33"/>
        <v>#DIV/0!</v>
      </c>
      <c r="M82" s="6" t="e">
        <f t="shared" si="33"/>
        <v>#DIV/0!</v>
      </c>
      <c r="N82" s="110" t="e">
        <f t="shared" si="33"/>
        <v>#DIV/0!</v>
      </c>
    </row>
    <row r="83" spans="1:14" x14ac:dyDescent="0.15">
      <c r="A83" s="29"/>
      <c r="B83" s="158" t="e">
        <f t="shared" ref="B83:N83" si="34">DSTDEV(RatioData,"Ratio",B80:B81)/B82</f>
        <v>#DIV/0!</v>
      </c>
      <c r="C83" s="158" t="e">
        <f t="shared" si="34"/>
        <v>#DIV/0!</v>
      </c>
      <c r="D83" s="158" t="e">
        <f t="shared" si="34"/>
        <v>#DIV/0!</v>
      </c>
      <c r="E83" s="158" t="e">
        <f t="shared" si="34"/>
        <v>#DIV/0!</v>
      </c>
      <c r="F83" s="158" t="e">
        <f t="shared" si="34"/>
        <v>#DIV/0!</v>
      </c>
      <c r="G83" s="158" t="e">
        <f t="shared" si="34"/>
        <v>#DIV/0!</v>
      </c>
      <c r="H83" s="158" t="e">
        <f t="shared" si="34"/>
        <v>#DIV/0!</v>
      </c>
      <c r="I83" s="158" t="e">
        <f t="shared" si="34"/>
        <v>#DIV/0!</v>
      </c>
      <c r="J83" s="158" t="e">
        <f t="shared" si="34"/>
        <v>#DIV/0!</v>
      </c>
      <c r="K83" s="158" t="e">
        <f t="shared" si="34"/>
        <v>#DIV/0!</v>
      </c>
      <c r="L83" s="158" t="e">
        <f t="shared" si="34"/>
        <v>#DIV/0!</v>
      </c>
      <c r="M83" s="158" t="e">
        <f t="shared" si="34"/>
        <v>#DIV/0!</v>
      </c>
      <c r="N83" s="159" t="e">
        <f t="shared" si="34"/>
        <v>#DIV/0!</v>
      </c>
    </row>
    <row r="84" spans="1:14" x14ac:dyDescent="0.15">
      <c r="A84" s="29"/>
      <c r="B84" s="6" t="str">
        <f t="shared" ref="B84:N84" si="35">IF(ISNUMBER(B82),B82,"")</f>
        <v/>
      </c>
      <c r="C84" s="6" t="str">
        <f t="shared" si="35"/>
        <v/>
      </c>
      <c r="D84" s="6" t="str">
        <f t="shared" si="35"/>
        <v/>
      </c>
      <c r="E84" s="6" t="str">
        <f t="shared" si="35"/>
        <v/>
      </c>
      <c r="F84" s="6" t="str">
        <f t="shared" si="35"/>
        <v/>
      </c>
      <c r="G84" s="6" t="str">
        <f t="shared" si="35"/>
        <v/>
      </c>
      <c r="H84" s="6" t="str">
        <f t="shared" si="35"/>
        <v/>
      </c>
      <c r="I84" s="6" t="str">
        <f t="shared" si="35"/>
        <v/>
      </c>
      <c r="J84" s="6" t="str">
        <f t="shared" si="35"/>
        <v/>
      </c>
      <c r="K84" s="6" t="str">
        <f t="shared" si="35"/>
        <v/>
      </c>
      <c r="L84" s="6" t="str">
        <f t="shared" si="35"/>
        <v/>
      </c>
      <c r="M84" s="6" t="str">
        <f t="shared" si="35"/>
        <v/>
      </c>
      <c r="N84" s="110" t="str">
        <f t="shared" si="35"/>
        <v/>
      </c>
    </row>
    <row r="85" spans="1:14" x14ac:dyDescent="0.15">
      <c r="A85" s="2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110"/>
    </row>
    <row r="86" spans="1:14" x14ac:dyDescent="0.15">
      <c r="A86" s="29"/>
      <c r="B86" s="1" t="s">
        <v>96</v>
      </c>
      <c r="C86" s="1" t="s">
        <v>96</v>
      </c>
      <c r="D86" s="1" t="s">
        <v>96</v>
      </c>
      <c r="E86" s="1" t="s">
        <v>96</v>
      </c>
      <c r="F86" s="1" t="s">
        <v>96</v>
      </c>
      <c r="G86" s="1" t="s">
        <v>96</v>
      </c>
      <c r="H86" s="1" t="s">
        <v>96</v>
      </c>
      <c r="I86" s="1" t="s">
        <v>96</v>
      </c>
      <c r="J86" s="1" t="s">
        <v>96</v>
      </c>
      <c r="K86" s="1" t="s">
        <v>96</v>
      </c>
      <c r="L86" s="1" t="s">
        <v>96</v>
      </c>
      <c r="M86" s="1" t="s">
        <v>96</v>
      </c>
      <c r="N86" s="109" t="s">
        <v>96</v>
      </c>
    </row>
    <row r="87" spans="1:14" x14ac:dyDescent="0.15">
      <c r="A87" s="29"/>
      <c r="B87" s="1">
        <v>118</v>
      </c>
      <c r="C87" s="1">
        <f t="shared" ref="C87:N87" si="36">B87+1</f>
        <v>119</v>
      </c>
      <c r="D87" s="1">
        <f t="shared" si="36"/>
        <v>120</v>
      </c>
      <c r="E87" s="1">
        <f t="shared" si="36"/>
        <v>121</v>
      </c>
      <c r="F87" s="1">
        <f t="shared" si="36"/>
        <v>122</v>
      </c>
      <c r="G87" s="1">
        <f t="shared" si="36"/>
        <v>123</v>
      </c>
      <c r="H87" s="1">
        <f t="shared" si="36"/>
        <v>124</v>
      </c>
      <c r="I87" s="1">
        <f t="shared" si="36"/>
        <v>125</v>
      </c>
      <c r="J87" s="1">
        <f t="shared" si="36"/>
        <v>126</v>
      </c>
      <c r="K87" s="1">
        <f t="shared" si="36"/>
        <v>127</v>
      </c>
      <c r="L87" s="1">
        <f t="shared" si="36"/>
        <v>128</v>
      </c>
      <c r="M87" s="1">
        <f t="shared" si="36"/>
        <v>129</v>
      </c>
      <c r="N87" s="109">
        <f t="shared" si="36"/>
        <v>130</v>
      </c>
    </row>
    <row r="88" spans="1:14" x14ac:dyDescent="0.15">
      <c r="A88" s="29"/>
      <c r="B88" s="6" t="e">
        <f t="shared" ref="B88:N88" si="37">DAVERAGE(RatioData,"Ratio",B86:B87)</f>
        <v>#DIV/0!</v>
      </c>
      <c r="C88" s="6" t="e">
        <f t="shared" si="37"/>
        <v>#DIV/0!</v>
      </c>
      <c r="D88" s="6" t="e">
        <f t="shared" si="37"/>
        <v>#DIV/0!</v>
      </c>
      <c r="E88" s="6" t="e">
        <f t="shared" si="37"/>
        <v>#DIV/0!</v>
      </c>
      <c r="F88" s="6" t="e">
        <f t="shared" si="37"/>
        <v>#DIV/0!</v>
      </c>
      <c r="G88" s="6" t="e">
        <f t="shared" si="37"/>
        <v>#DIV/0!</v>
      </c>
      <c r="H88" s="6" t="e">
        <f t="shared" si="37"/>
        <v>#DIV/0!</v>
      </c>
      <c r="I88" s="6" t="e">
        <f t="shared" si="37"/>
        <v>#DIV/0!</v>
      </c>
      <c r="J88" s="6" t="e">
        <f t="shared" si="37"/>
        <v>#DIV/0!</v>
      </c>
      <c r="K88" s="6" t="e">
        <f t="shared" si="37"/>
        <v>#DIV/0!</v>
      </c>
      <c r="L88" s="6" t="e">
        <f t="shared" si="37"/>
        <v>#DIV/0!</v>
      </c>
      <c r="M88" s="6" t="e">
        <f t="shared" si="37"/>
        <v>#DIV/0!</v>
      </c>
      <c r="N88" s="110" t="e">
        <f t="shared" si="37"/>
        <v>#DIV/0!</v>
      </c>
    </row>
    <row r="89" spans="1:14" x14ac:dyDescent="0.15">
      <c r="A89" s="29"/>
      <c r="B89" s="158" t="e">
        <f t="shared" ref="B89:N89" si="38">DSTDEV(RatioData,"Ratio",B86:B87)/B88</f>
        <v>#DIV/0!</v>
      </c>
      <c r="C89" s="158" t="e">
        <f t="shared" si="38"/>
        <v>#DIV/0!</v>
      </c>
      <c r="D89" s="158" t="e">
        <f t="shared" si="38"/>
        <v>#DIV/0!</v>
      </c>
      <c r="E89" s="158" t="e">
        <f t="shared" si="38"/>
        <v>#DIV/0!</v>
      </c>
      <c r="F89" s="158" t="e">
        <f t="shared" si="38"/>
        <v>#DIV/0!</v>
      </c>
      <c r="G89" s="158" t="e">
        <f t="shared" si="38"/>
        <v>#DIV/0!</v>
      </c>
      <c r="H89" s="158" t="e">
        <f t="shared" si="38"/>
        <v>#DIV/0!</v>
      </c>
      <c r="I89" s="158" t="e">
        <f t="shared" si="38"/>
        <v>#DIV/0!</v>
      </c>
      <c r="J89" s="158" t="e">
        <f t="shared" si="38"/>
        <v>#DIV/0!</v>
      </c>
      <c r="K89" s="158" t="e">
        <f t="shared" si="38"/>
        <v>#DIV/0!</v>
      </c>
      <c r="L89" s="158" t="e">
        <f t="shared" si="38"/>
        <v>#DIV/0!</v>
      </c>
      <c r="M89" s="158" t="e">
        <f t="shared" si="38"/>
        <v>#DIV/0!</v>
      </c>
      <c r="N89" s="159" t="e">
        <f t="shared" si="38"/>
        <v>#DIV/0!</v>
      </c>
    </row>
    <row r="90" spans="1:14" x14ac:dyDescent="0.15">
      <c r="A90" s="29"/>
      <c r="B90" s="6" t="str">
        <f t="shared" ref="B90:N90" si="39">IF(ISNUMBER(B88),B88,"")</f>
        <v/>
      </c>
      <c r="C90" s="6" t="str">
        <f t="shared" si="39"/>
        <v/>
      </c>
      <c r="D90" s="6" t="str">
        <f t="shared" si="39"/>
        <v/>
      </c>
      <c r="E90" s="6" t="str">
        <f t="shared" si="39"/>
        <v/>
      </c>
      <c r="F90" s="6" t="str">
        <f t="shared" si="39"/>
        <v/>
      </c>
      <c r="G90" s="6" t="str">
        <f t="shared" si="39"/>
        <v/>
      </c>
      <c r="H90" s="6" t="str">
        <f t="shared" si="39"/>
        <v/>
      </c>
      <c r="I90" s="6" t="str">
        <f t="shared" si="39"/>
        <v/>
      </c>
      <c r="J90" s="6" t="str">
        <f t="shared" si="39"/>
        <v/>
      </c>
      <c r="K90" s="6" t="str">
        <f t="shared" si="39"/>
        <v/>
      </c>
      <c r="L90" s="6" t="str">
        <f t="shared" si="39"/>
        <v/>
      </c>
      <c r="M90" s="6" t="str">
        <f t="shared" si="39"/>
        <v/>
      </c>
      <c r="N90" s="110" t="str">
        <f t="shared" si="39"/>
        <v/>
      </c>
    </row>
    <row r="91" spans="1:14" x14ac:dyDescent="0.15">
      <c r="A91" s="29"/>
      <c r="G91" s="1"/>
      <c r="N91" s="27"/>
    </row>
    <row r="92" spans="1:14" x14ac:dyDescent="0.15">
      <c r="A92" s="2"/>
      <c r="B92" s="2" t="s">
        <v>244</v>
      </c>
      <c r="C92" s="39">
        <f>AVERAGE($B$36:$N$36,$B$42:$N$42,$B$48:$N$48,$B$54:$N$54,$B$60:$N$60,$B$66:$N$66,$B$72:$N$72,$B$78:$N$78,$B$84:$N$84,$B$90:$N$90)</f>
        <v>0.98058109855771025</v>
      </c>
      <c r="G92" s="1"/>
      <c r="N92" s="27"/>
    </row>
    <row r="93" spans="1:14" x14ac:dyDescent="0.15">
      <c r="A93" s="2"/>
      <c r="B93" s="2" t="s">
        <v>245</v>
      </c>
      <c r="C93" s="39">
        <f>STDEV($B$36:$N$36,$B$42:$N$42,$B$48:$N$48,$B$54:$N$54,$B$60:$N$60,$B$66:$N$66,$B$72:$N$72,$B$78:$N$78,$B$84:$N$84,$B$90:$N$90)</f>
        <v>6.2823397680039925E-3</v>
      </c>
      <c r="G93" s="1"/>
      <c r="N93" s="27"/>
    </row>
    <row r="94" spans="1:14" x14ac:dyDescent="0.15">
      <c r="A94" s="2"/>
      <c r="B94" s="2" t="s">
        <v>246</v>
      </c>
      <c r="C94" s="43">
        <f>COUNT($B$36:$N$36,$B$42:$N$42,$B$48:$N$48,$B$54:$N$54,$B$60:$N$60,$B$66:$N$66,$B$72:$N$72,$B$78:$N$78,$B$84:$N$84,$B$90:$N$90)</f>
        <v>59</v>
      </c>
      <c r="G94" s="1"/>
      <c r="N94" s="27"/>
    </row>
    <row r="95" spans="1:14" ht="12" x14ac:dyDescent="0.15">
      <c r="A95" s="314"/>
      <c r="B95" s="314" t="s">
        <v>247</v>
      </c>
      <c r="C95" s="39">
        <f>C93/SQRT(C94)</f>
        <v>8.1789097280796151E-4</v>
      </c>
      <c r="G95" s="1"/>
      <c r="N95" s="27"/>
    </row>
    <row r="96" spans="1:14" ht="13" thickBot="1" x14ac:dyDescent="0.2">
      <c r="A96" s="315"/>
      <c r="B96" s="315" t="s">
        <v>248</v>
      </c>
      <c r="C96" s="45">
        <f>C94-1</f>
        <v>58</v>
      </c>
      <c r="D96" s="31"/>
      <c r="E96" s="31"/>
      <c r="F96" s="31"/>
      <c r="G96" s="37"/>
      <c r="H96" s="31"/>
      <c r="I96" s="31"/>
      <c r="J96" s="31"/>
      <c r="K96" s="31"/>
      <c r="L96" s="31"/>
      <c r="M96" s="31"/>
      <c r="N96" s="32"/>
    </row>
    <row r="97" spans="1:14" x14ac:dyDescent="0.15">
      <c r="G97" s="1"/>
    </row>
    <row r="98" spans="1:14" ht="12" thickBot="1" x14ac:dyDescent="0.2">
      <c r="G98" s="1"/>
    </row>
    <row r="99" spans="1:14" x14ac:dyDescent="0.15">
      <c r="A99" s="46" t="s">
        <v>176</v>
      </c>
      <c r="B99" s="15"/>
      <c r="C99" s="15"/>
      <c r="D99" s="15"/>
      <c r="E99" s="15"/>
      <c r="F99" s="15"/>
      <c r="G99" s="44"/>
      <c r="H99" s="15"/>
      <c r="I99" s="15"/>
      <c r="J99" s="15"/>
      <c r="K99" s="15"/>
      <c r="L99" s="15"/>
      <c r="M99" s="15"/>
      <c r="N99" s="26"/>
    </row>
    <row r="100" spans="1:14" x14ac:dyDescent="0.15">
      <c r="A100" s="29"/>
      <c r="G100" s="1"/>
      <c r="N100" s="27"/>
    </row>
    <row r="101" spans="1:14" x14ac:dyDescent="0.15">
      <c r="A101" s="29"/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s="27"/>
    </row>
    <row r="102" spans="1:14" x14ac:dyDescent="0.15">
      <c r="A102" s="29"/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9</v>
      </c>
      <c r="K102">
        <v>10</v>
      </c>
      <c r="L102">
        <v>11</v>
      </c>
      <c r="M102">
        <v>12</v>
      </c>
      <c r="N102" s="27"/>
    </row>
    <row r="103" spans="1:14" x14ac:dyDescent="0.15">
      <c r="A103" s="29"/>
      <c r="B103" s="38" t="str">
        <f t="shared" ref="B103:M103" si="40">IF(ISNUMBER(DAVERAGE(RatioData,"Ratio",B101:B102)),DAVERAGE(RatioData,"Ratio",B101:B102),"")</f>
        <v/>
      </c>
      <c r="C103" s="38">
        <f t="shared" si="40"/>
        <v>0.98113036045590285</v>
      </c>
      <c r="D103" s="38">
        <f t="shared" si="40"/>
        <v>0.98137280150389983</v>
      </c>
      <c r="E103" s="38">
        <f t="shared" si="40"/>
        <v>0.98063747960116354</v>
      </c>
      <c r="F103" s="38">
        <f t="shared" si="40"/>
        <v>0.97957403264899112</v>
      </c>
      <c r="G103" s="38" t="str">
        <f t="shared" si="40"/>
        <v/>
      </c>
      <c r="H103" s="38">
        <f t="shared" si="40"/>
        <v>0.97877911515992422</v>
      </c>
      <c r="I103" s="38" t="str">
        <f t="shared" si="40"/>
        <v/>
      </c>
      <c r="J103" s="38" t="str">
        <f t="shared" si="40"/>
        <v/>
      </c>
      <c r="K103" s="38" t="str">
        <f t="shared" si="40"/>
        <v/>
      </c>
      <c r="L103" s="38" t="str">
        <f t="shared" si="40"/>
        <v/>
      </c>
      <c r="M103" s="38" t="str">
        <f t="shared" si="40"/>
        <v/>
      </c>
      <c r="N103" s="27"/>
    </row>
    <row r="104" spans="1:14" x14ac:dyDescent="0.15">
      <c r="A104" s="29"/>
      <c r="G104" s="1"/>
      <c r="N104" s="27"/>
    </row>
    <row r="105" spans="1:14" x14ac:dyDescent="0.15">
      <c r="A105" s="29"/>
      <c r="B105" s="2" t="s">
        <v>244</v>
      </c>
      <c r="C105" s="49">
        <f>AVERAGE(B103:N103)</f>
        <v>0.98029875787397636</v>
      </c>
      <c r="G105" s="1"/>
      <c r="N105" s="27"/>
    </row>
    <row r="106" spans="1:14" x14ac:dyDescent="0.15">
      <c r="A106" s="29"/>
      <c r="B106" s="2" t="s">
        <v>245</v>
      </c>
      <c r="C106" s="49">
        <f>STDEV(B103:N103)</f>
        <v>1.0948065596049737E-3</v>
      </c>
      <c r="G106" s="1"/>
      <c r="N106" s="27"/>
    </row>
    <row r="107" spans="1:14" x14ac:dyDescent="0.15">
      <c r="A107" s="40"/>
      <c r="B107" s="2" t="s">
        <v>246</v>
      </c>
      <c r="C107" s="2">
        <f>COUNT(B103:N103)</f>
        <v>5</v>
      </c>
      <c r="N107" s="27"/>
    </row>
    <row r="108" spans="1:14" ht="12" x14ac:dyDescent="0.15">
      <c r="A108" s="41"/>
      <c r="B108" s="2" t="s">
        <v>247</v>
      </c>
      <c r="C108" s="51">
        <f>C106/SQRT(C107)</f>
        <v>4.8961237789787928E-4</v>
      </c>
      <c r="N108" s="27"/>
    </row>
    <row r="109" spans="1:14" ht="13" thickBot="1" x14ac:dyDescent="0.2">
      <c r="A109" s="42"/>
      <c r="B109" s="313" t="s">
        <v>248</v>
      </c>
      <c r="C109" s="31">
        <f>C107-1</f>
        <v>4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2"/>
    </row>
    <row r="112" spans="1:14" ht="12" x14ac:dyDescent="0.15">
      <c r="A112" s="11" t="s">
        <v>73</v>
      </c>
      <c r="B112" s="11" t="s">
        <v>185</v>
      </c>
    </row>
    <row r="113" spans="1:14" ht="12" x14ac:dyDescent="0.15">
      <c r="A113" s="11"/>
      <c r="B113" s="11"/>
    </row>
    <row r="114" spans="1:14" ht="12" x14ac:dyDescent="0.15">
      <c r="A114" s="50" t="s">
        <v>103</v>
      </c>
      <c r="B114" s="12" t="s">
        <v>227</v>
      </c>
    </row>
    <row r="115" spans="1:14" ht="12" x14ac:dyDescent="0.15">
      <c r="A115" s="50"/>
      <c r="B115" s="12"/>
    </row>
    <row r="116" spans="1:14" ht="12" x14ac:dyDescent="0.15">
      <c r="A116" s="50" t="s">
        <v>104</v>
      </c>
      <c r="B116" s="12" t="s">
        <v>224</v>
      </c>
    </row>
    <row r="117" spans="1:14" ht="12" customHeight="1" x14ac:dyDescent="0.15">
      <c r="A117" s="55"/>
      <c r="B117" s="12" t="s">
        <v>223</v>
      </c>
    </row>
    <row r="118" spans="1:14" ht="12" thickBot="1" x14ac:dyDescent="0.2"/>
    <row r="119" spans="1:14" x14ac:dyDescent="0.15">
      <c r="A119" s="53" t="s">
        <v>105</v>
      </c>
      <c r="B119" s="54" t="s">
        <v>190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26"/>
    </row>
    <row r="120" spans="1:14" x14ac:dyDescent="0.15">
      <c r="A120" s="29"/>
      <c r="N120" s="27"/>
    </row>
    <row r="121" spans="1:14" x14ac:dyDescent="0.15">
      <c r="A121" s="29"/>
      <c r="B121" t="s">
        <v>85</v>
      </c>
      <c r="C121" t="s">
        <v>85</v>
      </c>
      <c r="D121" t="s">
        <v>85</v>
      </c>
      <c r="E121" t="s">
        <v>85</v>
      </c>
      <c r="F121" t="s">
        <v>85</v>
      </c>
      <c r="G121" t="s">
        <v>85</v>
      </c>
      <c r="H121" t="s">
        <v>85</v>
      </c>
      <c r="I121" t="s">
        <v>85</v>
      </c>
      <c r="J121" t="s">
        <v>85</v>
      </c>
      <c r="K121" t="s">
        <v>85</v>
      </c>
      <c r="L121" t="s">
        <v>85</v>
      </c>
      <c r="M121" t="s">
        <v>85</v>
      </c>
      <c r="N121" s="27" t="s">
        <v>85</v>
      </c>
    </row>
    <row r="122" spans="1:14" x14ac:dyDescent="0.15">
      <c r="A122" s="29"/>
      <c r="B122">
        <v>1</v>
      </c>
      <c r="C122">
        <f t="shared" ref="C122:N122" si="41">B122+1</f>
        <v>2</v>
      </c>
      <c r="D122">
        <f t="shared" si="41"/>
        <v>3</v>
      </c>
      <c r="E122">
        <f t="shared" si="41"/>
        <v>4</v>
      </c>
      <c r="F122">
        <f t="shared" si="41"/>
        <v>5</v>
      </c>
      <c r="G122">
        <f t="shared" si="41"/>
        <v>6</v>
      </c>
      <c r="H122">
        <f t="shared" si="41"/>
        <v>7</v>
      </c>
      <c r="I122">
        <f t="shared" si="41"/>
        <v>8</v>
      </c>
      <c r="J122">
        <f t="shared" si="41"/>
        <v>9</v>
      </c>
      <c r="K122">
        <f t="shared" si="41"/>
        <v>10</v>
      </c>
      <c r="L122">
        <f t="shared" si="41"/>
        <v>11</v>
      </c>
      <c r="M122">
        <f t="shared" si="41"/>
        <v>12</v>
      </c>
      <c r="N122" s="27">
        <f t="shared" si="41"/>
        <v>13</v>
      </c>
    </row>
    <row r="123" spans="1:14" x14ac:dyDescent="0.15">
      <c r="A123" s="29"/>
      <c r="B123" s="38">
        <f t="shared" ref="B123:N123" si="42">DAVERAGE(RatioData,"Ratio",B121:B122)</f>
        <v>0.9812108869403311</v>
      </c>
      <c r="C123" s="38">
        <f t="shared" si="42"/>
        <v>0.9800079205380865</v>
      </c>
      <c r="D123" s="38">
        <f t="shared" si="42"/>
        <v>0.98225228375825901</v>
      </c>
      <c r="E123" s="38">
        <f t="shared" si="42"/>
        <v>0.98155197261607574</v>
      </c>
      <c r="F123" s="38">
        <f t="shared" si="42"/>
        <v>0.9850756857455506</v>
      </c>
      <c r="G123" s="38">
        <f t="shared" si="42"/>
        <v>0.98454451264420151</v>
      </c>
      <c r="H123" s="38">
        <f t="shared" si="42"/>
        <v>0.97651538603152976</v>
      </c>
      <c r="I123" s="38">
        <f t="shared" si="42"/>
        <v>0.98433837470144891</v>
      </c>
      <c r="J123" s="38">
        <f t="shared" si="42"/>
        <v>0.98379603663408777</v>
      </c>
      <c r="K123" s="38">
        <f t="shared" si="42"/>
        <v>0.97645803773070305</v>
      </c>
      <c r="L123" s="38">
        <f t="shared" si="42"/>
        <v>0.98280100135963211</v>
      </c>
      <c r="M123" s="38">
        <f t="shared" si="42"/>
        <v>0.97625397823672044</v>
      </c>
      <c r="N123" s="132">
        <f t="shared" si="42"/>
        <v>0.97478608327693705</v>
      </c>
    </row>
    <row r="124" spans="1:14" x14ac:dyDescent="0.15">
      <c r="A124" s="29"/>
      <c r="B124" s="143">
        <f t="shared" ref="B124:N124" si="43">DSTDEV(RatioData,"Ratio",B121:B122)/B123</f>
        <v>3.1224600518110442E-3</v>
      </c>
      <c r="C124" s="143">
        <f t="shared" si="43"/>
        <v>3.5405453978524515E-3</v>
      </c>
      <c r="D124" s="143">
        <f t="shared" si="43"/>
        <v>5.6152426605060842E-3</v>
      </c>
      <c r="E124" s="143">
        <f t="shared" si="43"/>
        <v>8.772233860174632E-3</v>
      </c>
      <c r="F124" s="143">
        <f t="shared" si="43"/>
        <v>6.5607698595351862E-3</v>
      </c>
      <c r="G124" s="143">
        <f t="shared" si="43"/>
        <v>1.8900619626093149E-3</v>
      </c>
      <c r="H124" s="143">
        <f t="shared" si="43"/>
        <v>4.9421240865894223E-3</v>
      </c>
      <c r="I124" s="143">
        <f t="shared" si="43"/>
        <v>3.6466577454570188E-3</v>
      </c>
      <c r="J124" s="143">
        <f t="shared" si="43"/>
        <v>2.9371602163295349E-3</v>
      </c>
      <c r="K124" s="143">
        <f t="shared" si="43"/>
        <v>4.3468918113990342E-3</v>
      </c>
      <c r="L124" s="143">
        <f t="shared" si="43"/>
        <v>6.1640066914375301E-3</v>
      </c>
      <c r="M124" s="143">
        <f t="shared" si="43"/>
        <v>6.5343432763948503E-3</v>
      </c>
      <c r="N124" s="160">
        <f t="shared" si="43"/>
        <v>9.0615322161698673E-3</v>
      </c>
    </row>
    <row r="125" spans="1:14" x14ac:dyDescent="0.15">
      <c r="A125" s="29"/>
      <c r="B125" s="38">
        <f t="shared" ref="B125:N125" si="44">IF(ISNUMBER(B123),B123,"")</f>
        <v>0.9812108869403311</v>
      </c>
      <c r="C125" s="38">
        <f t="shared" si="44"/>
        <v>0.9800079205380865</v>
      </c>
      <c r="D125" s="38">
        <f t="shared" si="44"/>
        <v>0.98225228375825901</v>
      </c>
      <c r="E125" s="38">
        <f t="shared" si="44"/>
        <v>0.98155197261607574</v>
      </c>
      <c r="F125" s="38">
        <f t="shared" si="44"/>
        <v>0.9850756857455506</v>
      </c>
      <c r="G125" s="38">
        <f t="shared" si="44"/>
        <v>0.98454451264420151</v>
      </c>
      <c r="H125" s="38">
        <f t="shared" si="44"/>
        <v>0.97651538603152976</v>
      </c>
      <c r="I125" s="38">
        <f t="shared" si="44"/>
        <v>0.98433837470144891</v>
      </c>
      <c r="J125" s="38">
        <f t="shared" si="44"/>
        <v>0.98379603663408777</v>
      </c>
      <c r="K125" s="38">
        <f t="shared" si="44"/>
        <v>0.97645803773070305</v>
      </c>
      <c r="L125" s="38">
        <f t="shared" si="44"/>
        <v>0.98280100135963211</v>
      </c>
      <c r="M125" s="38">
        <f t="shared" si="44"/>
        <v>0.97625397823672044</v>
      </c>
      <c r="N125" s="132">
        <f t="shared" si="44"/>
        <v>0.97478608327693705</v>
      </c>
    </row>
    <row r="126" spans="1:14" x14ac:dyDescent="0.15">
      <c r="A126" s="29"/>
      <c r="G126" s="1"/>
      <c r="N126" s="27"/>
    </row>
    <row r="127" spans="1:14" x14ac:dyDescent="0.15">
      <c r="A127" s="29"/>
      <c r="B127" t="s">
        <v>85</v>
      </c>
      <c r="C127" t="s">
        <v>85</v>
      </c>
      <c r="D127" t="s">
        <v>85</v>
      </c>
      <c r="E127" t="s">
        <v>85</v>
      </c>
      <c r="F127" t="s">
        <v>85</v>
      </c>
      <c r="G127" t="s">
        <v>85</v>
      </c>
      <c r="H127" t="s">
        <v>85</v>
      </c>
      <c r="I127" t="s">
        <v>85</v>
      </c>
      <c r="J127" t="s">
        <v>85</v>
      </c>
      <c r="K127" t="s">
        <v>85</v>
      </c>
      <c r="L127" t="s">
        <v>85</v>
      </c>
      <c r="M127" t="s">
        <v>85</v>
      </c>
      <c r="N127" s="27" t="s">
        <v>85</v>
      </c>
    </row>
    <row r="128" spans="1:14" x14ac:dyDescent="0.15">
      <c r="A128" s="29"/>
      <c r="B128">
        <v>14</v>
      </c>
      <c r="C128">
        <f t="shared" ref="C128:N128" si="45">B128+1</f>
        <v>15</v>
      </c>
      <c r="D128">
        <f t="shared" si="45"/>
        <v>16</v>
      </c>
      <c r="E128">
        <f t="shared" si="45"/>
        <v>17</v>
      </c>
      <c r="F128">
        <f t="shared" si="45"/>
        <v>18</v>
      </c>
      <c r="G128">
        <f t="shared" si="45"/>
        <v>19</v>
      </c>
      <c r="H128">
        <f t="shared" si="45"/>
        <v>20</v>
      </c>
      <c r="I128">
        <f t="shared" si="45"/>
        <v>21</v>
      </c>
      <c r="J128">
        <f t="shared" si="45"/>
        <v>22</v>
      </c>
      <c r="K128">
        <f t="shared" si="45"/>
        <v>23</v>
      </c>
      <c r="L128">
        <f t="shared" si="45"/>
        <v>24</v>
      </c>
      <c r="M128">
        <f t="shared" si="45"/>
        <v>25</v>
      </c>
      <c r="N128" s="27">
        <f t="shared" si="45"/>
        <v>26</v>
      </c>
    </row>
    <row r="129" spans="1:14" x14ac:dyDescent="0.15">
      <c r="A129" s="29"/>
      <c r="B129" s="38">
        <f t="shared" ref="B129:N129" si="46">DAVERAGE(RatioData,"Ratio",B127:B128)</f>
        <v>0.97955264222366023</v>
      </c>
      <c r="C129" s="38">
        <f t="shared" si="46"/>
        <v>0.98306246976142897</v>
      </c>
      <c r="D129" s="38">
        <f t="shared" si="46"/>
        <v>0.97584597061177913</v>
      </c>
      <c r="E129" s="38">
        <f t="shared" si="46"/>
        <v>0.98088610960230627</v>
      </c>
      <c r="F129" s="38">
        <f t="shared" si="46"/>
        <v>0.98695622892390589</v>
      </c>
      <c r="G129" s="38">
        <f t="shared" si="46"/>
        <v>0.98418109410512244</v>
      </c>
      <c r="H129" s="38">
        <f t="shared" si="46"/>
        <v>0.97633171545174324</v>
      </c>
      <c r="I129" s="38">
        <f t="shared" si="46"/>
        <v>0.97997880744892507</v>
      </c>
      <c r="J129" s="38">
        <f t="shared" si="46"/>
        <v>0.9753864571396228</v>
      </c>
      <c r="K129" s="38">
        <f t="shared" si="46"/>
        <v>0.98233414214745451</v>
      </c>
      <c r="L129" s="38">
        <f t="shared" si="46"/>
        <v>0.98397580789489325</v>
      </c>
      <c r="M129" s="38">
        <f t="shared" si="46"/>
        <v>0.97976578402686976</v>
      </c>
      <c r="N129" s="132">
        <f t="shared" si="46"/>
        <v>0.98161534322122312</v>
      </c>
    </row>
    <row r="130" spans="1:14" x14ac:dyDescent="0.15">
      <c r="A130" s="29"/>
      <c r="B130" s="143">
        <f t="shared" ref="B130:N130" si="47">DSTDEV(RatioData,"Ratio",B127:B128)/B129</f>
        <v>5.3725432218827123E-3</v>
      </c>
      <c r="C130" s="143">
        <f t="shared" si="47"/>
        <v>6.7858880231857861E-3</v>
      </c>
      <c r="D130" s="143">
        <f t="shared" si="47"/>
        <v>7.7905906802684718E-3</v>
      </c>
      <c r="E130" s="143">
        <f t="shared" si="47"/>
        <v>5.344145155008832E-3</v>
      </c>
      <c r="F130" s="143">
        <f t="shared" si="47"/>
        <v>4.5087518935465172E-3</v>
      </c>
      <c r="G130" s="143">
        <f t="shared" si="47"/>
        <v>7.0448579648427828E-3</v>
      </c>
      <c r="H130" s="143">
        <f t="shared" si="47"/>
        <v>1.1617647025549025E-2</v>
      </c>
      <c r="I130" s="143">
        <f t="shared" si="47"/>
        <v>6.3125711197018399E-3</v>
      </c>
      <c r="J130" s="143">
        <f t="shared" si="47"/>
        <v>6.3992491471756069E-3</v>
      </c>
      <c r="K130" s="143">
        <f t="shared" si="47"/>
        <v>2.288653695099189E-3</v>
      </c>
      <c r="L130" s="143">
        <f t="shared" si="47"/>
        <v>2.8619205858253565E-3</v>
      </c>
      <c r="M130" s="143">
        <f t="shared" si="47"/>
        <v>3.037002935094851E-3</v>
      </c>
      <c r="N130" s="160">
        <f t="shared" si="47"/>
        <v>3.5703122931320412E-3</v>
      </c>
    </row>
    <row r="131" spans="1:14" x14ac:dyDescent="0.15">
      <c r="A131" s="29"/>
      <c r="B131" s="38">
        <f t="shared" ref="B131:N131" si="48">IF(ISNUMBER(B129),B129,"")</f>
        <v>0.97955264222366023</v>
      </c>
      <c r="C131" s="38">
        <f t="shared" si="48"/>
        <v>0.98306246976142897</v>
      </c>
      <c r="D131" s="38">
        <f t="shared" si="48"/>
        <v>0.97584597061177913</v>
      </c>
      <c r="E131" s="38">
        <f t="shared" si="48"/>
        <v>0.98088610960230627</v>
      </c>
      <c r="F131" s="38">
        <f t="shared" si="48"/>
        <v>0.98695622892390589</v>
      </c>
      <c r="G131" s="38">
        <f t="shared" si="48"/>
        <v>0.98418109410512244</v>
      </c>
      <c r="H131" s="38">
        <f t="shared" si="48"/>
        <v>0.97633171545174324</v>
      </c>
      <c r="I131" s="38">
        <f t="shared" si="48"/>
        <v>0.97997880744892507</v>
      </c>
      <c r="J131" s="38">
        <f t="shared" si="48"/>
        <v>0.9753864571396228</v>
      </c>
      <c r="K131" s="38">
        <f t="shared" si="48"/>
        <v>0.98233414214745451</v>
      </c>
      <c r="L131" s="38">
        <f t="shared" si="48"/>
        <v>0.98397580789489325</v>
      </c>
      <c r="M131" s="38">
        <f t="shared" si="48"/>
        <v>0.97976578402686976</v>
      </c>
      <c r="N131" s="132">
        <f t="shared" si="48"/>
        <v>0.98161534322122312</v>
      </c>
    </row>
    <row r="132" spans="1:14" x14ac:dyDescent="0.15">
      <c r="A132" s="29"/>
      <c r="G132" s="1"/>
      <c r="N132" s="27"/>
    </row>
    <row r="133" spans="1:14" x14ac:dyDescent="0.15">
      <c r="A133" s="29"/>
      <c r="B133" t="s">
        <v>85</v>
      </c>
      <c r="C133" t="s">
        <v>85</v>
      </c>
      <c r="D133" t="s">
        <v>85</v>
      </c>
      <c r="E133" t="s">
        <v>85</v>
      </c>
      <c r="F133" t="s">
        <v>85</v>
      </c>
      <c r="G133" t="s">
        <v>85</v>
      </c>
      <c r="H133" t="s">
        <v>85</v>
      </c>
      <c r="I133" t="s">
        <v>85</v>
      </c>
      <c r="J133" t="s">
        <v>85</v>
      </c>
      <c r="K133" t="s">
        <v>85</v>
      </c>
      <c r="L133" t="s">
        <v>85</v>
      </c>
      <c r="M133" t="s">
        <v>85</v>
      </c>
      <c r="N133" s="27" t="s">
        <v>85</v>
      </c>
    </row>
    <row r="134" spans="1:14" x14ac:dyDescent="0.15">
      <c r="A134" s="29"/>
      <c r="B134">
        <v>27</v>
      </c>
      <c r="C134">
        <f t="shared" ref="C134:N134" si="49">B134+1</f>
        <v>28</v>
      </c>
      <c r="D134">
        <f t="shared" si="49"/>
        <v>29</v>
      </c>
      <c r="E134">
        <f t="shared" si="49"/>
        <v>30</v>
      </c>
      <c r="F134">
        <f t="shared" si="49"/>
        <v>31</v>
      </c>
      <c r="G134">
        <f t="shared" si="49"/>
        <v>32</v>
      </c>
      <c r="H134">
        <f t="shared" si="49"/>
        <v>33</v>
      </c>
      <c r="I134">
        <f t="shared" si="49"/>
        <v>34</v>
      </c>
      <c r="J134">
        <f t="shared" si="49"/>
        <v>35</v>
      </c>
      <c r="K134">
        <f t="shared" si="49"/>
        <v>36</v>
      </c>
      <c r="L134">
        <f t="shared" si="49"/>
        <v>37</v>
      </c>
      <c r="M134">
        <f t="shared" si="49"/>
        <v>38</v>
      </c>
      <c r="N134" s="27">
        <f t="shared" si="49"/>
        <v>39</v>
      </c>
    </row>
    <row r="135" spans="1:14" x14ac:dyDescent="0.15">
      <c r="A135" s="29"/>
      <c r="B135" s="38">
        <f t="shared" ref="B135:N135" si="50">DAVERAGE(RatioData,"Ratio",B133:B134)</f>
        <v>0.98104239942848681</v>
      </c>
      <c r="C135" s="38">
        <f t="shared" si="50"/>
        <v>0.98054001725174511</v>
      </c>
      <c r="D135" s="38">
        <f t="shared" si="50"/>
        <v>0.97670353689800771</v>
      </c>
      <c r="E135" s="38">
        <f t="shared" si="50"/>
        <v>0.98143727752248655</v>
      </c>
      <c r="F135" s="38">
        <f t="shared" si="50"/>
        <v>0.98104818556112472</v>
      </c>
      <c r="G135" s="38" t="e">
        <f t="shared" si="50"/>
        <v>#DIV/0!</v>
      </c>
      <c r="H135" s="38" t="e">
        <f t="shared" si="50"/>
        <v>#DIV/0!</v>
      </c>
      <c r="I135" s="38" t="e">
        <f t="shared" si="50"/>
        <v>#DIV/0!</v>
      </c>
      <c r="J135" s="38" t="e">
        <f t="shared" si="50"/>
        <v>#DIV/0!</v>
      </c>
      <c r="K135" s="38" t="e">
        <f t="shared" si="50"/>
        <v>#DIV/0!</v>
      </c>
      <c r="L135" s="38" t="e">
        <f t="shared" si="50"/>
        <v>#DIV/0!</v>
      </c>
      <c r="M135" s="38" t="e">
        <f t="shared" si="50"/>
        <v>#DIV/0!</v>
      </c>
      <c r="N135" s="132" t="e">
        <f t="shared" si="50"/>
        <v>#DIV/0!</v>
      </c>
    </row>
    <row r="136" spans="1:14" x14ac:dyDescent="0.15">
      <c r="A136" s="29"/>
      <c r="B136" s="143">
        <f t="shared" ref="B136:N136" si="51">DSTDEV(RatioData,"Ratio",B133:B134)/B135</f>
        <v>5.581725713426757E-3</v>
      </c>
      <c r="C136" s="143">
        <f t="shared" si="51"/>
        <v>6.3453159791786243E-3</v>
      </c>
      <c r="D136" s="143">
        <f t="shared" si="51"/>
        <v>7.6687124502576275E-3</v>
      </c>
      <c r="E136" s="143">
        <f t="shared" si="51"/>
        <v>4.5540675787197104E-3</v>
      </c>
      <c r="F136" s="143">
        <f t="shared" si="51"/>
        <v>4.4273550554886501E-3</v>
      </c>
      <c r="G136" s="143" t="e">
        <f t="shared" si="51"/>
        <v>#DIV/0!</v>
      </c>
      <c r="H136" s="143" t="e">
        <f t="shared" si="51"/>
        <v>#DIV/0!</v>
      </c>
      <c r="I136" s="143" t="e">
        <f t="shared" si="51"/>
        <v>#DIV/0!</v>
      </c>
      <c r="J136" s="143" t="e">
        <f t="shared" si="51"/>
        <v>#DIV/0!</v>
      </c>
      <c r="K136" s="143" t="e">
        <f t="shared" si="51"/>
        <v>#DIV/0!</v>
      </c>
      <c r="L136" s="143" t="e">
        <f t="shared" si="51"/>
        <v>#DIV/0!</v>
      </c>
      <c r="M136" s="143" t="e">
        <f t="shared" si="51"/>
        <v>#DIV/0!</v>
      </c>
      <c r="N136" s="160" t="e">
        <f t="shared" si="51"/>
        <v>#DIV/0!</v>
      </c>
    </row>
    <row r="137" spans="1:14" x14ac:dyDescent="0.15">
      <c r="A137" s="29"/>
      <c r="B137" s="38">
        <f t="shared" ref="B137:N137" si="52">IF(ISNUMBER(B135),B135,"")</f>
        <v>0.98104239942848681</v>
      </c>
      <c r="C137" s="38">
        <f t="shared" si="52"/>
        <v>0.98054001725174511</v>
      </c>
      <c r="D137" s="38">
        <f t="shared" si="52"/>
        <v>0.97670353689800771</v>
      </c>
      <c r="E137" s="38">
        <f t="shared" si="52"/>
        <v>0.98143727752248655</v>
      </c>
      <c r="F137" s="38">
        <f t="shared" si="52"/>
        <v>0.98104818556112472</v>
      </c>
      <c r="G137" s="38" t="str">
        <f t="shared" si="52"/>
        <v/>
      </c>
      <c r="H137" s="38" t="str">
        <f t="shared" si="52"/>
        <v/>
      </c>
      <c r="I137" s="38" t="str">
        <f t="shared" si="52"/>
        <v/>
      </c>
      <c r="J137" s="38" t="str">
        <f t="shared" si="52"/>
        <v/>
      </c>
      <c r="K137" s="38" t="str">
        <f t="shared" si="52"/>
        <v/>
      </c>
      <c r="L137" s="38" t="str">
        <f t="shared" si="52"/>
        <v/>
      </c>
      <c r="M137" s="38" t="str">
        <f t="shared" si="52"/>
        <v/>
      </c>
      <c r="N137" s="132" t="str">
        <f t="shared" si="52"/>
        <v/>
      </c>
    </row>
    <row r="138" spans="1:14" x14ac:dyDescent="0.15">
      <c r="A138" s="29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132"/>
    </row>
    <row r="139" spans="1:14" x14ac:dyDescent="0.15">
      <c r="A139" s="29"/>
      <c r="B139" t="s">
        <v>85</v>
      </c>
      <c r="C139" t="s">
        <v>85</v>
      </c>
      <c r="D139" t="s">
        <v>85</v>
      </c>
      <c r="E139" t="s">
        <v>85</v>
      </c>
      <c r="F139" t="s">
        <v>85</v>
      </c>
      <c r="G139" t="s">
        <v>85</v>
      </c>
      <c r="H139" t="s">
        <v>85</v>
      </c>
      <c r="I139" t="s">
        <v>85</v>
      </c>
      <c r="J139" t="s">
        <v>85</v>
      </c>
      <c r="K139" t="s">
        <v>85</v>
      </c>
      <c r="L139" t="s">
        <v>85</v>
      </c>
      <c r="M139" t="s">
        <v>85</v>
      </c>
      <c r="N139" s="27" t="s">
        <v>85</v>
      </c>
    </row>
    <row r="140" spans="1:14" x14ac:dyDescent="0.15">
      <c r="A140" s="29"/>
      <c r="B140">
        <v>40</v>
      </c>
      <c r="C140">
        <f t="shared" ref="C140:N140" si="53">B140+1</f>
        <v>41</v>
      </c>
      <c r="D140">
        <f t="shared" si="53"/>
        <v>42</v>
      </c>
      <c r="E140">
        <f t="shared" si="53"/>
        <v>43</v>
      </c>
      <c r="F140">
        <f t="shared" si="53"/>
        <v>44</v>
      </c>
      <c r="G140">
        <f t="shared" si="53"/>
        <v>45</v>
      </c>
      <c r="H140">
        <f t="shared" si="53"/>
        <v>46</v>
      </c>
      <c r="I140">
        <f t="shared" si="53"/>
        <v>47</v>
      </c>
      <c r="J140">
        <f t="shared" si="53"/>
        <v>48</v>
      </c>
      <c r="K140">
        <f t="shared" si="53"/>
        <v>49</v>
      </c>
      <c r="L140">
        <f t="shared" si="53"/>
        <v>50</v>
      </c>
      <c r="M140">
        <f t="shared" si="53"/>
        <v>51</v>
      </c>
      <c r="N140" s="27">
        <f t="shared" si="53"/>
        <v>52</v>
      </c>
    </row>
    <row r="141" spans="1:14" x14ac:dyDescent="0.15">
      <c r="A141" s="29"/>
      <c r="B141" s="38" t="e">
        <f t="shared" ref="B141:N141" si="54">DAVERAGE(RatioData,"Ratio",B139:B140)</f>
        <v>#DIV/0!</v>
      </c>
      <c r="C141" s="38" t="e">
        <f t="shared" si="54"/>
        <v>#DIV/0!</v>
      </c>
      <c r="D141" s="38" t="e">
        <f t="shared" si="54"/>
        <v>#DIV/0!</v>
      </c>
      <c r="E141" s="38" t="e">
        <f t="shared" si="54"/>
        <v>#DIV/0!</v>
      </c>
      <c r="F141" s="38" t="e">
        <f t="shared" si="54"/>
        <v>#DIV/0!</v>
      </c>
      <c r="G141" s="38" t="e">
        <f t="shared" si="54"/>
        <v>#DIV/0!</v>
      </c>
      <c r="H141" s="38" t="e">
        <f t="shared" si="54"/>
        <v>#DIV/0!</v>
      </c>
      <c r="I141" s="38" t="e">
        <f t="shared" si="54"/>
        <v>#DIV/0!</v>
      </c>
      <c r="J141" s="38" t="e">
        <f t="shared" si="54"/>
        <v>#DIV/0!</v>
      </c>
      <c r="K141" s="38" t="e">
        <f t="shared" si="54"/>
        <v>#DIV/0!</v>
      </c>
      <c r="L141" s="38" t="e">
        <f t="shared" si="54"/>
        <v>#DIV/0!</v>
      </c>
      <c r="M141" s="38" t="e">
        <f t="shared" si="54"/>
        <v>#DIV/0!</v>
      </c>
      <c r="N141" s="132" t="e">
        <f t="shared" si="54"/>
        <v>#DIV/0!</v>
      </c>
    </row>
    <row r="142" spans="1:14" x14ac:dyDescent="0.15">
      <c r="A142" s="29"/>
      <c r="B142" s="143" t="e">
        <f t="shared" ref="B142:N142" si="55">DSTDEV(RatioData,"Ratio",B139:B140)/B141</f>
        <v>#DIV/0!</v>
      </c>
      <c r="C142" s="143" t="e">
        <f t="shared" si="55"/>
        <v>#DIV/0!</v>
      </c>
      <c r="D142" s="143" t="e">
        <f t="shared" si="55"/>
        <v>#DIV/0!</v>
      </c>
      <c r="E142" s="143" t="e">
        <f t="shared" si="55"/>
        <v>#DIV/0!</v>
      </c>
      <c r="F142" s="143" t="e">
        <f t="shared" si="55"/>
        <v>#DIV/0!</v>
      </c>
      <c r="G142" s="143" t="e">
        <f t="shared" si="55"/>
        <v>#DIV/0!</v>
      </c>
      <c r="H142" s="143" t="e">
        <f t="shared" si="55"/>
        <v>#DIV/0!</v>
      </c>
      <c r="I142" s="143" t="e">
        <f t="shared" si="55"/>
        <v>#DIV/0!</v>
      </c>
      <c r="J142" s="143" t="e">
        <f t="shared" si="55"/>
        <v>#DIV/0!</v>
      </c>
      <c r="K142" s="143" t="e">
        <f t="shared" si="55"/>
        <v>#DIV/0!</v>
      </c>
      <c r="L142" s="143" t="e">
        <f t="shared" si="55"/>
        <v>#DIV/0!</v>
      </c>
      <c r="M142" s="143" t="e">
        <f t="shared" si="55"/>
        <v>#DIV/0!</v>
      </c>
      <c r="N142" s="160" t="e">
        <f t="shared" si="55"/>
        <v>#DIV/0!</v>
      </c>
    </row>
    <row r="143" spans="1:14" x14ac:dyDescent="0.15">
      <c r="A143" s="29"/>
      <c r="B143" s="38" t="str">
        <f t="shared" ref="B143:N143" si="56">IF(ISNUMBER(B141),B141,"")</f>
        <v/>
      </c>
      <c r="C143" s="38" t="str">
        <f t="shared" si="56"/>
        <v/>
      </c>
      <c r="D143" s="38" t="str">
        <f t="shared" si="56"/>
        <v/>
      </c>
      <c r="E143" s="38" t="str">
        <f t="shared" si="56"/>
        <v/>
      </c>
      <c r="F143" s="38" t="str">
        <f t="shared" si="56"/>
        <v/>
      </c>
      <c r="G143" s="38" t="str">
        <f t="shared" si="56"/>
        <v/>
      </c>
      <c r="H143" s="38" t="str">
        <f t="shared" si="56"/>
        <v/>
      </c>
      <c r="I143" s="38" t="str">
        <f t="shared" si="56"/>
        <v/>
      </c>
      <c r="J143" s="38" t="str">
        <f t="shared" si="56"/>
        <v/>
      </c>
      <c r="K143" s="38" t="str">
        <f t="shared" si="56"/>
        <v/>
      </c>
      <c r="L143" s="38" t="str">
        <f t="shared" si="56"/>
        <v/>
      </c>
      <c r="M143" s="38" t="str">
        <f t="shared" si="56"/>
        <v/>
      </c>
      <c r="N143" s="132" t="str">
        <f t="shared" si="56"/>
        <v/>
      </c>
    </row>
    <row r="144" spans="1:14" x14ac:dyDescent="0.15">
      <c r="A144" s="29"/>
      <c r="G144" s="1"/>
      <c r="N144" s="27"/>
    </row>
    <row r="145" spans="1:14" x14ac:dyDescent="0.15">
      <c r="A145" s="2"/>
      <c r="B145" s="2" t="s">
        <v>244</v>
      </c>
      <c r="C145" s="39">
        <f>AVERAGE(B125:N125,B131:N131,B137:N137,B143:N143)</f>
        <v>0.98065277901401127</v>
      </c>
      <c r="G145" s="1"/>
      <c r="N145" s="27"/>
    </row>
    <row r="146" spans="1:14" x14ac:dyDescent="0.15">
      <c r="A146" s="2"/>
      <c r="B146" s="2" t="s">
        <v>245</v>
      </c>
      <c r="C146" s="39">
        <f>STDEV($B$125:$N$125,$B$131:$N$131,$B$137:$N$137,$B$143:$N$143)</f>
        <v>3.2490860468425819E-3</v>
      </c>
      <c r="G146" s="1"/>
      <c r="N146" s="27"/>
    </row>
    <row r="147" spans="1:14" x14ac:dyDescent="0.15">
      <c r="A147" s="2"/>
      <c r="B147" s="2" t="s">
        <v>246</v>
      </c>
      <c r="C147">
        <f>COUNT($B$125:$N$125,$B$131:$N$131,$B$137:$N$137,$B$143:$N$143)</f>
        <v>31</v>
      </c>
      <c r="G147" s="1"/>
      <c r="N147" s="27"/>
    </row>
    <row r="148" spans="1:14" ht="12" x14ac:dyDescent="0.15">
      <c r="A148" s="314"/>
      <c r="B148" s="314" t="s">
        <v>247</v>
      </c>
      <c r="C148" s="39">
        <f>C146/SQRT(C147)</f>
        <v>5.8355308075414209E-4</v>
      </c>
      <c r="G148" s="1"/>
      <c r="N148" s="27"/>
    </row>
    <row r="149" spans="1:14" ht="13" thickBot="1" x14ac:dyDescent="0.2">
      <c r="A149" s="315"/>
      <c r="B149" s="315" t="s">
        <v>248</v>
      </c>
      <c r="C149" s="31">
        <f>C147-1</f>
        <v>30</v>
      </c>
      <c r="D149" s="31"/>
      <c r="E149" s="31"/>
      <c r="F149" s="31"/>
      <c r="G149" s="37"/>
      <c r="H149" s="31"/>
      <c r="I149" s="31"/>
      <c r="J149" s="31"/>
      <c r="K149" s="31"/>
      <c r="L149" s="31"/>
      <c r="M149" s="31"/>
      <c r="N149" s="32"/>
    </row>
    <row r="150" spans="1:14" x14ac:dyDescent="0.15">
      <c r="G150" s="1"/>
    </row>
    <row r="151" spans="1:14" ht="12" thickBot="1" x14ac:dyDescent="0.2"/>
    <row r="152" spans="1:14" x14ac:dyDescent="0.15">
      <c r="A152" s="53" t="s">
        <v>105</v>
      </c>
      <c r="B152" s="54" t="s">
        <v>173</v>
      </c>
      <c r="C152" s="54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26"/>
    </row>
    <row r="153" spans="1:14" x14ac:dyDescent="0.15">
      <c r="A153" s="29"/>
      <c r="N153" s="27"/>
    </row>
    <row r="154" spans="1:14" x14ac:dyDescent="0.15">
      <c r="A154" s="29"/>
      <c r="B154" t="s">
        <v>10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10</v>
      </c>
      <c r="K154" t="s">
        <v>10</v>
      </c>
      <c r="L154" t="s">
        <v>10</v>
      </c>
      <c r="M154" t="s">
        <v>10</v>
      </c>
      <c r="N154" s="27" t="s">
        <v>10</v>
      </c>
    </row>
    <row r="155" spans="1:14" x14ac:dyDescent="0.15">
      <c r="A155" s="29"/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  <c r="N155" s="27">
        <v>13</v>
      </c>
    </row>
    <row r="156" spans="1:14" x14ac:dyDescent="0.15">
      <c r="A156" s="29"/>
      <c r="B156">
        <f>DAVERAGE(RatioData,"Ratio",B154:B155)</f>
        <v>0.98060940373920891</v>
      </c>
      <c r="C156">
        <f t="shared" ref="C156:N156" si="57">DAVERAGE(RatioData,"Ratio",C154:C155)</f>
        <v>0.98225228375825901</v>
      </c>
      <c r="D156">
        <f t="shared" si="57"/>
        <v>0.98155197261607574</v>
      </c>
      <c r="E156">
        <f t="shared" si="57"/>
        <v>0.9850756857455506</v>
      </c>
      <c r="F156">
        <f t="shared" si="57"/>
        <v>0.98052994933786553</v>
      </c>
      <c r="G156">
        <f t="shared" si="57"/>
        <v>0.9840672056677684</v>
      </c>
      <c r="H156">
        <f t="shared" si="57"/>
        <v>0.9796295195451673</v>
      </c>
      <c r="I156">
        <f t="shared" si="57"/>
        <v>0.97625397823672044</v>
      </c>
      <c r="J156">
        <f t="shared" si="57"/>
        <v>0.97478608327693705</v>
      </c>
      <c r="K156">
        <f t="shared" si="57"/>
        <v>0.97955264222366023</v>
      </c>
      <c r="L156">
        <f t="shared" si="57"/>
        <v>0.98306246976142897</v>
      </c>
      <c r="M156">
        <f t="shared" si="57"/>
        <v>0.97584597061177913</v>
      </c>
      <c r="N156" s="27">
        <f t="shared" si="57"/>
        <v>0.98392116926310624</v>
      </c>
    </row>
    <row r="157" spans="1:14" x14ac:dyDescent="0.15">
      <c r="A157" s="29"/>
      <c r="B157">
        <f t="shared" ref="B157:N157" si="58">DSTDEV(RatioData,"Ratio",B154:B155)</f>
        <v>3.27733225727135E-3</v>
      </c>
      <c r="C157">
        <f t="shared" si="58"/>
        <v>5.5155849271389034E-3</v>
      </c>
      <c r="D157">
        <f t="shared" si="58"/>
        <v>8.6104034497039433E-3</v>
      </c>
      <c r="E157">
        <f t="shared" si="58"/>
        <v>6.4628548684003634E-3</v>
      </c>
      <c r="F157">
        <f t="shared" si="58"/>
        <v>5.4389257089733391E-3</v>
      </c>
      <c r="G157">
        <f t="shared" si="58"/>
        <v>3.2172392822003037E-3</v>
      </c>
      <c r="H157">
        <f t="shared" si="58"/>
        <v>6.0710803538146221E-3</v>
      </c>
      <c r="I157">
        <f t="shared" si="58"/>
        <v>6.3791786187448385E-3</v>
      </c>
      <c r="J157">
        <f t="shared" si="58"/>
        <v>8.8330554974880085E-3</v>
      </c>
      <c r="K157">
        <f t="shared" si="58"/>
        <v>5.2626889084560272E-3</v>
      </c>
      <c r="L157">
        <f t="shared" si="58"/>
        <v>6.6709518395975196E-3</v>
      </c>
      <c r="M157">
        <f t="shared" si="58"/>
        <v>7.6024165240256673E-3</v>
      </c>
      <c r="N157" s="27">
        <f t="shared" si="58"/>
        <v>5.6909052716741827E-3</v>
      </c>
    </row>
    <row r="158" spans="1:14" x14ac:dyDescent="0.15">
      <c r="A158" s="29"/>
      <c r="B158">
        <f t="shared" ref="B158:N158" si="59">IF(ISNUMBER(B156),B156,"")</f>
        <v>0.98060940373920891</v>
      </c>
      <c r="C158">
        <f t="shared" si="59"/>
        <v>0.98225228375825901</v>
      </c>
      <c r="D158">
        <f t="shared" si="59"/>
        <v>0.98155197261607574</v>
      </c>
      <c r="E158">
        <f t="shared" si="59"/>
        <v>0.9850756857455506</v>
      </c>
      <c r="F158">
        <f t="shared" si="59"/>
        <v>0.98052994933786553</v>
      </c>
      <c r="G158">
        <f t="shared" si="59"/>
        <v>0.9840672056677684</v>
      </c>
      <c r="H158">
        <f t="shared" si="59"/>
        <v>0.9796295195451673</v>
      </c>
      <c r="I158">
        <f t="shared" si="59"/>
        <v>0.97625397823672044</v>
      </c>
      <c r="J158">
        <f t="shared" si="59"/>
        <v>0.97478608327693705</v>
      </c>
      <c r="K158">
        <f t="shared" si="59"/>
        <v>0.97955264222366023</v>
      </c>
      <c r="L158">
        <f t="shared" si="59"/>
        <v>0.98306246976142897</v>
      </c>
      <c r="M158">
        <f t="shared" si="59"/>
        <v>0.97584597061177913</v>
      </c>
      <c r="N158" s="27">
        <f t="shared" si="59"/>
        <v>0.98392116926310624</v>
      </c>
    </row>
    <row r="159" spans="1:14" x14ac:dyDescent="0.15">
      <c r="A159" s="29"/>
      <c r="N159" s="27"/>
    </row>
    <row r="160" spans="1:14" x14ac:dyDescent="0.15">
      <c r="A160" s="29"/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10</v>
      </c>
      <c r="K160" t="s">
        <v>10</v>
      </c>
      <c r="L160" t="s">
        <v>10</v>
      </c>
      <c r="M160" t="s">
        <v>10</v>
      </c>
      <c r="N160" s="27" t="s">
        <v>10</v>
      </c>
    </row>
    <row r="161" spans="1:14" x14ac:dyDescent="0.15">
      <c r="A161" s="29"/>
      <c r="B161">
        <v>14</v>
      </c>
      <c r="C161">
        <v>15</v>
      </c>
      <c r="D161">
        <v>16</v>
      </c>
      <c r="E161">
        <v>17</v>
      </c>
      <c r="F161">
        <v>18</v>
      </c>
      <c r="G161">
        <v>19</v>
      </c>
      <c r="H161">
        <v>20</v>
      </c>
      <c r="I161">
        <v>21</v>
      </c>
      <c r="J161">
        <v>22</v>
      </c>
      <c r="K161">
        <v>23</v>
      </c>
      <c r="L161">
        <v>24</v>
      </c>
      <c r="M161">
        <v>25</v>
      </c>
      <c r="N161" s="27">
        <v>26</v>
      </c>
    </row>
    <row r="162" spans="1:14" x14ac:dyDescent="0.15">
      <c r="A162" s="29"/>
      <c r="B162">
        <f t="shared" ref="B162:N162" si="60">DAVERAGE(RatioData,"Ratio",B160:B161)</f>
        <v>0.98025640477843268</v>
      </c>
      <c r="C162">
        <f t="shared" si="60"/>
        <v>0.97997880744892507</v>
      </c>
      <c r="D162">
        <f t="shared" si="60"/>
        <v>0.97836403642869352</v>
      </c>
      <c r="E162">
        <f t="shared" si="60"/>
        <v>0.98397580789489325</v>
      </c>
      <c r="F162">
        <f t="shared" si="60"/>
        <v>0.98069056362404639</v>
      </c>
      <c r="G162">
        <f t="shared" si="60"/>
        <v>0.98075532389892039</v>
      </c>
      <c r="H162">
        <f t="shared" si="60"/>
        <v>0.97670353689800771</v>
      </c>
      <c r="I162">
        <f t="shared" si="60"/>
        <v>0.98143727752248655</v>
      </c>
      <c r="J162">
        <f t="shared" si="60"/>
        <v>0.98104818556112472</v>
      </c>
      <c r="K162" t="e">
        <f t="shared" si="60"/>
        <v>#DIV/0!</v>
      </c>
      <c r="L162" t="e">
        <f t="shared" si="60"/>
        <v>#DIV/0!</v>
      </c>
      <c r="M162" t="e">
        <f t="shared" si="60"/>
        <v>#DIV/0!</v>
      </c>
      <c r="N162" s="27" t="e">
        <f t="shared" si="60"/>
        <v>#DIV/0!</v>
      </c>
    </row>
    <row r="163" spans="1:14" x14ac:dyDescent="0.15">
      <c r="A163" s="29"/>
      <c r="B163">
        <f t="shared" ref="B163:N163" si="61">DSTDEV(RatioData,"Ratio",B160:B161)</f>
        <v>1.0070446598404467E-2</v>
      </c>
      <c r="C163">
        <f t="shared" si="61"/>
        <v>6.1861859178219351E-3</v>
      </c>
      <c r="D163">
        <f t="shared" si="61"/>
        <v>5.9968696663348694E-3</v>
      </c>
      <c r="E163">
        <f t="shared" si="61"/>
        <v>2.8160606205685315E-3</v>
      </c>
      <c r="F163">
        <f t="shared" si="61"/>
        <v>3.333198536999676E-3</v>
      </c>
      <c r="G163">
        <f t="shared" si="61"/>
        <v>5.8126324637822902E-3</v>
      </c>
      <c r="H163">
        <f t="shared" si="61"/>
        <v>7.4900585736204115E-3</v>
      </c>
      <c r="I163">
        <f t="shared" si="61"/>
        <v>4.4695316861120948E-3</v>
      </c>
      <c r="J163">
        <f t="shared" si="61"/>
        <v>4.3434486440220126E-3</v>
      </c>
      <c r="K163" t="e">
        <f t="shared" si="61"/>
        <v>#DIV/0!</v>
      </c>
      <c r="L163" t="e">
        <f t="shared" si="61"/>
        <v>#DIV/0!</v>
      </c>
      <c r="M163" t="e">
        <f t="shared" si="61"/>
        <v>#DIV/0!</v>
      </c>
      <c r="N163" s="27" t="e">
        <f t="shared" si="61"/>
        <v>#DIV/0!</v>
      </c>
    </row>
    <row r="164" spans="1:14" x14ac:dyDescent="0.15">
      <c r="A164" s="29"/>
      <c r="B164">
        <f t="shared" ref="B164:N164" si="62">IF(ISNUMBER(B162),B162,"")</f>
        <v>0.98025640477843268</v>
      </c>
      <c r="C164">
        <f t="shared" si="62"/>
        <v>0.97997880744892507</v>
      </c>
      <c r="D164">
        <f t="shared" si="62"/>
        <v>0.97836403642869352</v>
      </c>
      <c r="E164">
        <f t="shared" si="62"/>
        <v>0.98397580789489325</v>
      </c>
      <c r="F164">
        <f t="shared" si="62"/>
        <v>0.98069056362404639</v>
      </c>
      <c r="G164">
        <f t="shared" si="62"/>
        <v>0.98075532389892039</v>
      </c>
      <c r="H164">
        <f t="shared" si="62"/>
        <v>0.97670353689800771</v>
      </c>
      <c r="I164">
        <f t="shared" si="62"/>
        <v>0.98143727752248655</v>
      </c>
      <c r="J164">
        <f t="shared" si="62"/>
        <v>0.98104818556112472</v>
      </c>
      <c r="K164" t="str">
        <f t="shared" si="62"/>
        <v/>
      </c>
      <c r="L164" t="str">
        <f t="shared" si="62"/>
        <v/>
      </c>
      <c r="M164" t="str">
        <f t="shared" si="62"/>
        <v/>
      </c>
      <c r="N164" s="27" t="str">
        <f t="shared" si="62"/>
        <v/>
      </c>
    </row>
    <row r="165" spans="1:14" x14ac:dyDescent="0.15">
      <c r="A165" s="29"/>
      <c r="N165" s="27"/>
    </row>
    <row r="166" spans="1:14" x14ac:dyDescent="0.15">
      <c r="A166" s="2"/>
      <c r="B166" s="2" t="s">
        <v>244</v>
      </c>
      <c r="C166">
        <f>AVERAGE($B$158:$N$158,$B$164:$P$164)</f>
        <v>0.980470376265412</v>
      </c>
      <c r="N166" s="27"/>
    </row>
    <row r="167" spans="1:14" x14ac:dyDescent="0.15">
      <c r="A167" s="2"/>
      <c r="B167" s="2" t="s">
        <v>245</v>
      </c>
      <c r="C167">
        <f>STDEV($B$158:$N$158,$B$164:$P$164)</f>
        <v>2.7840033137955704E-3</v>
      </c>
      <c r="N167" s="27"/>
    </row>
    <row r="168" spans="1:14" x14ac:dyDescent="0.15">
      <c r="A168" s="2"/>
      <c r="B168" s="2" t="s">
        <v>246</v>
      </c>
      <c r="C168">
        <f>COUNT($B$156:$N$156,$B$164:$N$164)</f>
        <v>22</v>
      </c>
      <c r="N168" s="27"/>
    </row>
    <row r="169" spans="1:14" ht="12" x14ac:dyDescent="0.15">
      <c r="A169" s="314"/>
      <c r="B169" s="314" t="s">
        <v>247</v>
      </c>
      <c r="C169">
        <f>C167/SQRT(C168)</f>
        <v>5.935515008376089E-4</v>
      </c>
      <c r="N169" s="27"/>
    </row>
    <row r="170" spans="1:14" ht="13" thickBot="1" x14ac:dyDescent="0.2">
      <c r="A170" s="315"/>
      <c r="B170" s="315" t="s">
        <v>248</v>
      </c>
      <c r="C170" s="31">
        <f>C168-1</f>
        <v>21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2"/>
    </row>
    <row r="174" spans="1:14" ht="12" x14ac:dyDescent="0.15">
      <c r="A174" s="11" t="s">
        <v>74</v>
      </c>
      <c r="B174" s="11" t="s">
        <v>194</v>
      </c>
      <c r="C174" s="11"/>
      <c r="D174" s="11"/>
      <c r="E174" s="11"/>
      <c r="F174" s="12"/>
      <c r="G174" s="12"/>
      <c r="H174" s="12"/>
    </row>
    <row r="175" spans="1:14" ht="13" thickBot="1" x14ac:dyDescent="0.2">
      <c r="A175" s="12"/>
      <c r="B175" s="12"/>
      <c r="C175" s="12"/>
      <c r="D175" s="12"/>
      <c r="E175" s="12"/>
      <c r="F175" s="12"/>
      <c r="G175" s="12"/>
      <c r="H175" s="12"/>
    </row>
    <row r="176" spans="1:14" ht="12" x14ac:dyDescent="0.15">
      <c r="A176" s="12"/>
      <c r="B176" s="83" t="s">
        <v>33</v>
      </c>
      <c r="C176" s="84"/>
      <c r="D176" s="84" t="s">
        <v>23</v>
      </c>
      <c r="E176" s="84" t="s">
        <v>70</v>
      </c>
      <c r="F176" s="85" t="s">
        <v>34</v>
      </c>
      <c r="G176" s="84" t="s">
        <v>32</v>
      </c>
      <c r="H176" s="85" t="s">
        <v>65</v>
      </c>
    </row>
    <row r="177" spans="1:11" ht="12" x14ac:dyDescent="0.15">
      <c r="A177" s="12"/>
      <c r="B177" s="41" t="s">
        <v>116</v>
      </c>
      <c r="C177" s="12"/>
      <c r="D177" s="48">
        <f>C3</f>
        <v>0.98058109855770981</v>
      </c>
      <c r="E177" s="48">
        <f>IF(ISERROR(C6),0,C6)</f>
        <v>2.9767404795016114E-4</v>
      </c>
      <c r="F177" s="20">
        <f>IF(C7&lt;=0,1000,C7)</f>
        <v>471</v>
      </c>
      <c r="G177" s="12">
        <f t="shared" ref="G177:G182" si="63">TINV(0.05,F177)</f>
        <v>1.9650134013822513</v>
      </c>
      <c r="H177" s="89">
        <f t="shared" ref="H177:H182" si="64">G177*E177</f>
        <v>5.8493349346576949E-4</v>
      </c>
    </row>
    <row r="178" spans="1:11" ht="12" x14ac:dyDescent="0.15">
      <c r="A178" s="12"/>
      <c r="B178" s="41" t="s">
        <v>87</v>
      </c>
      <c r="C178" s="12"/>
      <c r="D178" s="48">
        <f>C23</f>
        <v>0.98058109855770981</v>
      </c>
      <c r="E178" s="48">
        <f>IF(ISERROR(C26),0,C26)</f>
        <v>2.9767404795016114E-4</v>
      </c>
      <c r="F178" s="20">
        <f>IF(C27&lt;=0,1000,C27)</f>
        <v>471</v>
      </c>
      <c r="G178" s="12">
        <f t="shared" si="63"/>
        <v>1.9650134013822513</v>
      </c>
      <c r="H178" s="89">
        <f t="shared" si="64"/>
        <v>5.8493349346576949E-4</v>
      </c>
    </row>
    <row r="179" spans="1:11" ht="12" x14ac:dyDescent="0.15">
      <c r="A179" s="12"/>
      <c r="B179" s="41" t="s">
        <v>145</v>
      </c>
      <c r="C179" s="12"/>
      <c r="D179" s="48">
        <f>C92</f>
        <v>0.98058109855771025</v>
      </c>
      <c r="E179" s="48">
        <f>IF(ISERROR(C95),0,C95)</f>
        <v>8.1789097280796151E-4</v>
      </c>
      <c r="F179" s="52">
        <f>IF(C96&lt;=0,1000,C96)</f>
        <v>58</v>
      </c>
      <c r="G179" s="12">
        <f t="shared" si="63"/>
        <v>2.0017174841452352</v>
      </c>
      <c r="H179" s="89">
        <f t="shared" si="64"/>
        <v>1.6371866603942518E-3</v>
      </c>
    </row>
    <row r="180" spans="1:11" ht="12" x14ac:dyDescent="0.15">
      <c r="A180" s="12"/>
      <c r="B180" s="41" t="s">
        <v>64</v>
      </c>
      <c r="C180" s="12"/>
      <c r="D180" s="48">
        <f>C105</f>
        <v>0.98029875787397636</v>
      </c>
      <c r="E180" s="48">
        <f>IF(ISERROR(C108),0,C108)</f>
        <v>4.8961237789787928E-4</v>
      </c>
      <c r="F180" s="20">
        <f>IF(C109&lt;=0,1000,C109)</f>
        <v>4</v>
      </c>
      <c r="G180" s="12">
        <f t="shared" si="63"/>
        <v>2.7764451051977934</v>
      </c>
      <c r="H180" s="89">
        <f t="shared" si="64"/>
        <v>1.3593818900588192E-3</v>
      </c>
    </row>
    <row r="181" spans="1:11" ht="12" x14ac:dyDescent="0.15">
      <c r="A181" s="12"/>
      <c r="B181" s="41" t="s">
        <v>86</v>
      </c>
      <c r="C181" s="12"/>
      <c r="D181" s="48">
        <f>C145</f>
        <v>0.98065277901401127</v>
      </c>
      <c r="E181" s="48">
        <f>IF(ISERROR(C148),0,C148)</f>
        <v>5.8355308075414209E-4</v>
      </c>
      <c r="F181" s="20">
        <f>IF(C149&lt;=0,1000,C149)</f>
        <v>30</v>
      </c>
      <c r="G181" s="12">
        <f t="shared" si="63"/>
        <v>2.0422724563012378</v>
      </c>
      <c r="H181" s="89">
        <f t="shared" si="64"/>
        <v>1.1917743836139163E-3</v>
      </c>
    </row>
    <row r="182" spans="1:11" ht="13" thickBot="1" x14ac:dyDescent="0.2">
      <c r="A182" s="12"/>
      <c r="B182" s="42" t="s">
        <v>49</v>
      </c>
      <c r="C182" s="22"/>
      <c r="D182" s="22">
        <f>C166</f>
        <v>0.980470376265412</v>
      </c>
      <c r="E182" s="87">
        <f>IF(ISERROR(C169),0,C169)</f>
        <v>5.935515008376089E-4</v>
      </c>
      <c r="F182" s="24">
        <f>IF(C170&lt;=0,1000,C170)</f>
        <v>21</v>
      </c>
      <c r="G182" s="22">
        <f t="shared" si="63"/>
        <v>2.07961384472768</v>
      </c>
      <c r="H182" s="90">
        <f t="shared" si="64"/>
        <v>1.2343579187007847E-3</v>
      </c>
    </row>
    <row r="183" spans="1:11" ht="12" x14ac:dyDescent="0.15">
      <c r="A183" s="12"/>
      <c r="B183" s="25"/>
      <c r="C183" s="17"/>
      <c r="D183" s="17"/>
      <c r="E183" s="17"/>
      <c r="F183" s="18" t="s">
        <v>65</v>
      </c>
      <c r="G183" s="12"/>
      <c r="H183" s="12"/>
    </row>
    <row r="184" spans="1:11" ht="13" thickBot="1" x14ac:dyDescent="0.2">
      <c r="B184" s="41" t="s">
        <v>193</v>
      </c>
      <c r="C184" s="12"/>
      <c r="D184" s="12"/>
      <c r="E184" s="12"/>
      <c r="F184" s="81">
        <f>MAX(H177:H182)</f>
        <v>1.6371866603942518E-3</v>
      </c>
      <c r="G184" s="12"/>
      <c r="H184" s="12"/>
    </row>
    <row r="185" spans="1:11" ht="13" x14ac:dyDescent="0.15">
      <c r="B185" s="41"/>
      <c r="C185" s="12"/>
      <c r="D185" s="12"/>
      <c r="E185" s="12"/>
      <c r="F185" s="81"/>
      <c r="G185" s="363" t="s">
        <v>284</v>
      </c>
      <c r="H185" s="364"/>
      <c r="I185" s="113"/>
      <c r="J185" s="113"/>
      <c r="K185" s="114"/>
    </row>
    <row r="186" spans="1:11" ht="14" thickBot="1" x14ac:dyDescent="0.2">
      <c r="A186" s="12"/>
      <c r="B186" s="41" t="s">
        <v>203</v>
      </c>
      <c r="C186" s="12"/>
      <c r="D186" s="12"/>
      <c r="E186" s="12"/>
      <c r="F186" s="82" t="str">
        <f>DGET($B$176:$H$182,"Type",$F$183:$F$184)</f>
        <v>By Cylinder ID</v>
      </c>
      <c r="G186" s="502">
        <f>MAX(AB3:AB8)</f>
        <v>0.84069036063391389</v>
      </c>
      <c r="H186" s="503"/>
      <c r="I186" s="503"/>
      <c r="J186" s="365" t="str">
        <f>LOOKUP($G$186,$AB$3:$AB$6,$X$3:$X$6)</f>
        <v>SampleID</v>
      </c>
      <c r="K186" s="135"/>
    </row>
    <row r="187" spans="1:11" ht="13" thickBot="1" x14ac:dyDescent="0.2">
      <c r="A187" s="12"/>
      <c r="B187" s="41" t="s">
        <v>149</v>
      </c>
      <c r="C187" s="12"/>
      <c r="D187" s="12"/>
      <c r="E187" s="12"/>
      <c r="F187" s="133">
        <f>DGET($B$176:$H$182,"Mean",$F$183:$F$184)</f>
        <v>0.98058109855771025</v>
      </c>
      <c r="G187" s="12"/>
      <c r="H187" s="12"/>
    </row>
    <row r="188" spans="1:11" ht="12" x14ac:dyDescent="0.15">
      <c r="A188" s="12"/>
      <c r="B188" s="41" t="s">
        <v>191</v>
      </c>
      <c r="C188" s="12"/>
      <c r="D188" s="12"/>
      <c r="E188" s="12"/>
      <c r="F188" s="133">
        <f>DGET($B$176:$H$182,"Std Unc",$F$183:$F$184)</f>
        <v>8.1789097280796151E-4</v>
      </c>
      <c r="G188" s="12"/>
      <c r="H188" s="111"/>
    </row>
    <row r="189" spans="1:11" ht="13" thickBot="1" x14ac:dyDescent="0.2">
      <c r="A189" s="12"/>
      <c r="B189" s="42" t="s">
        <v>170</v>
      </c>
      <c r="C189" s="22"/>
      <c r="D189" s="22"/>
      <c r="E189" s="22"/>
      <c r="F189" s="134">
        <f>DGET($B$176:$H$182,"d.f.",$F$183:$F$184)</f>
        <v>58</v>
      </c>
      <c r="G189" s="12"/>
      <c r="H189" s="12"/>
    </row>
  </sheetData>
  <mergeCells count="1">
    <mergeCell ref="G186:I186"/>
  </mergeCells>
  <phoneticPr fontId="16" type="noConversion"/>
  <pageMargins left="0.75" right="0.75" top="1" bottom="1" header="0.5" footer="0.5"/>
  <pageSetup orientation="landscape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7F58-E646-9446-BD8A-FE4839EE45F8}">
  <sheetPr codeName="Sheet6">
    <pageSetUpPr fitToPage="1"/>
  </sheetPr>
  <dimension ref="A1:Y79"/>
  <sheetViews>
    <sheetView topLeftCell="A7" workbookViewId="0">
      <selection activeCell="I3" sqref="I3"/>
    </sheetView>
  </sheetViews>
  <sheetFormatPr baseColWidth="10" defaultColWidth="8.796875" defaultRowHeight="11" x14ac:dyDescent="0.15"/>
  <cols>
    <col min="1" max="2" width="10.19921875" customWidth="1"/>
    <col min="3" max="3" width="12.796875" bestFit="1" customWidth="1"/>
    <col min="4" max="8" width="8.796875" customWidth="1"/>
    <col min="9" max="9" width="9.796875" bestFit="1" customWidth="1"/>
    <col min="10" max="10" width="11.3984375" customWidth="1"/>
    <col min="11" max="11" width="8.796875" customWidth="1"/>
    <col min="12" max="13" width="9.59765625" style="181" customWidth="1"/>
    <col min="14" max="16" width="8.796875" customWidth="1"/>
    <col min="17" max="17" width="1.3984375" customWidth="1"/>
    <col min="18" max="18" width="5.59765625" customWidth="1"/>
    <col min="19" max="19" width="7.59765625" customWidth="1"/>
    <col min="20" max="20" width="14.796875" customWidth="1"/>
    <col min="21" max="21" width="14.59765625" customWidth="1"/>
    <col min="22" max="23" width="12" customWidth="1"/>
    <col min="24" max="25" width="8.796875" customWidth="1"/>
    <col min="26" max="26" width="9" customWidth="1"/>
  </cols>
  <sheetData>
    <row r="1" spans="1:23" ht="14" thickBot="1" x14ac:dyDescent="0.2">
      <c r="A1" s="9" t="s">
        <v>75</v>
      </c>
      <c r="B1" s="9" t="s">
        <v>192</v>
      </c>
      <c r="L1" s="179">
        <v>1</v>
      </c>
      <c r="M1" s="180">
        <v>0</v>
      </c>
      <c r="N1" s="8" t="s">
        <v>201</v>
      </c>
      <c r="T1" s="248" t="s">
        <v>40</v>
      </c>
      <c r="U1" s="251" t="s">
        <v>55</v>
      </c>
      <c r="V1" s="245" t="s">
        <v>20</v>
      </c>
      <c r="W1" s="244" t="s">
        <v>55</v>
      </c>
    </row>
    <row r="2" spans="1:23" ht="14" thickBot="1" x14ac:dyDescent="0.2">
      <c r="H2" t="s">
        <v>155</v>
      </c>
      <c r="J2" s="2" t="s">
        <v>66</v>
      </c>
      <c r="L2" s="193">
        <f>($L$1-Intercept)/Slope</f>
        <v>5.1410422524548434</v>
      </c>
      <c r="N2" s="8" t="s">
        <v>205</v>
      </c>
      <c r="S2">
        <v>1</v>
      </c>
      <c r="T2" s="249">
        <f>'Standards Data'!M16</f>
        <v>0.776234064991009</v>
      </c>
      <c r="U2" s="252">
        <f>'Standards Data'!N16</f>
        <v>4.0122744790122152E-4</v>
      </c>
      <c r="V2" s="246">
        <f>'Standards Data'!K16</f>
        <v>4.0068999999999999</v>
      </c>
      <c r="W2" s="208">
        <f>'Standards Data'!L16</f>
        <v>8.0137999999999997E-3</v>
      </c>
    </row>
    <row r="3" spans="1:23" ht="14" thickBot="1" x14ac:dyDescent="0.2">
      <c r="B3" t="s">
        <v>174</v>
      </c>
      <c r="D3">
        <f>COUNT(SRatio)</f>
        <v>46</v>
      </c>
      <c r="H3" s="112" t="s">
        <v>144</v>
      </c>
      <c r="I3" s="136">
        <f>B27</f>
        <v>0.19962526494789587</v>
      </c>
      <c r="J3" s="137" t="s">
        <v>17</v>
      </c>
      <c r="S3">
        <v>2</v>
      </c>
      <c r="T3" s="249">
        <f>'Standards Data'!M17</f>
        <v>0.96322449960561907</v>
      </c>
      <c r="U3" s="252">
        <f>'Standards Data'!N17</f>
        <v>6.459443045855603E-4</v>
      </c>
      <c r="V3" s="246">
        <f>'Standards Data'!K17</f>
        <v>4.9720000000000004</v>
      </c>
      <c r="W3" s="208">
        <f>'Standards Data'!L17</f>
        <v>9.9440000000000014E-3</v>
      </c>
    </row>
    <row r="4" spans="1:23" ht="14" thickBot="1" x14ac:dyDescent="0.2">
      <c r="B4" t="s">
        <v>175</v>
      </c>
      <c r="D4" s="86">
        <f>AVERAGE(SConc)</f>
        <v>5.8749739130434788</v>
      </c>
      <c r="H4" s="138" t="s">
        <v>36</v>
      </c>
      <c r="I4" s="139">
        <f>C27</f>
        <v>1.8008494606079097E-4</v>
      </c>
      <c r="J4" s="140" t="s">
        <v>19</v>
      </c>
      <c r="L4" s="183">
        <v>1</v>
      </c>
      <c r="N4" s="8" t="s">
        <v>137</v>
      </c>
      <c r="O4" s="8"/>
      <c r="S4">
        <v>3</v>
      </c>
      <c r="T4" s="249">
        <f>'Standards Data'!M18</f>
        <v>1.1783329936339777</v>
      </c>
      <c r="U4" s="252">
        <f>'Standards Data'!N18</f>
        <v>5.3153007758727016E-4</v>
      </c>
      <c r="V4" s="246">
        <f>'Standards Data'!K18</f>
        <v>6.0359999999999996</v>
      </c>
      <c r="W4" s="208">
        <f>'Standards Data'!L18</f>
        <v>1.2071999999999999E-2</v>
      </c>
    </row>
    <row r="5" spans="1:23" ht="14" thickBot="1" x14ac:dyDescent="0.2">
      <c r="H5" s="115" t="s">
        <v>159</v>
      </c>
      <c r="I5" s="117">
        <f>B26</f>
        <v>-2.6281921754625515E-2</v>
      </c>
      <c r="J5" s="141" t="s">
        <v>16</v>
      </c>
      <c r="L5" s="184">
        <f>V36</f>
        <v>5.139365335348753</v>
      </c>
      <c r="M5" s="185">
        <f>W36</f>
        <v>5.4762915734571632E-3</v>
      </c>
      <c r="N5" s="8" t="s">
        <v>197</v>
      </c>
      <c r="O5" s="8"/>
      <c r="P5" s="8"/>
      <c r="S5">
        <v>4</v>
      </c>
      <c r="T5" s="249">
        <f>'Standards Data'!M19</f>
        <v>1.772602120237087</v>
      </c>
      <c r="U5" s="252">
        <f>'Standards Data'!N19</f>
        <v>5.1164667598839822E-4</v>
      </c>
      <c r="V5" s="246">
        <f>'Standards Data'!K19</f>
        <v>9.0069999999999997</v>
      </c>
      <c r="W5" s="208">
        <f>'Standards Data'!L19</f>
        <v>1.8013999999999999E-2</v>
      </c>
    </row>
    <row r="6" spans="1:23" ht="14" thickBot="1" x14ac:dyDescent="0.2">
      <c r="A6" s="9" t="s">
        <v>115</v>
      </c>
      <c r="B6" s="9" t="s">
        <v>187</v>
      </c>
      <c r="E6" s="35" t="s">
        <v>166</v>
      </c>
      <c r="H6" s="138" t="s">
        <v>35</v>
      </c>
      <c r="I6" s="117">
        <f>C26</f>
        <v>1.1068657383141471E-3</v>
      </c>
      <c r="J6" s="141" t="s">
        <v>18</v>
      </c>
      <c r="L6" s="184">
        <f>L5*MeanRatio</f>
        <v>5.0395645064256955</v>
      </c>
      <c r="M6" s="185">
        <f>SQRT(SUMSQ(L6*SQRT(SUMSQ(M5/L5,StdUnc/MeanRatio)),'Certified Value'!E30))</f>
        <v>6.819476061383856E-3</v>
      </c>
      <c r="N6" s="8" t="s">
        <v>210</v>
      </c>
      <c r="S6">
        <v>5</v>
      </c>
      <c r="T6" s="249" t="str">
        <f>'Standards Data'!M20</f>
        <v/>
      </c>
      <c r="U6" s="252" t="str">
        <f>'Standards Data'!N20</f>
        <v/>
      </c>
      <c r="V6" s="246" t="str">
        <f>'Standards Data'!K20</f>
        <v/>
      </c>
      <c r="W6" s="208" t="str">
        <f>'Standards Data'!L20</f>
        <v/>
      </c>
    </row>
    <row r="7" spans="1:23" ht="14" thickBot="1" x14ac:dyDescent="0.2">
      <c r="E7" s="8" t="s">
        <v>195</v>
      </c>
      <c r="H7" s="115" t="s">
        <v>34</v>
      </c>
      <c r="I7" s="117">
        <f>B22</f>
        <v>44</v>
      </c>
      <c r="J7" s="141" t="s">
        <v>15</v>
      </c>
      <c r="L7" s="186"/>
      <c r="M7" s="186"/>
      <c r="N7" s="8" t="s">
        <v>213</v>
      </c>
      <c r="S7">
        <v>6</v>
      </c>
      <c r="T7" s="249" t="str">
        <f>'Standards Data'!M21</f>
        <v/>
      </c>
      <c r="U7" s="252" t="str">
        <f>'Standards Data'!N21</f>
        <v/>
      </c>
      <c r="V7" s="246" t="str">
        <f>'Standards Data'!K21</f>
        <v/>
      </c>
      <c r="W7" s="208" t="str">
        <f>'Standards Data'!L21</f>
        <v/>
      </c>
    </row>
    <row r="8" spans="1:23" ht="14" thickBot="1" x14ac:dyDescent="0.2">
      <c r="E8" s="8" t="s">
        <v>107</v>
      </c>
      <c r="H8" s="142" t="s">
        <v>60</v>
      </c>
      <c r="I8" s="144">
        <f xml:space="preserve"> - D4*C27^2</f>
        <v>-1.9052885729625936E-7</v>
      </c>
      <c r="J8" s="145" t="s">
        <v>131</v>
      </c>
      <c r="L8" s="187">
        <v>5.1410537607056259</v>
      </c>
      <c r="M8" s="188">
        <v>3.2141640636213259E-3</v>
      </c>
      <c r="N8" s="8" t="s">
        <v>178</v>
      </c>
      <c r="S8">
        <v>7</v>
      </c>
      <c r="T8" s="249" t="str">
        <f>'Standards Data'!M22</f>
        <v/>
      </c>
      <c r="U8" s="252" t="str">
        <f>'Standards Data'!N22</f>
        <v/>
      </c>
      <c r="V8" s="246" t="str">
        <f>'Standards Data'!K22</f>
        <v/>
      </c>
      <c r="W8" s="208" t="str">
        <f>'Standards Data'!L22</f>
        <v/>
      </c>
    </row>
    <row r="9" spans="1:23" ht="13" x14ac:dyDescent="0.15">
      <c r="E9" s="8" t="s">
        <v>121</v>
      </c>
      <c r="L9" s="189">
        <v>5.0084643206758281</v>
      </c>
      <c r="M9" s="190">
        <v>1.2050120649728272E-2</v>
      </c>
      <c r="N9" s="8" t="s">
        <v>169</v>
      </c>
      <c r="S9">
        <v>8</v>
      </c>
      <c r="T9" s="249" t="str">
        <f>'Standards Data'!M23</f>
        <v/>
      </c>
      <c r="U9" s="252" t="str">
        <f>'Standards Data'!N23</f>
        <v/>
      </c>
      <c r="V9" s="246" t="str">
        <f>'Standards Data'!K23</f>
        <v/>
      </c>
      <c r="W9" s="208" t="str">
        <f>'Standards Data'!L23</f>
        <v/>
      </c>
    </row>
    <row r="10" spans="1:23" ht="14" thickBot="1" x14ac:dyDescent="0.2">
      <c r="A10" t="s">
        <v>419</v>
      </c>
      <c r="L10" s="191">
        <v>0.13258944002979564</v>
      </c>
      <c r="M10" s="192">
        <v>1.2703591313119451E-2</v>
      </c>
      <c r="N10" s="8" t="s">
        <v>180</v>
      </c>
      <c r="S10">
        <v>9</v>
      </c>
      <c r="T10" s="249" t="str">
        <f>'Standards Data'!M24</f>
        <v/>
      </c>
      <c r="U10" s="252" t="str">
        <f>'Standards Data'!N24</f>
        <v/>
      </c>
      <c r="V10" s="246" t="str">
        <f>'Standards Data'!K24</f>
        <v/>
      </c>
      <c r="W10" s="208" t="str">
        <f>'Standards Data'!L24</f>
        <v/>
      </c>
    </row>
    <row r="11" spans="1:23" ht="14" thickBot="1" x14ac:dyDescent="0.2">
      <c r="M11" s="182" t="s">
        <v>126</v>
      </c>
      <c r="S11">
        <v>10</v>
      </c>
      <c r="T11" s="250" t="str">
        <f>'Standards Data'!M25</f>
        <v/>
      </c>
      <c r="U11" s="253" t="str">
        <f>'Standards Data'!N25</f>
        <v/>
      </c>
      <c r="V11" s="247" t="str">
        <f>'Standards Data'!K25</f>
        <v/>
      </c>
      <c r="W11" s="210" t="str">
        <f>'Standards Data'!L25</f>
        <v/>
      </c>
    </row>
    <row r="12" spans="1:23" ht="12" thickBot="1" x14ac:dyDescent="0.2">
      <c r="A12" s="389" t="s">
        <v>420</v>
      </c>
      <c r="B12" s="389"/>
      <c r="R12" s="504" t="s">
        <v>122</v>
      </c>
      <c r="S12" s="504"/>
      <c r="T12" s="254">
        <f>L1</f>
        <v>1</v>
      </c>
      <c r="U12" s="176">
        <f>M1</f>
        <v>0</v>
      </c>
      <c r="V12" s="7"/>
      <c r="W12" s="7"/>
    </row>
    <row r="13" spans="1:23" x14ac:dyDescent="0.15">
      <c r="A13" t="s">
        <v>421</v>
      </c>
      <c r="B13">
        <v>0.99998209662836235</v>
      </c>
      <c r="R13" s="504" t="s">
        <v>138</v>
      </c>
      <c r="S13" s="504"/>
      <c r="T13" s="254">
        <f>IF(ISERROR('Past LS'!M25),"",'Past LS'!M25)</f>
        <v>1.000996363969312</v>
      </c>
      <c r="U13" s="175">
        <f>IF(ISERROR('Past LS'!M26),"",'Past LS'!M26)</f>
        <v>1.2508204255391652E-4</v>
      </c>
      <c r="W13" s="7"/>
    </row>
    <row r="14" spans="1:23" x14ac:dyDescent="0.15">
      <c r="A14" t="s">
        <v>422</v>
      </c>
      <c r="B14">
        <v>0.99996419357725541</v>
      </c>
      <c r="R14" s="504" t="s">
        <v>138</v>
      </c>
      <c r="S14" s="504"/>
      <c r="T14" s="255">
        <f>IF(ISERROR('Past LS'!N25),"",'Past LS'!N25)</f>
        <v>0.99695906603513162</v>
      </c>
      <c r="U14" s="176">
        <f>IF(ISERROR('Past LS'!N26),"",'Past LS'!N26)</f>
        <v>1.4865740025877939E-4</v>
      </c>
    </row>
    <row r="15" spans="1:23" ht="12" thickBot="1" x14ac:dyDescent="0.2">
      <c r="A15" t="s">
        <v>423</v>
      </c>
      <c r="B15">
        <v>0.99996337979492023</v>
      </c>
      <c r="R15" s="504" t="s">
        <v>138</v>
      </c>
      <c r="S15" s="504"/>
      <c r="T15" s="256">
        <f>IF(ISERROR('Past LS'!O25),"",'Past LS'!O25)</f>
        <v>1.0021489855652523</v>
      </c>
      <c r="U15" s="177">
        <f>IF(ISERROR('Past LS'!O26),"",'Past LS'!O26)</f>
        <v>1.2365776940853035E-4</v>
      </c>
    </row>
    <row r="16" spans="1:23" x14ac:dyDescent="0.15">
      <c r="A16" t="s">
        <v>424</v>
      </c>
      <c r="B16">
        <v>2.2060793350162878E-3</v>
      </c>
      <c r="R16" s="504"/>
      <c r="S16" s="504"/>
    </row>
    <row r="17" spans="1:25" ht="12" thickBot="1" x14ac:dyDescent="0.2">
      <c r="A17" s="31" t="s">
        <v>425</v>
      </c>
      <c r="B17" s="31">
        <v>46</v>
      </c>
      <c r="R17" s="504" t="s">
        <v>238</v>
      </c>
      <c r="S17" s="504"/>
      <c r="T17">
        <f>COUNT(T2:T11)</f>
        <v>4</v>
      </c>
    </row>
    <row r="18" spans="1:25" x14ac:dyDescent="0.15">
      <c r="R18" s="504" t="s">
        <v>134</v>
      </c>
      <c r="S18" s="504"/>
      <c r="T18">
        <f>COUNT(T12:T15)</f>
        <v>4</v>
      </c>
    </row>
    <row r="19" spans="1:25" ht="12" thickBot="1" x14ac:dyDescent="0.2">
      <c r="A19" t="s">
        <v>426</v>
      </c>
    </row>
    <row r="20" spans="1:25" x14ac:dyDescent="0.15">
      <c r="A20" s="388"/>
      <c r="B20" s="388" t="s">
        <v>431</v>
      </c>
      <c r="C20" s="388" t="s">
        <v>432</v>
      </c>
      <c r="D20" s="388" t="s">
        <v>433</v>
      </c>
      <c r="E20" s="388" t="s">
        <v>434</v>
      </c>
      <c r="F20" s="388" t="s">
        <v>435</v>
      </c>
    </row>
    <row r="21" spans="1:25" ht="12" thickBot="1" x14ac:dyDescent="0.2">
      <c r="A21" t="s">
        <v>427</v>
      </c>
      <c r="B21">
        <v>1</v>
      </c>
      <c r="C21">
        <v>5.9802376633813887</v>
      </c>
      <c r="D21">
        <v>5.9802376633813887</v>
      </c>
      <c r="E21">
        <v>1228785.8195503245</v>
      </c>
      <c r="F21">
        <v>1.8403242820076194E-99</v>
      </c>
    </row>
    <row r="22" spans="1:25" x14ac:dyDescent="0.15">
      <c r="A22" t="s">
        <v>428</v>
      </c>
      <c r="B22">
        <v>44</v>
      </c>
      <c r="C22">
        <v>2.1413858542497993E-4</v>
      </c>
      <c r="D22">
        <v>4.8667860323859072E-6</v>
      </c>
      <c r="S22" s="267"/>
      <c r="T22" s="113" t="s">
        <v>448</v>
      </c>
      <c r="U22" s="113"/>
      <c r="V22" s="113"/>
      <c r="W22" s="113"/>
      <c r="X22" s="114"/>
      <c r="Y22">
        <v>20</v>
      </c>
    </row>
    <row r="23" spans="1:25" ht="12" thickBot="1" x14ac:dyDescent="0.2">
      <c r="A23" s="31" t="s">
        <v>429</v>
      </c>
      <c r="B23" s="31">
        <v>45</v>
      </c>
      <c r="C23" s="31">
        <v>5.9804518019668134</v>
      </c>
      <c r="D23" s="31"/>
      <c r="E23" s="31"/>
      <c r="F23" s="31"/>
      <c r="S23" s="268"/>
      <c r="T23" s="116"/>
      <c r="U23" s="116" t="s">
        <v>44</v>
      </c>
      <c r="V23" s="116" t="s">
        <v>114</v>
      </c>
      <c r="W23" s="116"/>
      <c r="X23" s="117"/>
    </row>
    <row r="24" spans="1:25" ht="12" thickBot="1" x14ac:dyDescent="0.2">
      <c r="S24" s="268"/>
      <c r="T24" s="116" t="s">
        <v>4</v>
      </c>
      <c r="U24" s="116">
        <v>0.11912533273877024</v>
      </c>
      <c r="V24" s="116">
        <v>1.9756837149627879E-2</v>
      </c>
      <c r="W24" s="116"/>
      <c r="X24" s="117"/>
    </row>
    <row r="25" spans="1:25" x14ac:dyDescent="0.15">
      <c r="A25" s="388"/>
      <c r="B25" s="388" t="s">
        <v>436</v>
      </c>
      <c r="C25" s="388" t="s">
        <v>424</v>
      </c>
      <c r="D25" s="388" t="s">
        <v>437</v>
      </c>
      <c r="E25" s="388" t="s">
        <v>438</v>
      </c>
      <c r="F25" s="388" t="s">
        <v>439</v>
      </c>
      <c r="G25" s="388" t="s">
        <v>440</v>
      </c>
      <c r="H25" s="388" t="s">
        <v>441</v>
      </c>
      <c r="I25" s="388" t="s">
        <v>442</v>
      </c>
      <c r="S25" s="268"/>
      <c r="T25" s="116" t="s">
        <v>5</v>
      </c>
      <c r="U25" s="116">
        <v>5.0202400026099827</v>
      </c>
      <c r="V25" s="116">
        <v>1.9046724159365463E-2</v>
      </c>
      <c r="W25" s="116"/>
      <c r="X25" s="117"/>
    </row>
    <row r="26" spans="1:25" x14ac:dyDescent="0.15">
      <c r="A26" t="s">
        <v>430</v>
      </c>
      <c r="B26">
        <v>-2.6281921754625515E-2</v>
      </c>
      <c r="C26">
        <v>1.1068657383141471E-3</v>
      </c>
      <c r="D26">
        <v>-23.744453229399955</v>
      </c>
      <c r="E26">
        <v>1.0152399412602873E-26</v>
      </c>
      <c r="F26">
        <v>-2.8512663072886604E-2</v>
      </c>
      <c r="G26">
        <v>-2.4051180436364426E-2</v>
      </c>
      <c r="H26">
        <v>-2.8512663072886604E-2</v>
      </c>
      <c r="I26">
        <v>-2.4051180436364426E-2</v>
      </c>
      <c r="S26" s="268"/>
      <c r="T26" s="116" t="s">
        <v>277</v>
      </c>
      <c r="U26" s="116"/>
      <c r="V26" s="116">
        <v>-3.6156027298117719E-4</v>
      </c>
      <c r="W26" s="116"/>
      <c r="X26" s="117"/>
    </row>
    <row r="27" spans="1:25" ht="12" thickBot="1" x14ac:dyDescent="0.2">
      <c r="A27" s="31" t="s">
        <v>443</v>
      </c>
      <c r="B27" s="31">
        <v>0.19962526494789587</v>
      </c>
      <c r="C27" s="31">
        <v>1.8008494606079097E-4</v>
      </c>
      <c r="D27" s="31">
        <v>1108.5061206643486</v>
      </c>
      <c r="E27" s="31">
        <v>1.8403242820077237E-99</v>
      </c>
      <c r="F27" s="31">
        <v>0.1992623275869595</v>
      </c>
      <c r="G27" s="31">
        <v>0.19998820230883224</v>
      </c>
      <c r="H27" s="31">
        <v>0.1992623275869595</v>
      </c>
      <c r="I27" s="31">
        <v>0.19998820230883224</v>
      </c>
      <c r="S27" s="268"/>
      <c r="T27" s="116" t="s">
        <v>449</v>
      </c>
      <c r="U27" s="116"/>
      <c r="V27" s="116">
        <v>1.4688555439561997</v>
      </c>
      <c r="W27" s="116"/>
      <c r="X27" s="117"/>
    </row>
    <row r="28" spans="1:25" x14ac:dyDescent="0.15">
      <c r="S28" s="268"/>
      <c r="T28" s="116"/>
      <c r="U28" s="116"/>
      <c r="V28" s="116"/>
      <c r="W28" s="116"/>
      <c r="X28" s="117"/>
    </row>
    <row r="29" spans="1:25" x14ac:dyDescent="0.15">
      <c r="S29" s="268"/>
      <c r="T29" s="116" t="s">
        <v>450</v>
      </c>
      <c r="U29" s="116" t="s">
        <v>451</v>
      </c>
      <c r="V29" s="156" t="s">
        <v>452</v>
      </c>
      <c r="W29" s="116" t="s">
        <v>453</v>
      </c>
      <c r="X29" s="117" t="s">
        <v>454</v>
      </c>
    </row>
    <row r="30" spans="1:25" x14ac:dyDescent="0.15">
      <c r="S30" s="269"/>
      <c r="T30" s="165">
        <v>0.776234064991009</v>
      </c>
      <c r="U30" s="165">
        <v>4.0068999999999999</v>
      </c>
      <c r="V30" s="165">
        <v>0.77612627472496065</v>
      </c>
      <c r="W30" s="165">
        <v>4.0154655015724279</v>
      </c>
      <c r="X30" s="117" t="s">
        <v>455</v>
      </c>
    </row>
    <row r="31" spans="1:25" x14ac:dyDescent="0.15">
      <c r="A31" t="s">
        <v>444</v>
      </c>
      <c r="S31" s="269"/>
      <c r="T31" s="165">
        <v>0.96322449960561907</v>
      </c>
      <c r="U31" s="165">
        <v>4.9720000000000004</v>
      </c>
      <c r="V31" s="165">
        <v>0.96355490923115283</v>
      </c>
      <c r="W31" s="165">
        <v>4.9564022393490674</v>
      </c>
      <c r="X31" s="117" t="s">
        <v>455</v>
      </c>
    </row>
    <row r="32" spans="1:25" ht="12" thickBot="1" x14ac:dyDescent="0.2">
      <c r="S32" s="269"/>
      <c r="T32" s="165">
        <v>1.1783329936339777</v>
      </c>
      <c r="U32" s="165">
        <v>6.0359999999999996</v>
      </c>
      <c r="V32" s="165">
        <v>1.1783456153041716</v>
      </c>
      <c r="W32" s="165">
        <v>6.0347031261822259</v>
      </c>
      <c r="X32" s="117" t="s">
        <v>455</v>
      </c>
    </row>
    <row r="33" spans="1:24" x14ac:dyDescent="0.15">
      <c r="A33" s="388" t="s">
        <v>445</v>
      </c>
      <c r="B33" s="388" t="s">
        <v>446</v>
      </c>
      <c r="C33" s="388" t="s">
        <v>447</v>
      </c>
      <c r="S33" s="269"/>
      <c r="T33" s="165">
        <v>1.772602120237087</v>
      </c>
      <c r="U33" s="165">
        <v>9.0069999999999997</v>
      </c>
      <c r="V33" s="165">
        <v>1.7725584060181194</v>
      </c>
      <c r="W33" s="165">
        <v>9.0177939443627988</v>
      </c>
      <c r="X33" s="117" t="s">
        <v>455</v>
      </c>
    </row>
    <row r="34" spans="1:24" x14ac:dyDescent="0.15">
      <c r="A34">
        <v>1</v>
      </c>
      <c r="B34">
        <v>0.77359655236509839</v>
      </c>
      <c r="C34">
        <v>2.8341183002732473E-3</v>
      </c>
      <c r="J34" t="e">
        <f>D91/B27*SQRT(1/9+1/F92+((I31-H91)^2)/(B27*B27*F91))</f>
        <v>#DIV/0!</v>
      </c>
      <c r="S34" s="269"/>
      <c r="T34" s="165"/>
      <c r="U34" s="165"/>
      <c r="V34" s="165"/>
      <c r="W34" s="165"/>
      <c r="X34" s="117"/>
    </row>
    <row r="35" spans="1:24" x14ac:dyDescent="0.15">
      <c r="A35">
        <v>2</v>
      </c>
      <c r="B35">
        <v>0.77359655236509839</v>
      </c>
      <c r="C35">
        <v>3.0667867524681869E-3</v>
      </c>
      <c r="S35" s="269"/>
      <c r="T35" s="165" t="s">
        <v>456</v>
      </c>
      <c r="U35" s="165" t="s">
        <v>457</v>
      </c>
      <c r="V35" s="165" t="s">
        <v>458</v>
      </c>
      <c r="W35" s="165" t="s">
        <v>459</v>
      </c>
      <c r="X35" s="117"/>
    </row>
    <row r="36" spans="1:24" x14ac:dyDescent="0.15">
      <c r="A36">
        <v>3</v>
      </c>
      <c r="B36">
        <v>0.77359655236509839</v>
      </c>
      <c r="C36">
        <v>2.9288480217514179E-3</v>
      </c>
      <c r="S36" s="271" t="str">
        <f>IF(T36=1,"LS# 1",IF(T36="Xin","",IF(ISBLANK(T36),"",IF(T36='Past LS'!$M$25,CONCATENATE('Past LS'!$M$23,," ",'Past LS'!$M$24),IF(T36='Past LS'!$N$25,CONCATENATE('Past LS'!$N$23,," ",'Past LS'!$N$24),IF(T36='Past LS'!$O$25,CONCATENATE('Past LS'!$O$23,," ",'Past LS'!$O$24),"ERROR"))))))</f>
        <v>LS# 1</v>
      </c>
      <c r="T36" s="165">
        <v>1</v>
      </c>
      <c r="U36" s="165">
        <v>0</v>
      </c>
      <c r="V36" s="165">
        <v>5.139365335348753</v>
      </c>
      <c r="W36" s="165">
        <v>5.4762915734571632E-3</v>
      </c>
      <c r="X36" s="117"/>
    </row>
    <row r="37" spans="1:24" x14ac:dyDescent="0.15">
      <c r="A37">
        <v>4</v>
      </c>
      <c r="B37">
        <v>0.77359655236509839</v>
      </c>
      <c r="C37">
        <v>2.4635812399921297E-3</v>
      </c>
      <c r="S37" s="271" t="str">
        <f>IF(T37=1,"LS# 1",IF(T37="Xin","",IF(ISBLANK(T37),"",IF(T37='Past LS'!$M$25,CONCATENATE('Past LS'!$M$23,," ",'Past LS'!$M$24),IF(T37='Past LS'!$N$25,CONCATENATE('Past LS'!$N$23,," ",'Past LS'!$N$24),IF(T37='Past LS'!$O$25,CONCATENATE('Past LS'!$O$23,," ",'Past LS'!$O$24),"ERROR"))))))</f>
        <v>LS# 2</v>
      </c>
      <c r="T37" s="165">
        <v>1.000996363969312</v>
      </c>
      <c r="U37" s="165">
        <v>1.2508204255391652E-4</v>
      </c>
      <c r="V37" s="165">
        <v>5.1443673216046522</v>
      </c>
      <c r="W37" s="165">
        <v>5.5124283706703674E-3</v>
      </c>
      <c r="X37" s="117"/>
    </row>
    <row r="38" spans="1:24" x14ac:dyDescent="0.15">
      <c r="A38">
        <v>5</v>
      </c>
      <c r="B38">
        <v>0.77359655236509839</v>
      </c>
      <c r="C38">
        <v>2.2031824647289477E-3</v>
      </c>
      <c r="S38" s="271" t="str">
        <f>IF(T38=1,"LS# 1",IF(T38="Xin","",IF(ISBLANK(T38),"",IF(T38='Past LS'!$M$25,CONCATENATE('Past LS'!$M$23,," ",'Past LS'!$M$24),IF(T38='Past LS'!$N$25,CONCATENATE('Past LS'!$N$23,," ",'Past LS'!$N$24),IF(T38='Past LS'!$O$25,CONCATENATE('Past LS'!$O$23,," ",'Past LS'!$O$24),"ERROR"))))))</f>
        <v>LS# 3</v>
      </c>
      <c r="T38" s="165">
        <v>0.99695906603513162</v>
      </c>
      <c r="U38" s="165">
        <v>1.4865740025877939E-4</v>
      </c>
      <c r="V38" s="165">
        <v>5.1240991170130252</v>
      </c>
      <c r="W38" s="165">
        <v>5.5265429817113873E-3</v>
      </c>
      <c r="X38" s="117"/>
    </row>
    <row r="39" spans="1:24" x14ac:dyDescent="0.15">
      <c r="A39">
        <v>6</v>
      </c>
      <c r="B39">
        <v>0.77359655236509839</v>
      </c>
      <c r="C39">
        <v>3.1098276272111258E-3</v>
      </c>
      <c r="S39" s="271" t="str">
        <f>IF(T39=1,"LS# 1",IF(T39="Xin","",IF(ISBLANK(T39),"",IF(T39='Past LS'!$M$25,CONCATENATE('Past LS'!$M$23,," ",'Past LS'!$M$24),IF(T39='Past LS'!$N$25,CONCATENATE('Past LS'!$N$23,," ",'Past LS'!$N$24),IF(T39='Past LS'!$O$25,CONCATENATE('Past LS'!$O$23,," ",'Past LS'!$O$24),"ERROR"))))))</f>
        <v>LS# 4</v>
      </c>
      <c r="T39" s="165">
        <v>1.0021489855652523</v>
      </c>
      <c r="U39" s="165">
        <v>1.2365776940853035E-4</v>
      </c>
      <c r="V39" s="165">
        <v>5.1501537586484645</v>
      </c>
      <c r="W39" s="165">
        <v>5.5119923382955672E-3</v>
      </c>
      <c r="X39" s="117"/>
    </row>
    <row r="40" spans="1:24" x14ac:dyDescent="0.15">
      <c r="A40">
        <v>7</v>
      </c>
      <c r="B40">
        <v>0.77359655236509839</v>
      </c>
      <c r="C40">
        <v>2.8315549004251928E-3</v>
      </c>
      <c r="S40" s="271" t="str">
        <f>IF(T40=1,"LS# 1",IF(T40="Xin","",IF(ISBLANK(T40),"",IF(T40='Past LS'!$M$25,CONCATENATE('Past LS'!$M$23,," ",'Past LS'!$M$24),IF(T40='Past LS'!$N$25,CONCATENATE('Past LS'!$N$23,," ",'Past LS'!$N$24),IF(T40='Past LS'!$O$25,CONCATENATE('Past LS'!$O$23,," ",'Past LS'!$O$24),"ERROR"))))))</f>
        <v/>
      </c>
      <c r="T40" s="165"/>
      <c r="U40" s="165"/>
      <c r="V40" s="165"/>
      <c r="W40" s="165"/>
      <c r="X40" s="117"/>
    </row>
    <row r="41" spans="1:24" x14ac:dyDescent="0.15">
      <c r="A41">
        <v>8</v>
      </c>
      <c r="B41">
        <v>0.77359655236509839</v>
      </c>
      <c r="C41">
        <v>2.3079618373912369E-3</v>
      </c>
      <c r="S41" s="271" t="str">
        <f>IF(T41=1,"LS# 1",IF(T41="Xin","",IF(ISBLANK(T41),"",IF(T41='Past LS'!$M$25,CONCATENATE('Past LS'!$M$23,," ",'Past LS'!$M$24),IF(T41='Past LS'!$N$25,CONCATENATE('Past LS'!$N$23,," ",'Past LS'!$N$24),IF(T41='Past LS'!$O$25,CONCATENATE('Past LS'!$O$23,," ",'Past LS'!$O$24),"ERROR"))))))</f>
        <v/>
      </c>
      <c r="T41" s="165"/>
      <c r="U41" s="165"/>
      <c r="V41" s="165"/>
      <c r="W41" s="165"/>
      <c r="X41" s="117"/>
    </row>
    <row r="42" spans="1:24" x14ac:dyDescent="0.15">
      <c r="A42">
        <v>9</v>
      </c>
      <c r="B42">
        <v>0.77359655236509839</v>
      </c>
      <c r="C42">
        <v>2.5516739846527248E-3</v>
      </c>
      <c r="S42" s="271" t="str">
        <f>IF(T42=1,"LS# 1",IF(T42="Xin","",IF(ISBLANK(T42),"",IF(T42='Past LS'!$M$25,CONCATENATE('Past LS'!$M$23,," ",'Past LS'!$M$24),IF(T42='Past LS'!$N$25,CONCATENATE('Past LS'!$N$23,," ",'Past LS'!$N$24),IF(T42='Past LS'!$O$25,CONCATENATE('Past LS'!$O$23,," ",'Past LS'!$O$24),"ERROR"))))))</f>
        <v/>
      </c>
      <c r="T42" s="165"/>
      <c r="U42" s="165"/>
      <c r="V42" s="165"/>
      <c r="W42" s="165"/>
      <c r="X42" s="117"/>
    </row>
    <row r="43" spans="1:24" x14ac:dyDescent="0.15">
      <c r="A43">
        <v>10</v>
      </c>
      <c r="B43">
        <v>0.77359655236509839</v>
      </c>
      <c r="C43">
        <v>2.9360998816216899E-3</v>
      </c>
      <c r="S43" s="271" t="str">
        <f>IF(T43=1,"LS# 1",IF(T43="Xin","",IF(ISBLANK(T43),"",IF(T43='Past LS'!$M$25,CONCATENATE('Past LS'!$M$23,," ",'Past LS'!$M$24),IF(T43='Past LS'!$N$25,CONCATENATE('Past LS'!$N$23,," ",'Past LS'!$N$24),IF(T43='Past LS'!$O$25,CONCATENATE('Past LS'!$O$23,," ",'Past LS'!$O$24),"ERROR"))))))</f>
        <v/>
      </c>
      <c r="T43" s="165"/>
      <c r="U43" s="165"/>
      <c r="V43" s="165"/>
      <c r="W43" s="165"/>
      <c r="X43" s="117"/>
    </row>
    <row r="44" spans="1:24" x14ac:dyDescent="0.15">
      <c r="A44">
        <v>11</v>
      </c>
      <c r="B44">
        <v>0.77359655236509839</v>
      </c>
      <c r="C44">
        <v>2.6608828584794297E-3</v>
      </c>
      <c r="S44" s="271" t="str">
        <f>IF(T44=1,"LS# 1",IF(T44="Xin","",IF(ISBLANK(T44),"",IF(T44='Past LS'!$M$25,CONCATENATE('Past LS'!$M$23,," ",'Past LS'!$M$24),IF(T44='Past LS'!$N$25,CONCATENATE('Past LS'!$N$23,," ",'Past LS'!$N$24),IF(T44='Past LS'!$O$25,CONCATENATE('Past LS'!$O$23,," ",'Past LS'!$O$24),"ERROR"))))))</f>
        <v/>
      </c>
      <c r="T44" s="165"/>
      <c r="U44" s="165"/>
      <c r="V44" s="165"/>
      <c r="W44" s="165"/>
      <c r="X44" s="117"/>
    </row>
    <row r="45" spans="1:24" x14ac:dyDescent="0.15">
      <c r="A45">
        <v>12</v>
      </c>
      <c r="B45">
        <v>0.77359655236509839</v>
      </c>
      <c r="C45">
        <v>1.7556336419295437E-3</v>
      </c>
      <c r="S45" s="271" t="str">
        <f>IF(T45=1,"LS# 1",IF(T45="Xin","",IF(ISBLANK(T45),"",IF(T45='Past LS'!$M$25,CONCATENATE('Past LS'!$M$23,," ",'Past LS'!$M$24),IF(T45='Past LS'!$N$25,CONCATENATE('Past LS'!$N$23,," ",'Past LS'!$N$24),IF(T45='Past LS'!$O$25,CONCATENATE('Past LS'!$O$23,," ",'Past LS'!$O$24),"ERROR"))))))</f>
        <v/>
      </c>
      <c r="T45" s="165"/>
      <c r="U45" s="165"/>
      <c r="V45" s="165"/>
      <c r="W45" s="165"/>
      <c r="X45" s="117"/>
    </row>
    <row r="46" spans="1:24" x14ac:dyDescent="0.15">
      <c r="A46">
        <v>13</v>
      </c>
      <c r="B46">
        <v>0.96625489556631283</v>
      </c>
      <c r="C46">
        <v>-3.0659320522233857E-3</v>
      </c>
      <c r="S46" s="271" t="str">
        <f>IF(T46=1,"LS# 1",IF(T46="Xin","",IF(ISBLANK(T46),"",IF(T46='Past LS'!$M$25,CONCATENATE('Past LS'!$M$23,," ",'Past LS'!$M$24),IF(T46='Past LS'!$N$25,CONCATENATE('Past LS'!$N$23,," ",'Past LS'!$N$24),IF(T46='Past LS'!$O$25,CONCATENATE('Past LS'!$O$23,," ",'Past LS'!$O$24),"ERROR"))))))</f>
        <v/>
      </c>
      <c r="T46" s="165"/>
      <c r="U46" s="165"/>
      <c r="V46" s="165"/>
      <c r="W46" s="165"/>
      <c r="X46" s="117"/>
    </row>
    <row r="47" spans="1:24" x14ac:dyDescent="0.15">
      <c r="A47">
        <v>14</v>
      </c>
      <c r="B47">
        <v>0.96625489556631283</v>
      </c>
      <c r="C47">
        <v>-3.3929745833618519E-3</v>
      </c>
      <c r="S47" s="271" t="str">
        <f>IF(T47=1,"LS# 1",IF(T47="Xin","",IF(ISBLANK(T47),"",IF(T47='Past LS'!$M$25,CONCATENATE('Past LS'!$M$23,," ",'Past LS'!$M$24),IF(T47='Past LS'!$N$25,CONCATENATE('Past LS'!$N$23,," ",'Past LS'!$N$24),IF(T47='Past LS'!$O$25,CONCATENATE('Past LS'!$O$23,," ",'Past LS'!$O$24),"ERROR"))))))</f>
        <v/>
      </c>
      <c r="T47" s="165"/>
      <c r="U47" s="165"/>
      <c r="V47" s="165"/>
      <c r="W47" s="165"/>
      <c r="X47" s="117"/>
    </row>
    <row r="48" spans="1:24" x14ac:dyDescent="0.15">
      <c r="A48">
        <v>15</v>
      </c>
      <c r="B48">
        <v>0.96625489556631283</v>
      </c>
      <c r="C48">
        <v>-3.7792976030618375E-3</v>
      </c>
      <c r="S48" s="271" t="str">
        <f>IF(T48=1,"LS# 1",IF(T48="Xin","",IF(ISBLANK(T48),"",IF(T48='Past LS'!$M$25,CONCATENATE('Past LS'!$M$23,," ",'Past LS'!$M$24),IF(T48='Past LS'!$N$25,CONCATENATE('Past LS'!$N$23,," ",'Past LS'!$N$24),IF(T48='Past LS'!$O$25,CONCATENATE('Past LS'!$O$23,," ",'Past LS'!$O$24),"ERROR"))))))</f>
        <v/>
      </c>
      <c r="T48" s="165"/>
      <c r="U48" s="165"/>
      <c r="V48" s="165"/>
      <c r="W48" s="165"/>
      <c r="X48" s="117"/>
    </row>
    <row r="49" spans="1:24" x14ac:dyDescent="0.15">
      <c r="A49">
        <v>16</v>
      </c>
      <c r="B49">
        <v>0.96625489556631283</v>
      </c>
      <c r="C49">
        <v>-3.5517764852840417E-3</v>
      </c>
      <c r="S49" s="271" t="str">
        <f>IF(T49=1,"LS# 1",IF(T49="Xin","",IF(ISBLANK(T49),"",IF(T49='Past LS'!$M$25,CONCATENATE('Past LS'!$M$23,," ",'Past LS'!$M$24),IF(T49='Past LS'!$N$25,CONCATENATE('Past LS'!$N$23,," ",'Past LS'!$N$24),IF(T49='Past LS'!$O$25,CONCATENATE('Past LS'!$O$23,," ",'Past LS'!$O$24),"ERROR"))))))</f>
        <v/>
      </c>
      <c r="T49" s="165"/>
      <c r="U49" s="165"/>
      <c r="V49" s="165"/>
      <c r="W49" s="165"/>
      <c r="X49" s="117"/>
    </row>
    <row r="50" spans="1:24" x14ac:dyDescent="0.15">
      <c r="A50">
        <v>17</v>
      </c>
      <c r="B50">
        <v>0.96625489556631283</v>
      </c>
      <c r="C50">
        <v>-3.4269463741476436E-3</v>
      </c>
      <c r="S50" s="271" t="str">
        <f>IF(T50=1,"LS# 1",IF(T50="Xin","",IF(ISBLANK(T50),"",IF(T50='Past LS'!$M$25,CONCATENATE('Past LS'!$M$23,," ",'Past LS'!$M$24),IF(T50='Past LS'!$N$25,CONCATENATE('Past LS'!$N$23,," ",'Past LS'!$N$24),IF(T50='Past LS'!$O$25,CONCATENATE('Past LS'!$O$23,," ",'Past LS'!$O$24),"ERROR"))))))</f>
        <v/>
      </c>
      <c r="T50" s="165"/>
      <c r="U50" s="165"/>
      <c r="V50" s="165"/>
      <c r="W50" s="165"/>
      <c r="X50" s="117"/>
    </row>
    <row r="51" spans="1:24" x14ac:dyDescent="0.15">
      <c r="A51">
        <v>18</v>
      </c>
      <c r="B51">
        <v>0.96625489556631283</v>
      </c>
      <c r="C51">
        <v>-2.9080067970226331E-3</v>
      </c>
      <c r="S51" s="271" t="str">
        <f>IF(T51=1,"LS# 1",IF(T51="Xin","",IF(ISBLANK(T51),"",IF(T51='Past LS'!$M$25,CONCATENATE('Past LS'!$M$23,," ",'Past LS'!$M$24),IF(T51='Past LS'!$N$25,CONCATENATE('Past LS'!$N$23,," ",'Past LS'!$N$24),IF(T51='Past LS'!$O$25,CONCATENATE('Past LS'!$O$23,," ",'Past LS'!$O$24),"ERROR"))))))</f>
        <v/>
      </c>
      <c r="T51" s="165"/>
      <c r="U51" s="165"/>
      <c r="V51" s="165"/>
      <c r="W51" s="165"/>
      <c r="X51" s="117"/>
    </row>
    <row r="52" spans="1:24" x14ac:dyDescent="0.15">
      <c r="A52">
        <v>19</v>
      </c>
      <c r="B52">
        <v>0.96625489556631283</v>
      </c>
      <c r="C52">
        <v>-3.2020524558663555E-3</v>
      </c>
      <c r="S52" s="271" t="str">
        <f>IF(T52=1,"LS# 1",IF(T52="Xin","",IF(ISBLANK(T52),"",IF(T52='Past LS'!$M$25,CONCATENATE('Past LS'!$M$23,," ",'Past LS'!$M$24),IF(T52='Past LS'!$N$25,CONCATENATE('Past LS'!$N$23,," ",'Past LS'!$N$24),IF(T52='Past LS'!$O$25,CONCATENATE('Past LS'!$O$23,," ",'Past LS'!$O$24),"ERROR"))))))</f>
        <v/>
      </c>
      <c r="T52" s="165"/>
      <c r="U52" s="165"/>
      <c r="V52" s="165"/>
      <c r="W52" s="165"/>
      <c r="X52" s="117"/>
    </row>
    <row r="53" spans="1:24" x14ac:dyDescent="0.15">
      <c r="A53">
        <v>20</v>
      </c>
      <c r="B53">
        <v>0.96625489556631283</v>
      </c>
      <c r="C53">
        <v>-2.4609686178344026E-3</v>
      </c>
      <c r="S53" s="271" t="str">
        <f>IF(T53=1,"LS# 1",IF(T53="Xin","",IF(ISBLANK(T53),"",IF(T53='Past LS'!$M$25,CONCATENATE('Past LS'!$M$23,," ",'Past LS'!$M$24),IF(T53='Past LS'!$N$25,CONCATENATE('Past LS'!$N$23,," ",'Past LS'!$N$24),IF(T53='Past LS'!$O$25,CONCATENATE('Past LS'!$O$23,," ",'Past LS'!$O$24),"ERROR"))))))</f>
        <v/>
      </c>
      <c r="T53" s="165"/>
      <c r="U53" s="165"/>
      <c r="V53" s="165"/>
      <c r="W53" s="165"/>
      <c r="X53" s="117"/>
    </row>
    <row r="54" spans="1:24" x14ac:dyDescent="0.15">
      <c r="A54">
        <v>21</v>
      </c>
      <c r="B54">
        <v>0.96625489556631283</v>
      </c>
      <c r="C54">
        <v>-3.4767109585714939E-3</v>
      </c>
      <c r="S54" s="271" t="str">
        <f>IF(T54=1,"LS# 1",IF(T54="Xin","",IF(ISBLANK(T54),"",IF(T54='Past LS'!$M$25,CONCATENATE('Past LS'!$M$23,," ",'Past LS'!$M$24),IF(T54='Past LS'!$N$25,CONCATENATE('Past LS'!$N$23,," ",'Past LS'!$N$24),IF(T54='Past LS'!$O$25,CONCATENATE('Past LS'!$O$23,," ",'Past LS'!$O$24),"ERROR"))))))</f>
        <v/>
      </c>
      <c r="T54" s="165"/>
      <c r="U54" s="165"/>
      <c r="V54" s="165"/>
      <c r="W54" s="165"/>
      <c r="X54" s="117"/>
    </row>
    <row r="55" spans="1:24" x14ac:dyDescent="0.15">
      <c r="A55">
        <v>22</v>
      </c>
      <c r="B55">
        <v>0.96625489556631283</v>
      </c>
      <c r="C55">
        <v>-3.3649949533525181E-3</v>
      </c>
      <c r="S55" s="271" t="str">
        <f>IF(T55=1,"LS# 1",IF(T55="Xin","",IF(ISBLANK(T55),"",IF(T55='Past LS'!$M$25,CONCATENATE('Past LS'!$M$23,," ",'Past LS'!$M$24),IF(T55='Past LS'!$N$25,CONCATENATE('Past LS'!$N$23,," ",'Past LS'!$N$24),IF(T55='Past LS'!$O$25,CONCATENATE('Past LS'!$O$23,," ",'Past LS'!$O$24),"ERROR"))))))</f>
        <v/>
      </c>
      <c r="T55" s="165"/>
      <c r="U55" s="165"/>
      <c r="V55" s="165"/>
      <c r="W55" s="165"/>
      <c r="X55" s="117"/>
    </row>
    <row r="56" spans="1:24" x14ac:dyDescent="0.15">
      <c r="A56">
        <v>23</v>
      </c>
      <c r="B56">
        <v>0.96625489556631283</v>
      </c>
      <c r="C56">
        <v>-2.0709237131590896E-3</v>
      </c>
      <c r="S56" s="271" t="str">
        <f>IF(T56=1,"LS# 1",IF(T56="Xin","",IF(ISBLANK(T56),"",IF(T56='Past LS'!$M$25,CONCATENATE('Past LS'!$M$23,," ",'Past LS'!$M$24),IF(T56='Past LS'!$N$25,CONCATENATE('Past LS'!$N$23,," ",'Past LS'!$N$24),IF(T56='Past LS'!$O$25,CONCATENATE('Past LS'!$O$23,," ",'Past LS'!$O$24),"ERROR"))))))</f>
        <v/>
      </c>
      <c r="T56" s="165"/>
      <c r="U56" s="165"/>
      <c r="V56" s="165"/>
      <c r="W56" s="165"/>
      <c r="X56" s="117"/>
    </row>
    <row r="57" spans="1:24" x14ac:dyDescent="0.15">
      <c r="A57">
        <v>24</v>
      </c>
      <c r="B57">
        <v>0.96625489556631283</v>
      </c>
      <c r="C57">
        <v>-1.6641669344402699E-3</v>
      </c>
      <c r="S57" s="271" t="str">
        <f>IF(T57=1,"LS# 1",IF(T57="Xin","",IF(ISBLANK(T57),"",IF(T57='Past LS'!$M$25,CONCATENATE('Past LS'!$M$23,," ",'Past LS'!$M$24),IF(T57='Past LS'!$N$25,CONCATENATE('Past LS'!$N$23,," ",'Past LS'!$N$24),IF(T57='Past LS'!$O$25,CONCATENATE('Past LS'!$O$23,," ",'Past LS'!$O$24),"ERROR"))))))</f>
        <v/>
      </c>
      <c r="T57" s="165"/>
      <c r="U57" s="165"/>
      <c r="V57" s="165"/>
      <c r="W57" s="165"/>
      <c r="X57" s="117"/>
    </row>
    <row r="58" spans="1:24" x14ac:dyDescent="0.15">
      <c r="A58">
        <v>25</v>
      </c>
      <c r="B58">
        <v>1.1786561774708739</v>
      </c>
      <c r="C58">
        <v>-9.3508683919085733E-4</v>
      </c>
      <c r="S58" s="271" t="str">
        <f>IF(T58=1,"LS# 1",IF(T58="Xin","",IF(ISBLANK(T58),"",IF(T58='Past LS'!$M$25,CONCATENATE('Past LS'!$M$23,," ",'Past LS'!$M$24),IF(T58='Past LS'!$N$25,CONCATENATE('Past LS'!$N$23,," ",'Past LS'!$N$24),IF(T58='Past LS'!$O$25,CONCATENATE('Past LS'!$O$23,," ",'Past LS'!$O$24),"ERROR"))))))</f>
        <v/>
      </c>
      <c r="T58" s="165"/>
      <c r="U58" s="165"/>
      <c r="V58" s="165"/>
      <c r="W58" s="165"/>
      <c r="X58" s="117"/>
    </row>
    <row r="59" spans="1:24" x14ac:dyDescent="0.15">
      <c r="A59">
        <v>26</v>
      </c>
      <c r="B59">
        <v>1.1786561774708739</v>
      </c>
      <c r="C59">
        <v>-1.115481266557028E-3</v>
      </c>
      <c r="S59" s="271" t="str">
        <f>IF(T59=1,"LS# 1",IF(T59="Xin","",IF(ISBLANK(T59),"",IF(T59='Past LS'!$M$25,CONCATENATE('Past LS'!$M$23,," ",'Past LS'!$M$24),IF(T59='Past LS'!$N$25,CONCATENATE('Past LS'!$N$23,," ",'Past LS'!$N$24),IF(T59='Past LS'!$O$25,CONCATENATE('Past LS'!$O$23,," ",'Past LS'!$O$24),"ERROR"))))))</f>
        <v/>
      </c>
      <c r="T59" s="165"/>
      <c r="U59" s="165"/>
      <c r="V59" s="165"/>
      <c r="W59" s="165"/>
      <c r="X59" s="117"/>
    </row>
    <row r="60" spans="1:24" x14ac:dyDescent="0.15">
      <c r="A60">
        <v>27</v>
      </c>
      <c r="B60">
        <v>1.1786561774708739</v>
      </c>
      <c r="C60">
        <v>-5.2122918342489832E-4</v>
      </c>
      <c r="S60" s="271" t="str">
        <f>IF(T60=1,"LS# 1",IF(T60="Xin","",IF(ISBLANK(T60),"",IF(T60='Past LS'!$M$25,CONCATENATE('Past LS'!$M$23,," ",'Past LS'!$M$24),IF(T60='Past LS'!$N$25,CONCATENATE('Past LS'!$N$23,," ",'Past LS'!$N$24),IF(T60='Past LS'!$O$25,CONCATENATE('Past LS'!$O$23,," ",'Past LS'!$O$24),"ERROR"))))))</f>
        <v/>
      </c>
      <c r="T60" s="165"/>
      <c r="U60" s="165"/>
      <c r="V60" s="165"/>
      <c r="W60" s="165"/>
      <c r="X60" s="117"/>
    </row>
    <row r="61" spans="1:24" x14ac:dyDescent="0.15">
      <c r="A61">
        <v>28</v>
      </c>
      <c r="B61">
        <v>1.1786561774708739</v>
      </c>
      <c r="C61">
        <v>3.1948061338660239E-6</v>
      </c>
      <c r="S61" s="271" t="str">
        <f>IF(T61=1,"LS# 1",IF(T61="Xin","",IF(ISBLANK(T61),"",IF(T61='Past LS'!$M$25,CONCATENATE('Past LS'!$M$23,," ",'Past LS'!$M$24),IF(T61='Past LS'!$N$25,CONCATENATE('Past LS'!$N$23,," ",'Past LS'!$N$24),IF(T61='Past LS'!$O$25,CONCATENATE('Past LS'!$O$23,," ",'Past LS'!$O$24),"ERROR"))))))</f>
        <v/>
      </c>
      <c r="T61" s="165"/>
      <c r="U61" s="165"/>
      <c r="V61" s="165"/>
      <c r="W61" s="165"/>
      <c r="X61" s="117"/>
    </row>
    <row r="62" spans="1:24" x14ac:dyDescent="0.15">
      <c r="A62">
        <v>29</v>
      </c>
      <c r="B62">
        <v>1.1786561774708739</v>
      </c>
      <c r="C62">
        <v>4.7771872335844456E-4</v>
      </c>
      <c r="S62" s="271" t="str">
        <f>IF(T62=1,"LS# 1",IF(T62="Xin","",IF(ISBLANK(T62),"",IF(T62='Past LS'!$M$25,CONCATENATE('Past LS'!$M$23,," ",'Past LS'!$M$24),IF(T62='Past LS'!$N$25,CONCATENATE('Past LS'!$N$23,," ",'Past LS'!$N$24),IF(T62='Past LS'!$O$25,CONCATENATE('Past LS'!$O$23,," ",'Past LS'!$O$24),"ERROR"))))))</f>
        <v/>
      </c>
      <c r="T62" s="165"/>
      <c r="U62" s="165"/>
      <c r="V62" s="165"/>
      <c r="W62" s="165"/>
      <c r="X62" s="117"/>
    </row>
    <row r="63" spans="1:24" x14ac:dyDescent="0.15">
      <c r="A63">
        <v>30</v>
      </c>
      <c r="B63">
        <v>1.1786561774708739</v>
      </c>
      <c r="C63">
        <v>1.3190583993649696E-4</v>
      </c>
      <c r="S63" s="271" t="str">
        <f>IF(T63=1,"LS# 1",IF(T63="Xin","",IF(ISBLANK(T63),"",IF(T63='Past LS'!$M$25,CONCATENATE('Past LS'!$M$23,," ",'Past LS'!$M$24),IF(T63='Past LS'!$N$25,CONCATENATE('Past LS'!$N$23,," ",'Past LS'!$N$24),IF(T63='Past LS'!$O$25,CONCATENATE('Past LS'!$O$23,," ",'Past LS'!$O$24),"ERROR"))))))</f>
        <v/>
      </c>
      <c r="T63" s="165"/>
      <c r="U63" s="165"/>
      <c r="V63" s="165"/>
      <c r="W63" s="165"/>
      <c r="X63" s="117"/>
    </row>
    <row r="64" spans="1:24" x14ac:dyDescent="0.15">
      <c r="A64">
        <v>31</v>
      </c>
      <c r="B64">
        <v>1.1786561774708739</v>
      </c>
      <c r="C64">
        <v>-9.2429283836481524E-4</v>
      </c>
      <c r="S64" s="271" t="str">
        <f>IF(T64=1,"LS# 1",IF(T64="Xin","",IF(ISBLANK(T64),"",IF(T64='Past LS'!$M$25,CONCATENATE('Past LS'!$M$23,," ",'Past LS'!$M$24),IF(T64='Past LS'!$N$25,CONCATENATE('Past LS'!$N$23,," ",'Past LS'!$N$24),IF(T64='Past LS'!$O$25,CONCATENATE('Past LS'!$O$23,," ",'Past LS'!$O$24),"ERROR"))))))</f>
        <v/>
      </c>
      <c r="T64" s="165"/>
      <c r="U64" s="165"/>
      <c r="V64" s="165"/>
      <c r="W64" s="165"/>
      <c r="X64" s="117"/>
    </row>
    <row r="65" spans="1:24" x14ac:dyDescent="0.15">
      <c r="A65">
        <v>32</v>
      </c>
      <c r="B65">
        <v>1.1786561774708739</v>
      </c>
      <c r="C65">
        <v>-6.8898953940377261E-4</v>
      </c>
      <c r="S65" s="271" t="str">
        <f>IF(T65=1,"LS# 1",IF(T65="Xin","",IF(ISBLANK(T65),"",IF(T65='Past LS'!$M$25,CONCATENATE('Past LS'!$M$23,," ",'Past LS'!$M$24),IF(T65='Past LS'!$N$25,CONCATENATE('Past LS'!$N$23,," ",'Past LS'!$N$24),IF(T65='Past LS'!$O$25,CONCATENATE('Past LS'!$O$23,," ",'Past LS'!$O$24),"ERROR"))))))</f>
        <v/>
      </c>
      <c r="T65" s="165"/>
      <c r="U65" s="165"/>
      <c r="V65" s="165"/>
      <c r="W65" s="165"/>
      <c r="X65" s="117"/>
    </row>
    <row r="66" spans="1:24" x14ac:dyDescent="0.15">
      <c r="A66">
        <v>33</v>
      </c>
      <c r="B66">
        <v>1.1786561774708739</v>
      </c>
      <c r="C66">
        <v>1.3563548233297418E-4</v>
      </c>
      <c r="S66" s="271" t="str">
        <f>IF(T66=1,"LS# 1",IF(T66="Xin","",IF(ISBLANK(T66),"",IF(T66='Past LS'!$M$25,CONCATENATE('Past LS'!$M$23,," ",'Past LS'!$M$24),IF(T66='Past LS'!$N$25,CONCATENATE('Past LS'!$N$23,," ",'Past LS'!$N$24),IF(T66='Past LS'!$O$25,CONCATENATE('Past LS'!$O$23,," ",'Past LS'!$O$24),"ERROR"))))))</f>
        <v/>
      </c>
      <c r="T66" s="165"/>
      <c r="U66" s="165"/>
      <c r="V66" s="165"/>
      <c r="W66" s="165"/>
      <c r="X66" s="117"/>
    </row>
    <row r="67" spans="1:24" x14ac:dyDescent="0.15">
      <c r="A67">
        <v>34</v>
      </c>
      <c r="B67">
        <v>1.1786561774708739</v>
      </c>
      <c r="C67">
        <v>-2.457939551714361E-5</v>
      </c>
      <c r="S67" s="271" t="str">
        <f>IF(T67=1,"LS# 1",IF(T67="Xin","",IF(ISBLANK(T67),"",IF(T67='Past LS'!$M$25,CONCATENATE('Past LS'!$M$23,," ",'Past LS'!$M$24),IF(T67='Past LS'!$N$25,CONCATENATE('Past LS'!$N$23,," ",'Past LS'!$N$24),IF(T67='Past LS'!$O$25,CONCATENATE('Past LS'!$O$23,," ",'Past LS'!$O$24),"ERROR"))))))</f>
        <v/>
      </c>
      <c r="T67" s="165"/>
      <c r="U67" s="165"/>
      <c r="V67" s="165"/>
      <c r="W67" s="165"/>
      <c r="X67" s="117"/>
    </row>
    <row r="68" spans="1:24" x14ac:dyDescent="0.15">
      <c r="A68">
        <v>35</v>
      </c>
      <c r="B68">
        <v>1.1786561774708739</v>
      </c>
      <c r="C68">
        <v>1.7240555845288164E-4</v>
      </c>
      <c r="S68" s="271" t="str">
        <f>IF(T68=1,"LS# 1",IF(T68="Xin","",IF(ISBLANK(T68),"",IF(T68='Past LS'!$M$25,CONCATENATE('Past LS'!$M$23,," ",'Past LS'!$M$24),IF(T68='Past LS'!$N$25,CONCATENATE('Past LS'!$N$23,," ",'Past LS'!$N$24),IF(T68='Past LS'!$O$25,CONCATENATE('Past LS'!$O$23,," ",'Past LS'!$O$24),"ERROR"))))))</f>
        <v/>
      </c>
      <c r="T68" s="165"/>
      <c r="U68" s="165"/>
      <c r="V68" s="165"/>
      <c r="W68" s="165"/>
      <c r="X68" s="117"/>
    </row>
    <row r="69" spans="1:24" x14ac:dyDescent="0.15">
      <c r="A69">
        <v>36</v>
      </c>
      <c r="B69">
        <v>1.1786561774708739</v>
      </c>
      <c r="C69">
        <v>-5.8940739051149826E-4</v>
      </c>
      <c r="S69" s="271" t="str">
        <f>IF(T69=1,"LS# 1",IF(T69="Xin","",IF(ISBLANK(T69),"",IF(T69='Past LS'!$M$25,CONCATENATE('Past LS'!$M$23,," ",'Past LS'!$M$24),IF(T69='Past LS'!$N$25,CONCATENATE('Past LS'!$N$23,," ",'Past LS'!$N$24),IF(T69='Past LS'!$O$26,CONCATENATE('Past LS'!$O$24,," ",'Past LS'!$O$25),"ERROR"))))))</f>
        <v/>
      </c>
      <c r="T69" s="165"/>
      <c r="U69" s="165"/>
      <c r="V69" s="165"/>
      <c r="W69" s="165"/>
      <c r="X69" s="117"/>
    </row>
    <row r="70" spans="1:24" ht="12" thickBot="1" x14ac:dyDescent="0.2">
      <c r="A70">
        <v>37</v>
      </c>
      <c r="B70">
        <v>1.7717428396310726</v>
      </c>
      <c r="C70">
        <v>3.9878183731301142E-4</v>
      </c>
      <c r="S70" s="270"/>
      <c r="T70" s="123"/>
      <c r="U70" s="123"/>
      <c r="V70" s="123"/>
      <c r="W70" s="123"/>
      <c r="X70" s="135"/>
    </row>
    <row r="71" spans="1:24" x14ac:dyDescent="0.15">
      <c r="A71">
        <v>38</v>
      </c>
      <c r="B71">
        <v>1.7717428396310726</v>
      </c>
      <c r="C71">
        <v>1.0750654970317353E-3</v>
      </c>
    </row>
    <row r="72" spans="1:24" x14ac:dyDescent="0.15">
      <c r="A72">
        <v>39</v>
      </c>
      <c r="B72">
        <v>1.7717428396310726</v>
      </c>
      <c r="C72">
        <v>3.3100681279840671E-4</v>
      </c>
    </row>
    <row r="73" spans="1:24" x14ac:dyDescent="0.15">
      <c r="A73">
        <v>40</v>
      </c>
      <c r="B73">
        <v>1.7717428396310726</v>
      </c>
      <c r="C73">
        <v>6.7608121988760317E-4</v>
      </c>
    </row>
    <row r="74" spans="1:24" x14ac:dyDescent="0.15">
      <c r="A74">
        <v>41</v>
      </c>
      <c r="B74">
        <v>1.7717428396310726</v>
      </c>
      <c r="C74">
        <v>2.5708353922238025E-4</v>
      </c>
    </row>
    <row r="75" spans="1:24" x14ac:dyDescent="0.15">
      <c r="A75">
        <v>42</v>
      </c>
      <c r="B75">
        <v>1.7717428396310726</v>
      </c>
      <c r="C75">
        <v>4.5390914257659176E-4</v>
      </c>
    </row>
    <row r="76" spans="1:24" x14ac:dyDescent="0.15">
      <c r="A76">
        <v>43</v>
      </c>
      <c r="B76">
        <v>1.7717428396310726</v>
      </c>
      <c r="C76">
        <v>8.8137542976363115E-4</v>
      </c>
    </row>
    <row r="77" spans="1:24" x14ac:dyDescent="0.15">
      <c r="A77">
        <v>44</v>
      </c>
      <c r="B77">
        <v>1.7717428396310726</v>
      </c>
      <c r="C77">
        <v>1.5074250208770845E-3</v>
      </c>
    </row>
    <row r="78" spans="1:24" x14ac:dyDescent="0.15">
      <c r="A78">
        <v>45</v>
      </c>
      <c r="B78">
        <v>1.7717428396310726</v>
      </c>
      <c r="C78">
        <v>1.4880878454950341E-3</v>
      </c>
    </row>
    <row r="79" spans="1:24" ht="12" thickBot="1" x14ac:dyDescent="0.2">
      <c r="A79" s="31">
        <v>46</v>
      </c>
      <c r="B79" s="31">
        <v>1.7717428396310726</v>
      </c>
      <c r="C79" s="31">
        <v>1.523989715179308E-3</v>
      </c>
    </row>
  </sheetData>
  <mergeCells count="7">
    <mergeCell ref="R18:S18"/>
    <mergeCell ref="R16:S16"/>
    <mergeCell ref="R14:S14"/>
    <mergeCell ref="R12:S12"/>
    <mergeCell ref="R13:S13"/>
    <mergeCell ref="R15:S15"/>
    <mergeCell ref="R17:S17"/>
  </mergeCells>
  <phoneticPr fontId="16" type="noConversion"/>
  <pageMargins left="0.75" right="0.75" top="1" bottom="1" header="0.5" footer="0.5"/>
  <pageSetup scale="88" fitToWidth="2" fitToHeight="3" orientation="landscape" horizont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EE77-E09B-204D-B0C4-0715564B9238}">
  <sheetPr codeName="Sheet7"/>
  <dimension ref="A1:J49"/>
  <sheetViews>
    <sheetView workbookViewId="0">
      <selection activeCell="B42" sqref="B42"/>
    </sheetView>
  </sheetViews>
  <sheetFormatPr baseColWidth="10" defaultColWidth="8.796875" defaultRowHeight="11" x14ac:dyDescent="0.15"/>
  <cols>
    <col min="1" max="1" width="8.796875" customWidth="1"/>
    <col min="2" max="2" width="21.3984375" customWidth="1"/>
    <col min="3" max="3" width="8.796875" customWidth="1"/>
    <col min="4" max="4" width="12.796875" bestFit="1" customWidth="1"/>
    <col min="5" max="5" width="11.19921875" customWidth="1"/>
    <col min="6" max="6" width="11.3984375" customWidth="1"/>
    <col min="9" max="9" width="4.19921875" customWidth="1"/>
  </cols>
  <sheetData>
    <row r="1" spans="1:8" x14ac:dyDescent="0.15">
      <c r="A1" s="9" t="s">
        <v>76</v>
      </c>
      <c r="B1" s="9" t="s">
        <v>140</v>
      </c>
      <c r="C1" s="9"/>
    </row>
    <row r="4" spans="1:8" x14ac:dyDescent="0.15">
      <c r="B4" s="146" t="s">
        <v>45</v>
      </c>
      <c r="C4" s="147">
        <f>(MeanRatio-Intercept)/Slope</f>
        <v>5.0437654801617269</v>
      </c>
      <c r="D4" s="174" t="str">
        <f>'Ratio Data'!K23</f>
        <v>ppm</v>
      </c>
    </row>
    <row r="7" spans="1:8" x14ac:dyDescent="0.15">
      <c r="A7" s="9" t="s">
        <v>77</v>
      </c>
      <c r="B7" s="9" t="s">
        <v>212</v>
      </c>
    </row>
    <row r="9" spans="1:8" ht="12" thickBot="1" x14ac:dyDescent="0.2">
      <c r="B9" t="s">
        <v>228</v>
      </c>
    </row>
    <row r="10" spans="1:8" x14ac:dyDescent="0.15">
      <c r="B10" s="60" t="s">
        <v>54</v>
      </c>
      <c r="C10" s="69" t="s">
        <v>83</v>
      </c>
      <c r="D10" s="70" t="s">
        <v>84</v>
      </c>
      <c r="E10" s="69" t="s">
        <v>156</v>
      </c>
      <c r="F10" s="71" t="s">
        <v>200</v>
      </c>
    </row>
    <row r="11" spans="1:8" x14ac:dyDescent="0.15">
      <c r="B11" s="29" t="s">
        <v>143</v>
      </c>
      <c r="C11">
        <f>-CertifiedValue/Slope</f>
        <v>-25.266167994708479</v>
      </c>
      <c r="D11">
        <f>uslope</f>
        <v>1.8008494606079097E-4</v>
      </c>
      <c r="E11">
        <f>D11*C11</f>
        <v>-4.5500565004899596E-3</v>
      </c>
      <c r="F11" s="72"/>
    </row>
    <row r="12" spans="1:8" x14ac:dyDescent="0.15">
      <c r="B12" s="29" t="s">
        <v>158</v>
      </c>
      <c r="C12">
        <f>-1/Slope</f>
        <v>-5.0093859625484267</v>
      </c>
      <c r="D12">
        <f>uintercept</f>
        <v>1.1068657383141471E-3</v>
      </c>
      <c r="E12">
        <f>D12*C12</f>
        <v>-5.5447176919366887E-3</v>
      </c>
      <c r="F12" s="72"/>
    </row>
    <row r="13" spans="1:8" x14ac:dyDescent="0.15">
      <c r="B13" s="28" t="s">
        <v>157</v>
      </c>
      <c r="C13" s="58">
        <f>2*C11*C12</f>
        <v>253.13597456016598</v>
      </c>
      <c r="D13" s="92">
        <f>umb</f>
        <v>-1.9052885729625936E-7</v>
      </c>
      <c r="E13" s="59"/>
      <c r="F13" s="91">
        <f>D13*C13</f>
        <v>-4.8229707973523402E-5</v>
      </c>
    </row>
    <row r="14" spans="1:8" ht="12" thickBot="1" x14ac:dyDescent="0.2">
      <c r="B14" s="30" t="s">
        <v>215</v>
      </c>
      <c r="C14" s="31"/>
      <c r="D14" s="31"/>
      <c r="E14" s="73">
        <f>SQRT(SUMSQ(E11,E12)+F13)</f>
        <v>1.7936556156083188E-3</v>
      </c>
      <c r="F14" s="74"/>
      <c r="H14" s="88"/>
    </row>
    <row r="17" spans="1:7" x14ac:dyDescent="0.15">
      <c r="A17" s="9" t="s">
        <v>78</v>
      </c>
      <c r="B17" s="9" t="s">
        <v>208</v>
      </c>
    </row>
    <row r="18" spans="1:7" ht="12" thickBot="1" x14ac:dyDescent="0.2"/>
    <row r="19" spans="1:7" ht="12" thickBot="1" x14ac:dyDescent="0.2">
      <c r="A19" t="s">
        <v>225</v>
      </c>
      <c r="F19" s="149">
        <v>1E-3</v>
      </c>
    </row>
    <row r="20" spans="1:7" x14ac:dyDescent="0.15">
      <c r="A20" t="s">
        <v>226</v>
      </c>
      <c r="F20" s="86">
        <f>F19*CertifiedValue</f>
        <v>5.0437654801617268E-3</v>
      </c>
      <c r="G20" s="1" t="s">
        <v>0</v>
      </c>
    </row>
    <row r="23" spans="1:7" x14ac:dyDescent="0.15">
      <c r="A23" s="9" t="s">
        <v>79</v>
      </c>
      <c r="B23" s="9" t="s">
        <v>198</v>
      </c>
    </row>
    <row r="25" spans="1:7" ht="12" thickBot="1" x14ac:dyDescent="0.2">
      <c r="B25" t="s">
        <v>221</v>
      </c>
    </row>
    <row r="26" spans="1:7" x14ac:dyDescent="0.15">
      <c r="B26" s="60" t="s">
        <v>54</v>
      </c>
      <c r="C26" s="69" t="s">
        <v>83</v>
      </c>
      <c r="D26" s="70" t="s">
        <v>84</v>
      </c>
      <c r="E26" s="69" t="s">
        <v>156</v>
      </c>
      <c r="F26" s="71" t="s">
        <v>34</v>
      </c>
      <c r="G26" s="155" t="s">
        <v>13</v>
      </c>
    </row>
    <row r="27" spans="1:7" x14ac:dyDescent="0.15">
      <c r="B27" s="63" t="s">
        <v>150</v>
      </c>
      <c r="C27" s="67">
        <f>1/Slope</f>
        <v>5.0093859625484267</v>
      </c>
      <c r="D27" s="68">
        <f>StdUnc</f>
        <v>8.1789097280796151E-4</v>
      </c>
      <c r="E27" s="103">
        <f>D27*C27</f>
        <v>4.0971315580792794E-3</v>
      </c>
      <c r="F27" s="75">
        <f>DegFree</f>
        <v>58</v>
      </c>
      <c r="G27" s="150">
        <f>E27/C27</f>
        <v>8.1789097280796151E-4</v>
      </c>
    </row>
    <row r="28" spans="1:7" x14ac:dyDescent="0.15">
      <c r="B28" s="29" t="s">
        <v>127</v>
      </c>
      <c r="C28">
        <v>1</v>
      </c>
      <c r="D28">
        <f>E14</f>
        <v>1.7936556156083188E-3</v>
      </c>
      <c r="E28" s="104">
        <f>D28*C28</f>
        <v>1.7936556156083188E-3</v>
      </c>
      <c r="F28" s="76">
        <f>Regdf</f>
        <v>44</v>
      </c>
      <c r="G28" s="151">
        <f>E28/C27</f>
        <v>3.5805897749109189E-4</v>
      </c>
    </row>
    <row r="29" spans="1:7" x14ac:dyDescent="0.15">
      <c r="B29" s="29" t="s">
        <v>154</v>
      </c>
      <c r="C29">
        <v>1</v>
      </c>
      <c r="D29">
        <f>F20</f>
        <v>5.0437654801617268E-3</v>
      </c>
      <c r="E29" s="105">
        <f>D29*C29</f>
        <v>5.0437654801617268E-3</v>
      </c>
      <c r="F29" s="76" t="s">
        <v>109</v>
      </c>
      <c r="G29" s="152">
        <f>E29/C27</f>
        <v>1.0068630203123358E-3</v>
      </c>
    </row>
    <row r="30" spans="1:7" x14ac:dyDescent="0.15">
      <c r="B30" s="29" t="s">
        <v>67</v>
      </c>
      <c r="C30" s="7">
        <f>C27</f>
        <v>5.0093859625484267</v>
      </c>
      <c r="D30">
        <f>IF(ISERROR('Past LS'!N18),0,'Past LS'!N18)/SQRT(3)</f>
        <v>0</v>
      </c>
      <c r="E30" s="106">
        <f>D30*C30</f>
        <v>0</v>
      </c>
      <c r="F30" s="76"/>
      <c r="G30" s="154">
        <f>E30/C27</f>
        <v>0</v>
      </c>
    </row>
    <row r="31" spans="1:7" ht="12" thickBot="1" x14ac:dyDescent="0.2">
      <c r="B31" s="77" t="s">
        <v>214</v>
      </c>
      <c r="C31" s="78"/>
      <c r="D31" s="78"/>
      <c r="E31" s="79">
        <f>SQRT(SUMSQ(E27:E30))</f>
        <v>6.7411614496675166E-3</v>
      </c>
      <c r="F31" s="80">
        <f>E31^4/(E27^4/F27+E28^4/F28)</f>
        <v>405.42690623908413</v>
      </c>
      <c r="G31" s="153">
        <f>E31/C27</f>
        <v>1.3457061404464198E-3</v>
      </c>
    </row>
    <row r="34" spans="1:10" x14ac:dyDescent="0.15">
      <c r="A34" s="9" t="s">
        <v>101</v>
      </c>
      <c r="B34" s="9" t="s">
        <v>171</v>
      </c>
    </row>
    <row r="35" spans="1:10" ht="12" thickBot="1" x14ac:dyDescent="0.2"/>
    <row r="36" spans="1:10" x14ac:dyDescent="0.15">
      <c r="B36" s="60" t="s">
        <v>218</v>
      </c>
      <c r="C36" s="61"/>
      <c r="D36" s="61"/>
      <c r="E36" s="62"/>
    </row>
    <row r="37" spans="1:10" x14ac:dyDescent="0.15">
      <c r="B37" s="63" t="s">
        <v>214</v>
      </c>
      <c r="C37" s="64"/>
      <c r="D37" s="64"/>
      <c r="E37" s="65">
        <f>E31</f>
        <v>6.7411614496675166E-3</v>
      </c>
    </row>
    <row r="38" spans="1:10" ht="12" thickBot="1" x14ac:dyDescent="0.2">
      <c r="B38" s="29" t="s">
        <v>188</v>
      </c>
      <c r="E38" s="66">
        <f>TINV(0.05,F31)</f>
        <v>1.9658386906356404</v>
      </c>
    </row>
    <row r="39" spans="1:10" ht="12" thickBot="1" x14ac:dyDescent="0.2">
      <c r="B39" s="30" t="s">
        <v>196</v>
      </c>
      <c r="C39" s="31"/>
      <c r="D39" s="31"/>
      <c r="E39" s="148">
        <f>E38*E37</f>
        <v>1.3252035997577847E-2</v>
      </c>
      <c r="F39" s="1"/>
    </row>
    <row r="41" spans="1:10" ht="12" thickBot="1" x14ac:dyDescent="0.2">
      <c r="C41" s="7"/>
      <c r="D41" s="7"/>
      <c r="E41" s="7"/>
    </row>
    <row r="42" spans="1:10" ht="14" thickBot="1" x14ac:dyDescent="0.2">
      <c r="B42" s="421" t="s">
        <v>147</v>
      </c>
      <c r="C42" s="422">
        <f>CertifiedValue</f>
        <v>5.0437654801617269</v>
      </c>
      <c r="D42" s="423" t="s">
        <v>9</v>
      </c>
      <c r="E42" s="424">
        <f>E39</f>
        <v>1.3252035997577847E-2</v>
      </c>
      <c r="F42" s="425" t="str">
        <f>'Ratio Data'!$K$23</f>
        <v>ppm</v>
      </c>
      <c r="G42" s="426">
        <f>E42/C42</f>
        <v>2.6274092341725857E-3</v>
      </c>
      <c r="H42" s="427" t="s">
        <v>94</v>
      </c>
      <c r="I42" s="421" t="s">
        <v>8</v>
      </c>
      <c r="J42" s="428">
        <f>E38</f>
        <v>1.9658386906356404</v>
      </c>
    </row>
    <row r="43" spans="1:10" ht="14" thickBot="1" x14ac:dyDescent="0.2">
      <c r="B43" s="421" t="s">
        <v>189</v>
      </c>
      <c r="C43" s="422">
        <f>RCertification!B48</f>
        <v>5.0422565872924201</v>
      </c>
      <c r="D43" s="423" t="s">
        <v>9</v>
      </c>
      <c r="E43" s="424">
        <f>RCertification!B50</f>
        <v>6.4651717705294348E-2</v>
      </c>
      <c r="F43" s="425" t="str">
        <f>'Ratio Data'!$K$23</f>
        <v>ppm</v>
      </c>
      <c r="G43" s="426">
        <f>E43/C43</f>
        <v>1.2821980909942325E-2</v>
      </c>
      <c r="H43" s="427" t="s">
        <v>94</v>
      </c>
      <c r="I43" s="421" t="s">
        <v>8</v>
      </c>
      <c r="J43" s="428">
        <f>RCertification!B52</f>
        <v>1.9698476039693655</v>
      </c>
    </row>
    <row r="44" spans="1:10" ht="14" thickBot="1" x14ac:dyDescent="0.2">
      <c r="B44" s="421" t="s">
        <v>141</v>
      </c>
      <c r="C44" s="422">
        <f>RCertification!B54</f>
        <v>5.1395754832063458</v>
      </c>
      <c r="D44" s="423" t="s">
        <v>9</v>
      </c>
      <c r="E44" s="424">
        <f>RCertification!B56</f>
        <v>1.0500620640940726E-2</v>
      </c>
      <c r="F44" s="425" t="str">
        <f>'Ratio Data'!$K$23</f>
        <v>ppm</v>
      </c>
      <c r="G44" s="426">
        <f>E44/C44</f>
        <v>2.0430910442412395E-3</v>
      </c>
      <c r="H44" s="427" t="s">
        <v>94</v>
      </c>
      <c r="I44" s="209"/>
      <c r="J44" s="210"/>
    </row>
    <row r="47" spans="1:10" x14ac:dyDescent="0.15">
      <c r="D47" s="36"/>
    </row>
    <row r="48" spans="1:10" x14ac:dyDescent="0.15">
      <c r="D48" s="36"/>
    </row>
    <row r="49" spans="4:4" x14ac:dyDescent="0.15">
      <c r="D49" s="36"/>
    </row>
  </sheetData>
  <phoneticPr fontId="16" type="noConversion"/>
  <pageMargins left="0.75" right="0.75" top="1" bottom="1" header="0.5" footer="0.5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52C-4010-2D42-A420-ECB95BEEB3B0}">
  <sheetPr codeName="Sheet11"/>
  <dimension ref="A42:AE256"/>
  <sheetViews>
    <sheetView tabSelected="1" topLeftCell="A16" workbookViewId="0">
      <selection activeCell="E31" sqref="E31"/>
    </sheetView>
  </sheetViews>
  <sheetFormatPr baseColWidth="10" defaultColWidth="9" defaultRowHeight="11" x14ac:dyDescent="0.15"/>
  <cols>
    <col min="1" max="1" width="16.59765625" customWidth="1"/>
    <col min="2" max="2" width="14.19921875" customWidth="1"/>
    <col min="3" max="3" width="12.3984375" customWidth="1"/>
    <col min="4" max="4" width="11.19921875" bestFit="1" customWidth="1"/>
    <col min="5" max="5" width="11.796875" customWidth="1"/>
    <col min="6" max="7" width="10.796875" customWidth="1"/>
    <col min="8" max="11" width="11" style="2" customWidth="1"/>
    <col min="12" max="13" width="9" customWidth="1"/>
    <col min="14" max="16" width="10.19921875" customWidth="1"/>
    <col min="17" max="17" width="9" customWidth="1"/>
    <col min="18" max="19" width="10.19921875" customWidth="1"/>
    <col min="20" max="29" width="9" customWidth="1"/>
    <col min="30" max="31" width="9.19921875" style="1" customWidth="1"/>
  </cols>
  <sheetData>
    <row r="42" spans="1:31" ht="12" thickBot="1" x14ac:dyDescent="0.2"/>
    <row r="43" spans="1:31" ht="14" thickBot="1" x14ac:dyDescent="0.2">
      <c r="W43" s="228" t="s">
        <v>56</v>
      </c>
      <c r="X43" s="229">
        <v>0.8</v>
      </c>
    </row>
    <row r="44" spans="1:31" ht="15.75" customHeight="1" thickBot="1" x14ac:dyDescent="0.2">
      <c r="A44" s="346" t="s">
        <v>264</v>
      </c>
      <c r="B44" s="347" t="s">
        <v>465</v>
      </c>
      <c r="C44" s="434"/>
      <c r="AD44"/>
      <c r="AE44"/>
    </row>
    <row r="45" spans="1:31" ht="14" thickBot="1" x14ac:dyDescent="0.2">
      <c r="B45">
        <f>B50/B49</f>
        <v>1.9698476039693655</v>
      </c>
      <c r="M45" s="493" t="s">
        <v>265</v>
      </c>
      <c r="N45" s="494"/>
      <c r="O45" s="494"/>
      <c r="P45" s="494"/>
      <c r="Q45" s="494"/>
      <c r="R45" s="494"/>
      <c r="S45" s="494"/>
      <c r="T45" s="494"/>
      <c r="U45" s="495"/>
      <c r="AD45"/>
      <c r="AE45"/>
    </row>
    <row r="46" spans="1:31" ht="13" x14ac:dyDescent="0.15">
      <c r="A46" s="203"/>
      <c r="B46" s="435"/>
      <c r="C46" s="435" t="s">
        <v>119</v>
      </c>
      <c r="D46" s="436"/>
      <c r="F46" s="442" t="s">
        <v>202</v>
      </c>
      <c r="G46" s="443"/>
      <c r="H46" s="435"/>
      <c r="I46" s="435"/>
      <c r="J46" s="442" t="s">
        <v>146</v>
      </c>
      <c r="K46" s="436"/>
      <c r="M46" s="395" t="s">
        <v>27</v>
      </c>
      <c r="N46" s="396"/>
      <c r="O46" s="396"/>
      <c r="P46" s="397" t="s">
        <v>57</v>
      </c>
      <c r="Q46" s="396"/>
      <c r="R46" s="396" t="s">
        <v>234</v>
      </c>
      <c r="S46" s="397" t="s">
        <v>234</v>
      </c>
      <c r="T46" s="396" t="s">
        <v>94</v>
      </c>
      <c r="U46" s="398" t="s">
        <v>31</v>
      </c>
      <c r="AD46"/>
      <c r="AE46"/>
    </row>
    <row r="47" spans="1:31" ht="13" x14ac:dyDescent="0.15">
      <c r="A47" s="206"/>
      <c r="B47" s="397"/>
      <c r="C47" s="397" t="s">
        <v>44</v>
      </c>
      <c r="D47" s="401" t="s">
        <v>21</v>
      </c>
      <c r="F47" s="391"/>
      <c r="G47" s="400" t="s">
        <v>44</v>
      </c>
      <c r="H47" s="400" t="s">
        <v>61</v>
      </c>
      <c r="I47" s="400" t="s">
        <v>14</v>
      </c>
      <c r="J47" s="391" t="s">
        <v>44</v>
      </c>
      <c r="K47" s="401" t="s">
        <v>14</v>
      </c>
      <c r="M47" s="391" t="s">
        <v>53</v>
      </c>
      <c r="N47" s="399" t="s">
        <v>44</v>
      </c>
      <c r="O47" s="399" t="s">
        <v>57</v>
      </c>
      <c r="P47" s="400" t="s">
        <v>48</v>
      </c>
      <c r="Q47" s="399" t="s">
        <v>231</v>
      </c>
      <c r="R47" s="399" t="s">
        <v>235</v>
      </c>
      <c r="S47" s="400" t="s">
        <v>236</v>
      </c>
      <c r="T47" s="399" t="s">
        <v>57</v>
      </c>
      <c r="U47" s="401" t="s">
        <v>51</v>
      </c>
      <c r="AD47"/>
      <c r="AE47"/>
    </row>
    <row r="48" spans="1:31" ht="13" x14ac:dyDescent="0.15">
      <c r="A48" s="437" t="s">
        <v>113</v>
      </c>
      <c r="B48" s="484">
        <v>5.0422565872924201</v>
      </c>
      <c r="C48" s="485">
        <f>'Certified Value'!C42</f>
        <v>5.0437654801617269</v>
      </c>
      <c r="D48" s="438">
        <f>(C48-B48)/B48</f>
        <v>2.9924952115874357E-4</v>
      </c>
      <c r="F48" s="444" t="s">
        <v>4</v>
      </c>
      <c r="G48" s="461">
        <v>0.11906917893669093</v>
      </c>
      <c r="H48" s="461">
        <v>1.9000200223760373E-2</v>
      </c>
      <c r="I48" s="432">
        <f>IF(ISNUMBER(G48),$B$52*H48,"")</f>
        <v>3.7427498885712576E-2</v>
      </c>
      <c r="J48" s="446">
        <f>IF(ISNUMBER(G48),'Std Analysis'!U24,"")</f>
        <v>0.11912533273877024</v>
      </c>
      <c r="K48" s="433">
        <f>IF(ISNUMBER(H48),'Std Analysis'!V24,"")</f>
        <v>1.9756837149627879E-2</v>
      </c>
      <c r="M48" s="395" t="s">
        <v>291</v>
      </c>
      <c r="N48" s="404">
        <v>5.0450383205629441</v>
      </c>
      <c r="O48" s="405">
        <v>9.6209334402263431E-3</v>
      </c>
      <c r="P48" s="403">
        <v>1.7113347127784027E-2</v>
      </c>
      <c r="Q48" s="407">
        <v>1.7787616174778793</v>
      </c>
      <c r="R48" s="404">
        <v>5.0279249734351597</v>
      </c>
      <c r="S48" s="403">
        <v>5.0621516676907286</v>
      </c>
      <c r="T48" s="349">
        <f>IF(OR(ISBLANK(M48),M48=""),"",P48/N48)</f>
        <v>3.3921143984243229E-3</v>
      </c>
      <c r="U48" s="402" t="str">
        <f>IF(ISBLANK(M48),"",IF(ABS(N48-$B$48)&lt;=$B$50*$X$43,"IN","OUT"))</f>
        <v>IN</v>
      </c>
      <c r="X48" s="219">
        <f>N48-P48-R48</f>
        <v>0</v>
      </c>
      <c r="Y48" s="219">
        <f>N48+P48</f>
        <v>5.0621516676907286</v>
      </c>
      <c r="Z48">
        <f>P48/O48</f>
        <v>1.7787616174778793</v>
      </c>
      <c r="AD48"/>
      <c r="AE48"/>
    </row>
    <row r="49" spans="1:31" ht="13" x14ac:dyDescent="0.15">
      <c r="A49" s="206" t="s">
        <v>152</v>
      </c>
      <c r="B49" s="462">
        <v>3.2820669769081177E-2</v>
      </c>
      <c r="C49" s="279">
        <f>'Certified Value'!E37</f>
        <v>6.7411614496675166E-3</v>
      </c>
      <c r="D49" s="218"/>
      <c r="F49" s="447" t="s">
        <v>5</v>
      </c>
      <c r="G49" s="462">
        <v>5.0205063042696549</v>
      </c>
      <c r="H49" s="462">
        <v>1.8371030250849327E-2</v>
      </c>
      <c r="I49" s="432">
        <f>IF(ISNUMBER(G49),$B$52*H49,"")</f>
        <v>3.6188129922084283E-2</v>
      </c>
      <c r="J49" s="448">
        <f>IF(ISNUMBER(G49),'Std Analysis'!U25,"")</f>
        <v>5.0202400026099827</v>
      </c>
      <c r="K49" s="433">
        <f>IF(ISNUMBER(H49),'Std Analysis'!V25,"")</f>
        <v>1.9046724159365463E-2</v>
      </c>
      <c r="M49" s="395" t="s">
        <v>292</v>
      </c>
      <c r="N49" s="404">
        <v>5.0076101940240179</v>
      </c>
      <c r="O49" s="406">
        <v>5.5943285112973933E-3</v>
      </c>
      <c r="P49" s="404">
        <v>1.0980222246394822E-2</v>
      </c>
      <c r="Q49" s="407">
        <v>1.9627417703878056</v>
      </c>
      <c r="R49" s="404">
        <v>4.9966299717776232</v>
      </c>
      <c r="S49" s="404">
        <v>5.0185904162704125</v>
      </c>
      <c r="T49" s="349">
        <f>IF(OR(ISBLANK(M49),M49=""),"",P49/N49)</f>
        <v>2.1927070640399286E-3</v>
      </c>
      <c r="U49" s="218" t="str">
        <f>IF(M49="","",IF(ABS(N49-$B$48)&lt;=$B$50*$X$43,"IN","OUT"))</f>
        <v>IN</v>
      </c>
      <c r="X49" s="219">
        <f t="shared" ref="X49:X76" si="0">N49-P49-R49</f>
        <v>0</v>
      </c>
      <c r="Y49" s="219">
        <f t="shared" ref="Y49:Y76" si="1">N49+P49</f>
        <v>5.0185904162704125</v>
      </c>
      <c r="AD49"/>
      <c r="AE49"/>
    </row>
    <row r="50" spans="1:31" ht="13" x14ac:dyDescent="0.15">
      <c r="A50" s="206" t="s">
        <v>142</v>
      </c>
      <c r="B50" s="462">
        <v>6.4651717705294348E-2</v>
      </c>
      <c r="C50" s="279">
        <f>'Certified Value'!E39</f>
        <v>1.3252035997577847E-2</v>
      </c>
      <c r="D50" s="218"/>
      <c r="F50" s="447" t="s">
        <v>6</v>
      </c>
      <c r="G50" s="262" t="s">
        <v>461</v>
      </c>
      <c r="H50" s="262" t="s">
        <v>461</v>
      </c>
      <c r="I50" s="432" t="str">
        <f>IF(ISNUMBER(G50),$B$52*H50,"")</f>
        <v/>
      </c>
      <c r="J50" s="448" t="str">
        <f>IF(ISNUMBER(G50),'Std Analysis'!U26,"")</f>
        <v/>
      </c>
      <c r="K50" s="458" t="str">
        <f>IF(ISNUMBER(H50),'Std Analysis'!V26,"")</f>
        <v/>
      </c>
      <c r="M50" s="414" t="s">
        <v>293</v>
      </c>
      <c r="N50" s="415">
        <v>5.0713576086985555</v>
      </c>
      <c r="O50" s="416">
        <v>6.4175859444387702E-3</v>
      </c>
      <c r="P50" s="415">
        <v>1.2494123772984572E-2</v>
      </c>
      <c r="Q50" s="417">
        <v>1.9468572577218841</v>
      </c>
      <c r="R50" s="415">
        <v>5.0588634849255705</v>
      </c>
      <c r="S50" s="415">
        <v>5.0838517324715404</v>
      </c>
      <c r="T50" s="418">
        <f t="shared" ref="T50:T106" si="2">IF(OR(ISBLANK(M50),M50=""),"",P50/N50)</f>
        <v>2.4636645129411205E-3</v>
      </c>
      <c r="U50" s="419" t="str">
        <f t="shared" ref="U50:U106" si="3">IF(M50="","",IF(ABS(N50-$B$48)&lt;=$B$50*$X$43,"IN","OUT"))</f>
        <v>IN</v>
      </c>
      <c r="V50" t="s">
        <v>468</v>
      </c>
      <c r="X50" s="219">
        <f t="shared" si="0"/>
        <v>0</v>
      </c>
      <c r="Y50" s="219">
        <f t="shared" si="1"/>
        <v>5.0838517324715404</v>
      </c>
      <c r="AD50"/>
      <c r="AE50"/>
    </row>
    <row r="51" spans="1:31" ht="14" thickBot="1" x14ac:dyDescent="0.2">
      <c r="A51" s="206" t="s">
        <v>128</v>
      </c>
      <c r="B51" s="462">
        <v>1.2821980909942325E-2</v>
      </c>
      <c r="C51" s="279">
        <f>C50/C48</f>
        <v>2.6274092341725857E-3</v>
      </c>
      <c r="D51" s="218"/>
      <c r="F51" s="447" t="s">
        <v>7</v>
      </c>
      <c r="G51" s="449" t="s">
        <v>461</v>
      </c>
      <c r="H51" s="449" t="s">
        <v>461</v>
      </c>
      <c r="I51" s="432" t="str">
        <f>IF(ISNUMBER(G51),$B$52*H51,"")</f>
        <v/>
      </c>
      <c r="J51" s="450" t="str">
        <f>IF(ISNUMBER(G51),'Std Analysis'!U27,"")</f>
        <v/>
      </c>
      <c r="K51" s="459" t="str">
        <f>IF(ISNUMBER(H51),'Std Analysis'!V27,"")</f>
        <v/>
      </c>
      <c r="M51" s="408" t="s">
        <v>294</v>
      </c>
      <c r="N51" s="409">
        <v>4.9693658478001907</v>
      </c>
      <c r="O51" s="410">
        <v>9.4831193198028803E-3</v>
      </c>
      <c r="P51" s="409">
        <v>1.6858888812240055E-2</v>
      </c>
      <c r="Q51" s="411">
        <v>1.7777788345481338</v>
      </c>
      <c r="R51" s="409">
        <v>4.9525069589879509</v>
      </c>
      <c r="S51" s="409">
        <v>4.9862247366124306</v>
      </c>
      <c r="T51" s="412">
        <f t="shared" si="2"/>
        <v>3.3925634232993829E-3</v>
      </c>
      <c r="U51" s="413" t="str">
        <f t="shared" si="3"/>
        <v>OUT</v>
      </c>
      <c r="V51" t="s">
        <v>467</v>
      </c>
      <c r="X51" s="219">
        <f t="shared" si="0"/>
        <v>0</v>
      </c>
      <c r="Y51" s="219">
        <f t="shared" si="1"/>
        <v>4.9862247366124306</v>
      </c>
      <c r="AD51"/>
      <c r="AE51"/>
    </row>
    <row r="52" spans="1:31" ht="13" x14ac:dyDescent="0.15">
      <c r="A52" s="206" t="s">
        <v>160</v>
      </c>
      <c r="B52" s="462">
        <v>1.9698476039693655</v>
      </c>
      <c r="C52" s="279">
        <f>'Certified Value'!E38</f>
        <v>1.9658386906356404</v>
      </c>
      <c r="D52" s="218"/>
      <c r="F52" s="451" t="s">
        <v>183</v>
      </c>
      <c r="G52" s="393"/>
      <c r="H52" s="452"/>
      <c r="I52" s="453"/>
      <c r="J52" s="431"/>
      <c r="K52" s="222"/>
      <c r="M52" s="395" t="s">
        <v>295</v>
      </c>
      <c r="N52" s="404">
        <v>5.0255492336710379</v>
      </c>
      <c r="O52" s="406">
        <v>6.0175322320394223E-3</v>
      </c>
      <c r="P52" s="404">
        <v>1.1725264620583792E-2</v>
      </c>
      <c r="Q52" s="407">
        <v>1.94851712769471</v>
      </c>
      <c r="R52" s="404">
        <v>5.0138239690504545</v>
      </c>
      <c r="S52" s="404">
        <v>5.0372744982916213</v>
      </c>
      <c r="T52" s="349">
        <f t="shared" si="2"/>
        <v>2.3331309823859353E-3</v>
      </c>
      <c r="U52" s="218" t="str">
        <f t="shared" si="3"/>
        <v>IN</v>
      </c>
      <c r="X52" s="219">
        <f t="shared" si="0"/>
        <v>0</v>
      </c>
      <c r="Y52" s="219">
        <f t="shared" si="1"/>
        <v>5.0372744982916213</v>
      </c>
      <c r="AD52"/>
      <c r="AE52"/>
    </row>
    <row r="53" spans="1:31" ht="13" x14ac:dyDescent="0.15">
      <c r="A53" s="344" t="s">
        <v>266</v>
      </c>
      <c r="B53" s="486"/>
      <c r="C53" s="487"/>
      <c r="D53" s="345"/>
      <c r="F53" s="454"/>
      <c r="G53" s="455" t="s">
        <v>4</v>
      </c>
      <c r="H53" s="456" t="s">
        <v>5</v>
      </c>
      <c r="I53" s="456" t="s">
        <v>6</v>
      </c>
      <c r="J53" s="457" t="s">
        <v>7</v>
      </c>
      <c r="K53" s="222"/>
      <c r="M53" s="395" t="s">
        <v>296</v>
      </c>
      <c r="N53" s="404">
        <v>5.058617621372548</v>
      </c>
      <c r="O53" s="406">
        <v>7.2925491441821364E-3</v>
      </c>
      <c r="P53" s="404">
        <v>1.4035341975679988E-2</v>
      </c>
      <c r="Q53" s="407">
        <v>1.9246139721769484</v>
      </c>
      <c r="R53" s="404">
        <v>5.0445822793968684</v>
      </c>
      <c r="S53" s="404">
        <v>5.0726529633482276</v>
      </c>
      <c r="T53" s="349">
        <f t="shared" si="2"/>
        <v>2.7745409964139169E-3</v>
      </c>
      <c r="U53" s="218" t="str">
        <f t="shared" si="3"/>
        <v>IN</v>
      </c>
      <c r="X53" s="219">
        <f t="shared" si="0"/>
        <v>0</v>
      </c>
      <c r="Y53" s="219">
        <f t="shared" si="1"/>
        <v>5.0726529633482276</v>
      </c>
      <c r="AD53"/>
      <c r="AE53"/>
    </row>
    <row r="54" spans="1:31" ht="13" x14ac:dyDescent="0.15">
      <c r="A54" s="206" t="s">
        <v>91</v>
      </c>
      <c r="B54" s="488">
        <v>5.1395754832063458</v>
      </c>
      <c r="C54" s="489">
        <f>'Std Analysis'!L5</f>
        <v>5.139365335348753</v>
      </c>
      <c r="D54" s="440">
        <f>(C54-B54)/B54</f>
        <v>-4.0888174184724267E-5</v>
      </c>
      <c r="F54" s="395" t="s">
        <v>4</v>
      </c>
      <c r="G54" s="260">
        <v>1</v>
      </c>
      <c r="H54" s="262">
        <v>-0.95990927915426905</v>
      </c>
      <c r="I54" s="262"/>
      <c r="J54" s="458" t="s">
        <v>461</v>
      </c>
      <c r="K54" s="222"/>
      <c r="M54" s="395" t="s">
        <v>297</v>
      </c>
      <c r="N54" s="404">
        <v>4.9815216353173204</v>
      </c>
      <c r="O54" s="406">
        <v>6.0989666094354534E-3</v>
      </c>
      <c r="P54" s="404">
        <v>1.1875375190030827E-2</v>
      </c>
      <c r="Q54" s="407">
        <v>1.9471126750651391</v>
      </c>
      <c r="R54" s="404">
        <v>4.9696462601272895</v>
      </c>
      <c r="S54" s="404">
        <v>4.9933970105073513</v>
      </c>
      <c r="T54" s="349">
        <f t="shared" si="2"/>
        <v>2.3838850976453446E-3</v>
      </c>
      <c r="U54" s="218" t="str">
        <f t="shared" si="3"/>
        <v>OUT</v>
      </c>
      <c r="V54" t="s">
        <v>466</v>
      </c>
      <c r="X54" s="219">
        <f t="shared" si="0"/>
        <v>0</v>
      </c>
      <c r="Y54" s="219">
        <f t="shared" si="1"/>
        <v>4.9933970105073513</v>
      </c>
      <c r="AD54"/>
      <c r="AE54"/>
    </row>
    <row r="55" spans="1:31" ht="13" x14ac:dyDescent="0.15">
      <c r="A55" s="206" t="s">
        <v>148</v>
      </c>
      <c r="B55" s="462">
        <v>5.3276118396608039E-3</v>
      </c>
      <c r="C55" s="279">
        <f>'Std Analysis'!M5</f>
        <v>5.4762915734571632E-3</v>
      </c>
      <c r="D55" s="218"/>
      <c r="F55" s="395" t="s">
        <v>5</v>
      </c>
      <c r="G55" s="260">
        <v>-0.95990927915426905</v>
      </c>
      <c r="H55" s="262">
        <v>1</v>
      </c>
      <c r="I55" s="262" t="s">
        <v>461</v>
      </c>
      <c r="J55" s="458" t="s">
        <v>461</v>
      </c>
      <c r="K55" s="222"/>
      <c r="M55" s="408" t="s">
        <v>298</v>
      </c>
      <c r="N55" s="409">
        <v>5.0948058488244605</v>
      </c>
      <c r="O55" s="410">
        <v>2.1337641288729312E-2</v>
      </c>
      <c r="P55" s="409">
        <v>3.6617332395278271E-2</v>
      </c>
      <c r="Q55" s="411">
        <v>1.7160909165072429</v>
      </c>
      <c r="R55" s="409">
        <v>5.0581885164291824</v>
      </c>
      <c r="S55" s="409">
        <v>5.1314231812197386</v>
      </c>
      <c r="T55" s="412">
        <f t="shared" si="2"/>
        <v>7.1871889688842798E-3</v>
      </c>
      <c r="U55" s="413" t="str">
        <f t="shared" si="3"/>
        <v>OUT</v>
      </c>
      <c r="V55" t="s">
        <v>469</v>
      </c>
      <c r="X55" s="219">
        <f t="shared" si="0"/>
        <v>0</v>
      </c>
      <c r="Y55" s="219">
        <f t="shared" si="1"/>
        <v>5.1314231812197386</v>
      </c>
      <c r="AD55"/>
      <c r="AE55"/>
    </row>
    <row r="56" spans="1:31" ht="13" x14ac:dyDescent="0.15">
      <c r="A56" s="206" t="s">
        <v>132</v>
      </c>
      <c r="B56" s="462">
        <v>1.0500620640940726E-2</v>
      </c>
      <c r="C56" s="279">
        <f>C55*2</f>
        <v>1.0952583146914326E-2</v>
      </c>
      <c r="D56" s="218"/>
      <c r="F56" s="395" t="s">
        <v>6</v>
      </c>
      <c r="G56" s="260" t="s">
        <v>461</v>
      </c>
      <c r="H56" s="262" t="s">
        <v>461</v>
      </c>
      <c r="I56" s="262" t="s">
        <v>461</v>
      </c>
      <c r="J56" s="458" t="s">
        <v>461</v>
      </c>
      <c r="K56" s="222"/>
      <c r="M56" s="395" t="s">
        <v>300</v>
      </c>
      <c r="N56" s="404">
        <v>5.0441257887943465</v>
      </c>
      <c r="O56" s="406">
        <v>1.1605923062259766E-2</v>
      </c>
      <c r="P56" s="404">
        <v>1.9525531898331484E-2</v>
      </c>
      <c r="Q56" s="407">
        <v>1.6823764722191521</v>
      </c>
      <c r="R56" s="404">
        <v>5.0246002568960151</v>
      </c>
      <c r="S56" s="404">
        <v>5.0636513206926779</v>
      </c>
      <c r="T56" s="349">
        <f t="shared" si="2"/>
        <v>3.870944682170288E-3</v>
      </c>
      <c r="U56" s="218" t="str">
        <f t="shared" si="3"/>
        <v>IN</v>
      </c>
      <c r="W56" s="7">
        <f>MIN(N48:N49,N52:N54,N56:N84,N86:N88,N90:N93,N95,N97:N101,N103:N106)</f>
        <v>4.9783677712573722</v>
      </c>
      <c r="X56" s="219">
        <f t="shared" si="0"/>
        <v>0</v>
      </c>
      <c r="Y56" s="219">
        <f t="shared" si="1"/>
        <v>5.0636513206926779</v>
      </c>
      <c r="AD56"/>
      <c r="AE56"/>
    </row>
    <row r="57" spans="1:31" ht="14" thickBot="1" x14ac:dyDescent="0.2">
      <c r="A57" s="209" t="s">
        <v>120</v>
      </c>
      <c r="B57" s="490">
        <v>2.0430910442412395E-3</v>
      </c>
      <c r="C57" s="491">
        <f>C56/C54</f>
        <v>2.1311158931594213E-3</v>
      </c>
      <c r="D57" s="441"/>
      <c r="F57" s="429" t="s">
        <v>7</v>
      </c>
      <c r="G57" s="261" t="s">
        <v>461</v>
      </c>
      <c r="H57" s="263" t="s">
        <v>461</v>
      </c>
      <c r="I57" s="263" t="s">
        <v>461</v>
      </c>
      <c r="J57" s="459" t="s">
        <v>461</v>
      </c>
      <c r="K57" s="221"/>
      <c r="M57" s="395" t="s">
        <v>301</v>
      </c>
      <c r="N57" s="404">
        <v>5.0204099554926431</v>
      </c>
      <c r="O57" s="406">
        <v>5.6697231130670763E-3</v>
      </c>
      <c r="P57" s="404">
        <v>1.1084723585337325E-2</v>
      </c>
      <c r="Q57" s="407">
        <v>1.9550731780517172</v>
      </c>
      <c r="R57" s="404">
        <v>5.0093252319073054</v>
      </c>
      <c r="S57" s="404">
        <v>5.0314946790779809</v>
      </c>
      <c r="T57" s="349">
        <f t="shared" si="2"/>
        <v>2.2079319584668465E-3</v>
      </c>
      <c r="U57" s="218" t="str">
        <f t="shared" si="3"/>
        <v>IN</v>
      </c>
      <c r="W57" s="7">
        <f>MAX(N48:N49,N52:N54,N56:N84,N86:N88,N90:N93,N95,N97:N101,N103:N106)</f>
        <v>5.0924223611013</v>
      </c>
      <c r="X57" s="219">
        <f t="shared" si="0"/>
        <v>0</v>
      </c>
      <c r="Y57" s="219">
        <f t="shared" si="1"/>
        <v>5.0314946790779809</v>
      </c>
      <c r="AD57"/>
      <c r="AE57"/>
    </row>
    <row r="58" spans="1:31" ht="14" thickBot="1" x14ac:dyDescent="0.2">
      <c r="M58" s="395" t="s">
        <v>302</v>
      </c>
      <c r="N58" s="404">
        <v>5.0456672919564873</v>
      </c>
      <c r="O58" s="406">
        <v>6.2656602507627718E-3</v>
      </c>
      <c r="P58" s="404">
        <v>1.2205742008729627E-2</v>
      </c>
      <c r="Q58" s="407">
        <v>1.9480376401263886</v>
      </c>
      <c r="R58" s="404">
        <v>5.0334615499477575</v>
      </c>
      <c r="S58" s="404">
        <v>5.0578730339652171</v>
      </c>
      <c r="T58" s="349">
        <f t="shared" si="2"/>
        <v>2.4190540720327156E-3</v>
      </c>
      <c r="U58" s="218" t="str">
        <f t="shared" si="3"/>
        <v>IN</v>
      </c>
      <c r="X58" s="219">
        <f t="shared" si="0"/>
        <v>0</v>
      </c>
      <c r="Y58" s="219">
        <f t="shared" si="1"/>
        <v>5.0578730339652171</v>
      </c>
      <c r="AD58"/>
      <c r="AE58"/>
    </row>
    <row r="59" spans="1:31" ht="13" x14ac:dyDescent="0.15">
      <c r="A59" s="467" t="s">
        <v>154</v>
      </c>
      <c r="B59" s="468" t="s">
        <v>44</v>
      </c>
      <c r="C59" s="469" t="s">
        <v>136</v>
      </c>
      <c r="D59" s="470" t="s">
        <v>112</v>
      </c>
      <c r="E59" s="470" t="s">
        <v>136</v>
      </c>
      <c r="F59" s="464" t="s">
        <v>37</v>
      </c>
      <c r="G59" s="464" t="s">
        <v>31</v>
      </c>
      <c r="H59" s="464" t="s">
        <v>40</v>
      </c>
      <c r="I59" s="394" t="s">
        <v>57</v>
      </c>
      <c r="M59" s="395" t="s">
        <v>303</v>
      </c>
      <c r="N59" s="404">
        <v>5.0264006841235966</v>
      </c>
      <c r="O59" s="406">
        <v>5.9631744749213469E-3</v>
      </c>
      <c r="P59" s="404">
        <v>1.1667522523741085E-2</v>
      </c>
      <c r="Q59" s="407">
        <v>1.9565958656433537</v>
      </c>
      <c r="R59" s="404">
        <v>5.0147331615998558</v>
      </c>
      <c r="S59" s="404">
        <v>5.0380682066473375</v>
      </c>
      <c r="T59" s="349">
        <f t="shared" si="2"/>
        <v>2.3212479977161699E-3</v>
      </c>
      <c r="U59" s="218" t="str">
        <f t="shared" si="3"/>
        <v>IN</v>
      </c>
      <c r="X59" s="219">
        <f t="shared" si="0"/>
        <v>0</v>
      </c>
      <c r="Y59" s="219">
        <f t="shared" si="1"/>
        <v>5.0380682066473375</v>
      </c>
      <c r="AD59"/>
      <c r="AE59"/>
    </row>
    <row r="60" spans="1:31" ht="13" x14ac:dyDescent="0.15">
      <c r="A60" s="395">
        <v>1</v>
      </c>
      <c r="B60" s="445">
        <v>4.0068999999999999</v>
      </c>
      <c r="C60" s="471">
        <v>1.6027599999999999E-2</v>
      </c>
      <c r="D60" s="471">
        <v>4.0160656087482201</v>
      </c>
      <c r="E60" s="279">
        <v>1.3293074371845213E-2</v>
      </c>
      <c r="F60" s="472">
        <f>IF(ISNUMBER(B60),(D60-B60)/B60,"")</f>
        <v>2.2874563248945928E-3</v>
      </c>
      <c r="G60" s="396" t="str">
        <f t="shared" ref="G60:G69" si="4">IF(ISNUMBER(B60),IF(ABS(D60-B60)&lt;2*SQRT(SUMSQ(E60,C60)),"PASS","FAIL"),"")</f>
        <v>PASS</v>
      </c>
      <c r="H60" s="460">
        <f>IF(ISNUMBER(B60),VLOOKUP(B60,'Standards Data'!$K$15:$N$25,3,FALSE),"")</f>
        <v>0.776234064991009</v>
      </c>
      <c r="I60" s="463">
        <f>IF(ISNUMBER(B60),2*VLOOKUP(B60,'Standards Data'!$K$15:$N$25,4,FALSE),"")</f>
        <v>8.0245489580244305E-4</v>
      </c>
      <c r="M60" s="395" t="s">
        <v>304</v>
      </c>
      <c r="N60" s="404">
        <v>5.0532202949596172</v>
      </c>
      <c r="O60" s="406">
        <v>7.8704214816601829E-3</v>
      </c>
      <c r="P60" s="404">
        <v>1.5471082565220791E-2</v>
      </c>
      <c r="Q60" s="407">
        <v>1.965724783770707</v>
      </c>
      <c r="R60" s="404">
        <v>5.0377492123943961</v>
      </c>
      <c r="S60" s="404">
        <v>5.0686913775248383</v>
      </c>
      <c r="T60" s="349">
        <f t="shared" si="2"/>
        <v>3.0616283601671928E-3</v>
      </c>
      <c r="U60" s="218" t="str">
        <f t="shared" si="3"/>
        <v>IN</v>
      </c>
      <c r="X60" s="219">
        <f t="shared" si="0"/>
        <v>0</v>
      </c>
      <c r="Y60" s="219">
        <f t="shared" si="1"/>
        <v>5.0686913775248383</v>
      </c>
      <c r="AD60"/>
      <c r="AE60"/>
    </row>
    <row r="61" spans="1:31" ht="13" x14ac:dyDescent="0.15">
      <c r="A61" s="395">
        <v>2</v>
      </c>
      <c r="B61" s="262">
        <v>4.9720000000000004</v>
      </c>
      <c r="C61" s="279">
        <v>1.9888000000000003E-2</v>
      </c>
      <c r="D61" s="279">
        <v>4.9549188569689155</v>
      </c>
      <c r="E61" s="279">
        <v>1.0708098685722941E-2</v>
      </c>
      <c r="F61" s="472">
        <f t="shared" ref="F61:F69" si="5">IF(ISNUMBER(B61),(D61-B61)/B61,"")</f>
        <v>-3.4354672226638932E-3</v>
      </c>
      <c r="G61" s="396" t="str">
        <f t="shared" si="4"/>
        <v>PASS</v>
      </c>
      <c r="H61" s="460">
        <f>IF(ISNUMBER(B61),VLOOKUP(B61,'Standards Data'!$K$15:$N$25,3,FALSE),"")</f>
        <v>0.96322449960561907</v>
      </c>
      <c r="I61" s="463">
        <f>IF(ISNUMBER(B61),2*VLOOKUP(B61,'Standards Data'!$K$15:$N$25,4,FALSE),"")</f>
        <v>1.2918886091711206E-3</v>
      </c>
      <c r="M61" s="395" t="s">
        <v>305</v>
      </c>
      <c r="N61" s="404">
        <v>5.0742939797751463</v>
      </c>
      <c r="O61" s="406">
        <v>5.8810644946411458E-3</v>
      </c>
      <c r="P61" s="404">
        <v>1.1478410189841073E-2</v>
      </c>
      <c r="Q61" s="407">
        <v>1.9517572371974929</v>
      </c>
      <c r="R61" s="404">
        <v>5.0628155695853057</v>
      </c>
      <c r="S61" s="404">
        <v>5.0857723899649869</v>
      </c>
      <c r="T61" s="349">
        <f t="shared" si="2"/>
        <v>2.2620703955251935E-3</v>
      </c>
      <c r="U61" s="218" t="str">
        <f t="shared" si="3"/>
        <v>IN</v>
      </c>
      <c r="X61" s="219">
        <f t="shared" si="0"/>
        <v>0</v>
      </c>
      <c r="Y61" s="219">
        <f t="shared" si="1"/>
        <v>5.0857723899649869</v>
      </c>
      <c r="AD61"/>
      <c r="AE61"/>
    </row>
    <row r="62" spans="1:31" ht="13" x14ac:dyDescent="0.15">
      <c r="A62" s="395">
        <v>3</v>
      </c>
      <c r="B62" s="262">
        <v>6.0359999999999996</v>
      </c>
      <c r="C62" s="279">
        <v>2.4143999999999999E-2</v>
      </c>
      <c r="D62" s="279">
        <v>6.0349490133489416</v>
      </c>
      <c r="E62" s="279">
        <v>1.2647778882275241E-2</v>
      </c>
      <c r="F62" s="472">
        <f t="shared" si="5"/>
        <v>-1.7411972350198166E-4</v>
      </c>
      <c r="G62" s="396" t="str">
        <f t="shared" si="4"/>
        <v>PASS</v>
      </c>
      <c r="H62" s="460">
        <f>IF(ISNUMBER(B62),VLOOKUP(B62,'Standards Data'!$K$15:$N$25,3,FALSE),"")</f>
        <v>1.1783329936339777</v>
      </c>
      <c r="I62" s="463">
        <f>IF(ISNUMBER(B62),2*VLOOKUP(B62,'Standards Data'!$K$15:$N$25,4,FALSE),"")</f>
        <v>1.0630601551745403E-3</v>
      </c>
      <c r="M62" s="395" t="s">
        <v>306</v>
      </c>
      <c r="N62" s="404">
        <v>5.0410775009253381</v>
      </c>
      <c r="O62" s="406">
        <v>1.1146999560043794E-2</v>
      </c>
      <c r="P62" s="404">
        <v>1.9403273127409807E-2</v>
      </c>
      <c r="Q62" s="407">
        <v>1.7406722789297011</v>
      </c>
      <c r="R62" s="404">
        <v>5.021674227797928</v>
      </c>
      <c r="S62" s="404">
        <v>5.0604807740527482</v>
      </c>
      <c r="T62" s="349">
        <f t="shared" si="2"/>
        <v>3.8490328950205885E-3</v>
      </c>
      <c r="U62" s="218" t="str">
        <f t="shared" si="3"/>
        <v>IN</v>
      </c>
      <c r="X62" s="219">
        <f t="shared" si="0"/>
        <v>0</v>
      </c>
      <c r="Y62" s="219">
        <f t="shared" si="1"/>
        <v>5.0604807740527482</v>
      </c>
      <c r="AD62"/>
      <c r="AE62"/>
    </row>
    <row r="63" spans="1:31" ht="13" x14ac:dyDescent="0.15">
      <c r="A63" s="395">
        <v>4</v>
      </c>
      <c r="B63" s="262">
        <v>9.0069999999999997</v>
      </c>
      <c r="C63" s="279">
        <v>3.6027999999999998E-2</v>
      </c>
      <c r="D63" s="279">
        <v>9.0186925453563909</v>
      </c>
      <c r="E63" s="279">
        <v>3.0565302864796671E-2</v>
      </c>
      <c r="F63" s="472">
        <f>IF(ISNUMBER(B63),(D63-B63)/B63,"")</f>
        <v>1.2981620246909286E-3</v>
      </c>
      <c r="G63" s="396" t="str">
        <f t="shared" si="4"/>
        <v>PASS</v>
      </c>
      <c r="H63" s="460">
        <f>IF(ISNUMBER(B63),VLOOKUP(B63,'Standards Data'!$K$15:$N$25,3,FALSE),"")</f>
        <v>1.772602120237087</v>
      </c>
      <c r="I63" s="463">
        <f>IF(ISNUMBER(B63),2*VLOOKUP(B63,'Standards Data'!$K$15:$N$25,4,FALSE),"")</f>
        <v>1.0232933519767964E-3</v>
      </c>
      <c r="M63" s="395" t="s">
        <v>307</v>
      </c>
      <c r="N63" s="404">
        <v>5.0744401910799262</v>
      </c>
      <c r="O63" s="406">
        <v>1.0431588093423439E-2</v>
      </c>
      <c r="P63" s="404">
        <v>1.8894050821147614E-2</v>
      </c>
      <c r="Q63" s="407">
        <v>1.8112343635442534</v>
      </c>
      <c r="R63" s="404">
        <v>5.0555461402587785</v>
      </c>
      <c r="S63" s="404">
        <v>5.0933342419010739</v>
      </c>
      <c r="T63" s="349">
        <f t="shared" si="2"/>
        <v>3.7233763941804669E-3</v>
      </c>
      <c r="U63" s="218" t="str">
        <f t="shared" si="3"/>
        <v>IN</v>
      </c>
      <c r="X63" s="219">
        <f t="shared" si="0"/>
        <v>0</v>
      </c>
      <c r="Y63" s="219">
        <f t="shared" si="1"/>
        <v>5.0933342419010739</v>
      </c>
      <c r="AD63"/>
      <c r="AE63"/>
    </row>
    <row r="64" spans="1:31" ht="13" x14ac:dyDescent="0.15">
      <c r="A64" s="395">
        <v>5</v>
      </c>
      <c r="B64" s="262" t="s">
        <v>461</v>
      </c>
      <c r="C64" s="473" t="s">
        <v>461</v>
      </c>
      <c r="D64" s="473" t="s">
        <v>461</v>
      </c>
      <c r="E64" s="473" t="s">
        <v>461</v>
      </c>
      <c r="F64" s="472" t="str">
        <f t="shared" si="5"/>
        <v/>
      </c>
      <c r="G64" s="396" t="str">
        <f t="shared" si="4"/>
        <v/>
      </c>
      <c r="H64" s="460" t="str">
        <f>IF(ISNUMBER(B64),VLOOKUP(B64,'Standards Data'!$K$15:$N$25,3,FALSE),"")</f>
        <v/>
      </c>
      <c r="I64" s="463" t="str">
        <f>IF(ISNUMBER(B64),2*VLOOKUP(B64,'Standards Data'!$K$15:$N$25,4,FALSE),"")</f>
        <v/>
      </c>
      <c r="M64" s="395" t="s">
        <v>308</v>
      </c>
      <c r="N64" s="404">
        <v>5.0836330616656333</v>
      </c>
      <c r="O64" s="406">
        <v>6.0912106184894677E-3</v>
      </c>
      <c r="P64" s="404">
        <v>1.1853477024922961E-2</v>
      </c>
      <c r="Q64" s="407">
        <v>1.9459969072391807</v>
      </c>
      <c r="R64" s="404">
        <v>5.0717795846407103</v>
      </c>
      <c r="S64" s="404">
        <v>5.0954865386905563</v>
      </c>
      <c r="T64" s="349">
        <f t="shared" si="2"/>
        <v>2.3316940623246346E-3</v>
      </c>
      <c r="U64" s="218" t="str">
        <f t="shared" si="3"/>
        <v>IN</v>
      </c>
      <c r="X64" s="219">
        <f t="shared" si="0"/>
        <v>0</v>
      </c>
      <c r="Y64" s="219">
        <f t="shared" si="1"/>
        <v>5.0954865386905563</v>
      </c>
      <c r="AD64"/>
      <c r="AE64"/>
    </row>
    <row r="65" spans="1:31" ht="13" x14ac:dyDescent="0.15">
      <c r="A65" s="395">
        <v>6</v>
      </c>
      <c r="B65" s="262" t="s">
        <v>461</v>
      </c>
      <c r="C65" s="473" t="s">
        <v>461</v>
      </c>
      <c r="D65" s="473" t="s">
        <v>461</v>
      </c>
      <c r="E65" s="473" t="s">
        <v>461</v>
      </c>
      <c r="F65" s="472" t="str">
        <f t="shared" si="5"/>
        <v/>
      </c>
      <c r="G65" s="396" t="str">
        <f t="shared" si="4"/>
        <v/>
      </c>
      <c r="H65" s="460" t="str">
        <f>IF(ISNUMBER(B65),VLOOKUP(B65,'Standards Data'!$K$15:$N$25,3,FALSE),"")</f>
        <v/>
      </c>
      <c r="I65" s="463" t="str">
        <f>IF(ISNUMBER(B65),2*VLOOKUP(B65,'Standards Data'!$K$15:$N$25,4,FALSE),"")</f>
        <v/>
      </c>
      <c r="M65" s="395" t="s">
        <v>309</v>
      </c>
      <c r="N65" s="404">
        <v>5.0823623287863482</v>
      </c>
      <c r="O65" s="406">
        <v>1.0331389493814829E-2</v>
      </c>
      <c r="P65" s="404">
        <v>1.8696177683753937E-2</v>
      </c>
      <c r="Q65" s="407">
        <v>1.8096479369930751</v>
      </c>
      <c r="R65" s="404">
        <v>5.063666151102594</v>
      </c>
      <c r="S65" s="404">
        <v>5.1010585064701024</v>
      </c>
      <c r="T65" s="349">
        <f t="shared" si="2"/>
        <v>3.678639277223378E-3</v>
      </c>
      <c r="U65" s="218" t="str">
        <f t="shared" si="3"/>
        <v>IN</v>
      </c>
      <c r="X65" s="219">
        <f t="shared" si="0"/>
        <v>0</v>
      </c>
      <c r="Y65" s="219">
        <f t="shared" si="1"/>
        <v>5.1010585064701024</v>
      </c>
      <c r="AD65"/>
      <c r="AE65"/>
    </row>
    <row r="66" spans="1:31" ht="13" x14ac:dyDescent="0.15">
      <c r="A66" s="395">
        <v>7</v>
      </c>
      <c r="B66" s="262" t="s">
        <v>461</v>
      </c>
      <c r="C66" s="473" t="s">
        <v>461</v>
      </c>
      <c r="D66" s="473" t="s">
        <v>461</v>
      </c>
      <c r="E66" s="473" t="s">
        <v>461</v>
      </c>
      <c r="F66" s="472" t="str">
        <f t="shared" si="5"/>
        <v/>
      </c>
      <c r="G66" s="396" t="str">
        <f t="shared" si="4"/>
        <v/>
      </c>
      <c r="H66" s="460" t="str">
        <f>IF(ISNUMBER(B66),VLOOKUP(B66,'Standards Data'!$K$15:$N$25,3,FALSE),"")</f>
        <v/>
      </c>
      <c r="I66" s="463" t="str">
        <f>IF(ISNUMBER(B66),2*VLOOKUP(B66,'Standards Data'!$K$15:$N$25,4,FALSE),"")</f>
        <v/>
      </c>
      <c r="M66" s="395" t="s">
        <v>310</v>
      </c>
      <c r="N66" s="404">
        <v>5.0113404009372635</v>
      </c>
      <c r="O66" s="406">
        <v>5.8849432604221735E-3</v>
      </c>
      <c r="P66" s="404">
        <v>1.1541222119951587E-2</v>
      </c>
      <c r="Q66" s="407">
        <v>1.9611441621823971</v>
      </c>
      <c r="R66" s="404">
        <v>4.9997991788173115</v>
      </c>
      <c r="S66" s="404">
        <v>5.0228816230572155</v>
      </c>
      <c r="T66" s="349">
        <f t="shared" si="2"/>
        <v>2.3030209877167892E-3</v>
      </c>
      <c r="U66" s="218" t="str">
        <f t="shared" si="3"/>
        <v>IN</v>
      </c>
      <c r="X66" s="219">
        <f t="shared" si="0"/>
        <v>0</v>
      </c>
      <c r="Y66" s="219">
        <f t="shared" si="1"/>
        <v>5.0228816230572155</v>
      </c>
      <c r="AD66"/>
      <c r="AE66"/>
    </row>
    <row r="67" spans="1:31" ht="13" x14ac:dyDescent="0.15">
      <c r="A67" s="395">
        <v>8</v>
      </c>
      <c r="B67" s="262" t="s">
        <v>461</v>
      </c>
      <c r="C67" s="473" t="s">
        <v>461</v>
      </c>
      <c r="D67" s="473" t="s">
        <v>461</v>
      </c>
      <c r="E67" s="473" t="s">
        <v>461</v>
      </c>
      <c r="F67" s="472" t="str">
        <f t="shared" si="5"/>
        <v/>
      </c>
      <c r="G67" s="396" t="str">
        <f t="shared" si="4"/>
        <v/>
      </c>
      <c r="H67" s="460" t="str">
        <f>IF(ISNUMBER(B67),VLOOKUP(B67,'Standards Data'!$K$15:$N$25,3,FALSE),"")</f>
        <v/>
      </c>
      <c r="I67" s="463" t="str">
        <f>IF(ISNUMBER(B67),2*VLOOKUP(B67,'Standards Data'!$K$15:$N$25,4,FALSE),"")</f>
        <v/>
      </c>
      <c r="M67" s="395" t="s">
        <v>311</v>
      </c>
      <c r="N67" s="404">
        <v>5.0504104871356406</v>
      </c>
      <c r="O67" s="406">
        <v>5.9644363833095395E-3</v>
      </c>
      <c r="P67" s="404">
        <v>1.1703915927076054E-2</v>
      </c>
      <c r="Q67" s="407">
        <v>1.9622836383715101</v>
      </c>
      <c r="R67" s="404">
        <v>5.0387065712085644</v>
      </c>
      <c r="S67" s="404">
        <v>5.0621144030627168</v>
      </c>
      <c r="T67" s="349">
        <f t="shared" si="2"/>
        <v>2.3174187438601596E-3</v>
      </c>
      <c r="U67" s="218" t="str">
        <f t="shared" si="3"/>
        <v>IN</v>
      </c>
      <c r="X67" s="219">
        <f t="shared" si="0"/>
        <v>0</v>
      </c>
      <c r="Y67" s="219">
        <f t="shared" si="1"/>
        <v>5.0621144030627168</v>
      </c>
      <c r="AD67"/>
      <c r="AE67"/>
    </row>
    <row r="68" spans="1:31" ht="13" x14ac:dyDescent="0.15">
      <c r="A68" s="395">
        <v>9</v>
      </c>
      <c r="B68" s="262" t="s">
        <v>461</v>
      </c>
      <c r="C68" s="473" t="s">
        <v>461</v>
      </c>
      <c r="D68" s="473" t="s">
        <v>461</v>
      </c>
      <c r="E68" s="473" t="s">
        <v>461</v>
      </c>
      <c r="F68" s="472" t="str">
        <f t="shared" si="5"/>
        <v/>
      </c>
      <c r="G68" s="396" t="str">
        <f t="shared" si="4"/>
        <v/>
      </c>
      <c r="H68" s="460" t="str">
        <f>IF(ISNUMBER(B68),VLOOKUP(B68,'Standards Data'!$K$15:$N$25,3,FALSE),"")</f>
        <v/>
      </c>
      <c r="I68" s="463" t="str">
        <f>IF(ISNUMBER(B68),2*VLOOKUP(B68,'Standards Data'!$K$15:$N$25,4,FALSE),"")</f>
        <v/>
      </c>
      <c r="M68" s="395" t="s">
        <v>312</v>
      </c>
      <c r="N68" s="404">
        <v>5.0712577441138267</v>
      </c>
      <c r="O68" s="406">
        <v>6.8446036635531971E-3</v>
      </c>
      <c r="P68" s="404">
        <v>1.3219639543570763E-2</v>
      </c>
      <c r="Q68" s="407">
        <v>1.9313959132453453</v>
      </c>
      <c r="R68" s="404">
        <v>5.0580381045702563</v>
      </c>
      <c r="S68" s="404">
        <v>5.0844773836573971</v>
      </c>
      <c r="T68" s="349">
        <f t="shared" si="2"/>
        <v>2.6067772948268515E-3</v>
      </c>
      <c r="U68" s="218" t="str">
        <f t="shared" si="3"/>
        <v>IN</v>
      </c>
      <c r="X68" s="219">
        <f t="shared" si="0"/>
        <v>0</v>
      </c>
      <c r="Y68" s="219">
        <f t="shared" si="1"/>
        <v>5.0844773836573971</v>
      </c>
      <c r="AD68"/>
      <c r="AE68"/>
    </row>
    <row r="69" spans="1:31" ht="14" thickBot="1" x14ac:dyDescent="0.2">
      <c r="A69" s="429">
        <v>10</v>
      </c>
      <c r="B69" s="263" t="s">
        <v>461</v>
      </c>
      <c r="C69" s="474" t="s">
        <v>461</v>
      </c>
      <c r="D69" s="474" t="s">
        <v>461</v>
      </c>
      <c r="E69" s="474" t="s">
        <v>461</v>
      </c>
      <c r="F69" s="475" t="str">
        <f t="shared" si="5"/>
        <v/>
      </c>
      <c r="G69" s="476" t="str">
        <f t="shared" si="4"/>
        <v/>
      </c>
      <c r="H69" s="477" t="str">
        <f>IF(ISNUMBER(B69),VLOOKUP(B69,'Standards Data'!$K$15:$N$25,3,FALSE),"")</f>
        <v/>
      </c>
      <c r="I69" s="478" t="str">
        <f>IF(ISNUMBER(B69),2*VLOOKUP(B69,'Standards Data'!$K$15:$N$25,4,FALSE),"")</f>
        <v/>
      </c>
      <c r="M69" s="395" t="s">
        <v>313</v>
      </c>
      <c r="N69" s="404">
        <v>5.047796712508041</v>
      </c>
      <c r="O69" s="406">
        <v>5.6004844180430925E-3</v>
      </c>
      <c r="P69" s="404">
        <v>1.0974562296394142E-2</v>
      </c>
      <c r="Q69" s="407">
        <v>1.9595737577694836</v>
      </c>
      <c r="R69" s="404">
        <v>5.0368221502116466</v>
      </c>
      <c r="S69" s="404">
        <v>5.0587712748044353</v>
      </c>
      <c r="T69" s="349">
        <f t="shared" si="2"/>
        <v>2.1741292134843794E-3</v>
      </c>
      <c r="U69" s="218" t="str">
        <f t="shared" si="3"/>
        <v>IN</v>
      </c>
      <c r="X69" s="219">
        <f t="shared" si="0"/>
        <v>0</v>
      </c>
      <c r="Y69" s="219">
        <f t="shared" si="1"/>
        <v>5.0587712748044353</v>
      </c>
      <c r="AD69"/>
      <c r="AE69"/>
    </row>
    <row r="70" spans="1:31" ht="13" x14ac:dyDescent="0.15">
      <c r="M70" s="395" t="s">
        <v>314</v>
      </c>
      <c r="N70" s="404">
        <v>5.0671782514698966</v>
      </c>
      <c r="O70" s="406">
        <v>6.7169483455861659E-3</v>
      </c>
      <c r="P70" s="404">
        <v>1.2996227766031019E-2</v>
      </c>
      <c r="Q70" s="407">
        <v>1.9348411060167057</v>
      </c>
      <c r="R70" s="404">
        <v>5.0541820237038655</v>
      </c>
      <c r="S70" s="404">
        <v>5.0801744792359278</v>
      </c>
      <c r="T70" s="349">
        <f t="shared" si="2"/>
        <v>2.5647859856244544E-3</v>
      </c>
      <c r="U70" s="218" t="str">
        <f t="shared" si="3"/>
        <v>IN</v>
      </c>
      <c r="X70" s="219">
        <f t="shared" si="0"/>
        <v>0</v>
      </c>
      <c r="Y70" s="219">
        <f t="shared" si="1"/>
        <v>5.0801744792359278</v>
      </c>
      <c r="AD70"/>
      <c r="AE70"/>
    </row>
    <row r="71" spans="1:31" ht="14" thickBot="1" x14ac:dyDescent="0.2">
      <c r="A71" s="31"/>
      <c r="B71" s="31"/>
      <c r="C71" s="31"/>
      <c r="D71" s="31"/>
      <c r="K71"/>
      <c r="M71" s="395" t="s">
        <v>315</v>
      </c>
      <c r="N71" s="404">
        <v>5.0566016920916113</v>
      </c>
      <c r="O71" s="406">
        <v>5.8671270901253687E-3</v>
      </c>
      <c r="P71" s="404">
        <v>1.1505484076241034E-2</v>
      </c>
      <c r="Q71" s="407">
        <v>1.9610081560369241</v>
      </c>
      <c r="R71" s="404">
        <v>5.0450962080153703</v>
      </c>
      <c r="S71" s="404">
        <v>5.0681071761678522</v>
      </c>
      <c r="T71" s="349">
        <f t="shared" si="2"/>
        <v>2.2753392054263048E-3</v>
      </c>
      <c r="U71" s="218" t="str">
        <f t="shared" si="3"/>
        <v>IN</v>
      </c>
      <c r="X71" s="219">
        <f t="shared" si="0"/>
        <v>0</v>
      </c>
      <c r="Y71" s="219">
        <f t="shared" si="1"/>
        <v>5.0681071761678522</v>
      </c>
      <c r="AD71"/>
      <c r="AE71"/>
    </row>
    <row r="72" spans="1:31" ht="13" x14ac:dyDescent="0.15">
      <c r="A72" s="393" t="s">
        <v>267</v>
      </c>
      <c r="B72" s="464" t="s">
        <v>249</v>
      </c>
      <c r="C72" s="464" t="s">
        <v>44</v>
      </c>
      <c r="D72" s="464" t="s">
        <v>57</v>
      </c>
      <c r="E72" s="393" t="s">
        <v>48</v>
      </c>
      <c r="F72" s="464" t="s">
        <v>231</v>
      </c>
      <c r="G72" s="464" t="s">
        <v>232</v>
      </c>
      <c r="H72" s="394" t="s">
        <v>233</v>
      </c>
      <c r="I72"/>
      <c r="J72"/>
      <c r="K72"/>
      <c r="M72" s="395" t="s">
        <v>316</v>
      </c>
      <c r="N72" s="404">
        <v>5.0577124037464625</v>
      </c>
      <c r="O72" s="406">
        <v>7.2314574845553951E-3</v>
      </c>
      <c r="P72" s="404">
        <v>1.3778133751466807E-2</v>
      </c>
      <c r="Q72" s="407">
        <v>1.9053052280115721</v>
      </c>
      <c r="R72" s="404">
        <v>5.0439342699949954</v>
      </c>
      <c r="S72" s="404">
        <v>5.0714905374979296</v>
      </c>
      <c r="T72" s="349">
        <f t="shared" si="2"/>
        <v>2.7241829213659435E-3</v>
      </c>
      <c r="U72" s="218" t="str">
        <f t="shared" si="3"/>
        <v>IN</v>
      </c>
      <c r="X72" s="219">
        <f t="shared" si="0"/>
        <v>0</v>
      </c>
      <c r="Y72" s="219">
        <f t="shared" si="1"/>
        <v>5.0714905374979296</v>
      </c>
      <c r="AD72"/>
      <c r="AE72"/>
    </row>
    <row r="73" spans="1:31" ht="13" x14ac:dyDescent="0.15">
      <c r="A73" s="447" t="s">
        <v>415</v>
      </c>
      <c r="B73" s="465">
        <v>2</v>
      </c>
      <c r="C73" s="439">
        <v>5.1445661917231931</v>
      </c>
      <c r="D73" s="439">
        <v>5.7203197571453314E-3</v>
      </c>
      <c r="E73" s="430">
        <v>1.1225325794118566E-2</v>
      </c>
      <c r="F73" s="404">
        <v>1.9623598453734783</v>
      </c>
      <c r="G73" s="439">
        <v>5.1333408659290747</v>
      </c>
      <c r="H73" s="431">
        <v>5.1557915175173115</v>
      </c>
      <c r="I73"/>
      <c r="J73"/>
      <c r="K73"/>
      <c r="M73" s="395" t="s">
        <v>317</v>
      </c>
      <c r="N73" s="404">
        <v>5.0309177483649643</v>
      </c>
      <c r="O73" s="406">
        <v>6.5313211775284248E-3</v>
      </c>
      <c r="P73" s="404">
        <v>1.2737392898489826E-2</v>
      </c>
      <c r="Q73" s="407">
        <v>1.9502015828457384</v>
      </c>
      <c r="R73" s="404">
        <v>5.0181803554664741</v>
      </c>
      <c r="S73" s="404">
        <v>5.0436551412634545</v>
      </c>
      <c r="T73" s="349">
        <f t="shared" si="2"/>
        <v>2.5318229268664642E-3</v>
      </c>
      <c r="U73" s="218" t="str">
        <f t="shared" si="3"/>
        <v>IN</v>
      </c>
      <c r="X73" s="219">
        <f t="shared" si="0"/>
        <v>0</v>
      </c>
      <c r="Y73" s="219">
        <f t="shared" si="1"/>
        <v>5.0436551412634545</v>
      </c>
      <c r="AD73"/>
      <c r="AE73"/>
    </row>
    <row r="74" spans="1:31" ht="13" x14ac:dyDescent="0.15">
      <c r="A74" s="447" t="s">
        <v>416</v>
      </c>
      <c r="B74" s="465">
        <v>3</v>
      </c>
      <c r="C74" s="439">
        <v>5.1242954742003848</v>
      </c>
      <c r="D74" s="439">
        <v>5.8732266788103322E-3</v>
      </c>
      <c r="E74" s="430">
        <v>1.1466644666296254E-2</v>
      </c>
      <c r="F74" s="404">
        <v>1.9523586085424021</v>
      </c>
      <c r="G74" s="439">
        <v>5.1128288295340889</v>
      </c>
      <c r="H74" s="431">
        <v>5.1357621188666807</v>
      </c>
      <c r="I74"/>
      <c r="J74"/>
      <c r="K74"/>
      <c r="M74" s="395" t="s">
        <v>318</v>
      </c>
      <c r="N74" s="404">
        <v>5.0534654396793428</v>
      </c>
      <c r="O74" s="406">
        <v>6.6368028431587319E-3</v>
      </c>
      <c r="P74" s="404">
        <v>1.2876084783496923E-2</v>
      </c>
      <c r="Q74" s="407">
        <v>1.9401035540432983</v>
      </c>
      <c r="R74" s="404">
        <v>5.0405893548958458</v>
      </c>
      <c r="S74" s="404">
        <v>5.0663415244628398</v>
      </c>
      <c r="T74" s="349">
        <f t="shared" si="2"/>
        <v>2.5479712757893024E-3</v>
      </c>
      <c r="U74" s="218" t="str">
        <f t="shared" si="3"/>
        <v>IN</v>
      </c>
      <c r="X74" s="219">
        <f t="shared" si="0"/>
        <v>0</v>
      </c>
      <c r="Y74" s="219">
        <f t="shared" si="1"/>
        <v>5.0663415244628398</v>
      </c>
      <c r="AD74"/>
      <c r="AE74"/>
    </row>
    <row r="75" spans="1:31" ht="13" x14ac:dyDescent="0.15">
      <c r="A75" s="447" t="s">
        <v>417</v>
      </c>
      <c r="B75" s="465">
        <v>4</v>
      </c>
      <c r="C75" s="439">
        <v>5.1503533461920732</v>
      </c>
      <c r="D75" s="439">
        <v>5.7123245285085186E-3</v>
      </c>
      <c r="E75" s="430">
        <v>1.1157195306145198E-2</v>
      </c>
      <c r="F75" s="404">
        <v>1.9531795244585533</v>
      </c>
      <c r="G75" s="439">
        <v>5.1391961508859278</v>
      </c>
      <c r="H75" s="431">
        <v>5.1615105414982185</v>
      </c>
      <c r="I75"/>
      <c r="J75"/>
      <c r="K75"/>
      <c r="M75" s="395" t="s">
        <v>319</v>
      </c>
      <c r="N75" s="404">
        <v>5.0224127417278401</v>
      </c>
      <c r="O75" s="406">
        <v>7.3199301442858702E-3</v>
      </c>
      <c r="P75" s="404">
        <v>1.4266356652585278E-2</v>
      </c>
      <c r="Q75" s="407">
        <v>1.9489744261729016</v>
      </c>
      <c r="R75" s="404">
        <v>5.0081463850752552</v>
      </c>
      <c r="S75" s="404">
        <v>5.036679098380425</v>
      </c>
      <c r="T75" s="349">
        <f t="shared" si="2"/>
        <v>2.8405384794554503E-3</v>
      </c>
      <c r="U75" s="218" t="str">
        <f t="shared" si="3"/>
        <v>IN</v>
      </c>
      <c r="X75" s="219">
        <f t="shared" si="0"/>
        <v>0</v>
      </c>
      <c r="Y75" s="219">
        <f t="shared" si="1"/>
        <v>5.036679098380425</v>
      </c>
      <c r="AD75"/>
      <c r="AE75"/>
    </row>
    <row r="76" spans="1:31" ht="14" thickBot="1" x14ac:dyDescent="0.2">
      <c r="A76" s="250" t="s">
        <v>461</v>
      </c>
      <c r="B76" s="247" t="s">
        <v>461</v>
      </c>
      <c r="C76" s="253" t="s">
        <v>461</v>
      </c>
      <c r="D76" s="253" t="s">
        <v>461</v>
      </c>
      <c r="E76" s="214" t="s">
        <v>461</v>
      </c>
      <c r="F76" s="253"/>
      <c r="G76" s="253"/>
      <c r="H76" s="210"/>
      <c r="I76"/>
      <c r="J76"/>
      <c r="K76"/>
      <c r="M76" s="395" t="s">
        <v>320</v>
      </c>
      <c r="N76" s="404">
        <v>5.0281199160511179</v>
      </c>
      <c r="O76" s="406">
        <v>9.8389074455953497E-3</v>
      </c>
      <c r="P76" s="404">
        <v>1.778201153904696E-2</v>
      </c>
      <c r="Q76" s="407">
        <v>1.8073156635910377</v>
      </c>
      <c r="R76" s="404">
        <v>5.0103379045120713</v>
      </c>
      <c r="S76" s="404">
        <v>5.0459019275901644</v>
      </c>
      <c r="T76" s="349">
        <f t="shared" si="2"/>
        <v>3.5365130179735717E-3</v>
      </c>
      <c r="U76" s="218" t="str">
        <f t="shared" si="3"/>
        <v>IN</v>
      </c>
      <c r="X76" s="219">
        <f t="shared" si="0"/>
        <v>0</v>
      </c>
      <c r="Y76" s="219">
        <f t="shared" si="1"/>
        <v>5.0459019275901644</v>
      </c>
      <c r="AD76"/>
      <c r="AE76"/>
    </row>
    <row r="77" spans="1:31" ht="13" x14ac:dyDescent="0.15">
      <c r="A77" t="s">
        <v>461</v>
      </c>
      <c r="B77" t="s">
        <v>461</v>
      </c>
      <c r="C77" t="s">
        <v>461</v>
      </c>
      <c r="D77" t="s">
        <v>461</v>
      </c>
      <c r="E77" t="s">
        <v>461</v>
      </c>
      <c r="G77" s="227"/>
      <c r="H77" s="227"/>
      <c r="I77" s="227"/>
      <c r="K77"/>
      <c r="M77" s="395" t="s">
        <v>321</v>
      </c>
      <c r="N77" s="404">
        <v>5.0282304846724566</v>
      </c>
      <c r="O77" s="406">
        <v>6.5085555752281785E-3</v>
      </c>
      <c r="P77" s="404">
        <v>1.2716560150493817E-2</v>
      </c>
      <c r="Q77" s="407">
        <v>1.9538221658417654</v>
      </c>
      <c r="R77" s="404">
        <v>5.0155139245219624</v>
      </c>
      <c r="S77" s="404">
        <v>5.0409470448229508</v>
      </c>
      <c r="T77" s="349">
        <f t="shared" si="2"/>
        <v>2.5290328653902556E-3</v>
      </c>
      <c r="U77" s="218" t="str">
        <f t="shared" si="3"/>
        <v>IN</v>
      </c>
      <c r="AD77"/>
      <c r="AE77"/>
    </row>
    <row r="78" spans="1:31" ht="14" thickBot="1" x14ac:dyDescent="0.2">
      <c r="A78" t="s">
        <v>461</v>
      </c>
      <c r="B78" t="s">
        <v>461</v>
      </c>
      <c r="C78" t="s">
        <v>461</v>
      </c>
      <c r="D78" t="s">
        <v>461</v>
      </c>
      <c r="E78" t="s">
        <v>461</v>
      </c>
      <c r="G78" s="227"/>
      <c r="H78" s="227"/>
      <c r="I78" s="227"/>
      <c r="M78" s="395" t="s">
        <v>322</v>
      </c>
      <c r="N78" s="404">
        <v>5.0494211307646992</v>
      </c>
      <c r="O78" s="406">
        <v>7.2189901619663681E-3</v>
      </c>
      <c r="P78" s="404">
        <v>1.3834532156909253E-2</v>
      </c>
      <c r="Q78" s="407">
        <v>1.9164082297545186</v>
      </c>
      <c r="R78" s="404">
        <v>5.0355865986077903</v>
      </c>
      <c r="S78" s="404">
        <v>5.0632556629216081</v>
      </c>
      <c r="T78" s="349">
        <f t="shared" si="2"/>
        <v>2.7398253777288152E-3</v>
      </c>
      <c r="U78" s="218" t="str">
        <f t="shared" si="3"/>
        <v>IN</v>
      </c>
      <c r="AD78"/>
      <c r="AE78"/>
    </row>
    <row r="79" spans="1:31" ht="13" x14ac:dyDescent="0.15">
      <c r="A79" s="392" t="s">
        <v>95</v>
      </c>
      <c r="B79" s="479" t="s">
        <v>40</v>
      </c>
      <c r="C79" s="464" t="s">
        <v>31</v>
      </c>
      <c r="D79" s="394" t="s">
        <v>44</v>
      </c>
      <c r="E79" t="s">
        <v>461</v>
      </c>
      <c r="G79" s="496" t="s">
        <v>268</v>
      </c>
      <c r="H79" s="497"/>
      <c r="M79" s="395" t="s">
        <v>323</v>
      </c>
      <c r="N79" s="404">
        <v>5.0001326727420423</v>
      </c>
      <c r="O79" s="406">
        <v>6.5815811558995203E-3</v>
      </c>
      <c r="P79" s="404">
        <v>1.2798949824397571E-2</v>
      </c>
      <c r="Q79" s="407">
        <v>1.9446618557495108</v>
      </c>
      <c r="R79" s="404">
        <v>4.9873337229176444</v>
      </c>
      <c r="S79" s="404">
        <v>5.0129316225664402</v>
      </c>
      <c r="T79" s="349">
        <f t="shared" si="2"/>
        <v>2.5597220438110307E-3</v>
      </c>
      <c r="U79" s="218" t="str">
        <f t="shared" si="3"/>
        <v>IN</v>
      </c>
      <c r="AD79"/>
      <c r="AE79"/>
    </row>
    <row r="80" spans="1:31" ht="13" x14ac:dyDescent="0.15">
      <c r="A80" s="447" t="s">
        <v>310</v>
      </c>
      <c r="B80" s="466">
        <v>0.97661125738245824</v>
      </c>
      <c r="C80" s="396" t="s">
        <v>464</v>
      </c>
      <c r="D80" s="431">
        <v>5.0221521534460374</v>
      </c>
      <c r="E80" t="s">
        <v>461</v>
      </c>
      <c r="G80" s="358" t="s">
        <v>44</v>
      </c>
      <c r="H80" s="359"/>
      <c r="M80" s="395" t="s">
        <v>324</v>
      </c>
      <c r="N80" s="404">
        <v>5.0873060215724992</v>
      </c>
      <c r="O80" s="406">
        <v>6.1795366938840936E-3</v>
      </c>
      <c r="P80" s="404">
        <v>1.2125839092972206E-2</v>
      </c>
      <c r="Q80" s="407">
        <v>1.9622569933071496</v>
      </c>
      <c r="R80" s="404">
        <v>5.0751801824795271</v>
      </c>
      <c r="S80" s="404">
        <v>5.0994318606654714</v>
      </c>
      <c r="T80" s="349">
        <f t="shared" si="2"/>
        <v>2.383548196541178E-3</v>
      </c>
      <c r="U80" s="218" t="str">
        <f t="shared" si="3"/>
        <v>IN</v>
      </c>
      <c r="AD80"/>
      <c r="AE80"/>
    </row>
    <row r="81" spans="1:31" ht="13" x14ac:dyDescent="0.15">
      <c r="A81" s="480" t="s">
        <v>313</v>
      </c>
      <c r="B81" s="481">
        <v>0.98293456711223726</v>
      </c>
      <c r="C81" s="482" t="s">
        <v>461</v>
      </c>
      <c r="D81" s="483">
        <v>5.053898369808242</v>
      </c>
      <c r="E81" t="s">
        <v>461</v>
      </c>
      <c r="G81" s="358" t="s">
        <v>269</v>
      </c>
      <c r="H81" s="359"/>
      <c r="M81" s="395" t="s">
        <v>325</v>
      </c>
      <c r="N81" s="404">
        <v>5.0487135163390535</v>
      </c>
      <c r="O81" s="406">
        <v>6.406520127159864E-3</v>
      </c>
      <c r="P81" s="404">
        <v>1.2488696359826048E-2</v>
      </c>
      <c r="Q81" s="407">
        <v>1.9493728439065299</v>
      </c>
      <c r="R81" s="404">
        <v>5.0362248199792274</v>
      </c>
      <c r="S81" s="404">
        <v>5.0612022126988796</v>
      </c>
      <c r="T81" s="349">
        <f t="shared" si="2"/>
        <v>2.4736393379044229E-3</v>
      </c>
      <c r="U81" s="218" t="str">
        <f t="shared" si="3"/>
        <v>IN</v>
      </c>
      <c r="AD81"/>
      <c r="AE81"/>
    </row>
    <row r="82" spans="1:31" ht="13" x14ac:dyDescent="0.15">
      <c r="A82" s="480" t="s">
        <v>297</v>
      </c>
      <c r="B82" s="481">
        <v>0.96619563970698119</v>
      </c>
      <c r="C82" s="482" t="s">
        <v>464</v>
      </c>
      <c r="D82" s="483">
        <v>4.969860479243442</v>
      </c>
      <c r="E82" t="s">
        <v>461</v>
      </c>
      <c r="G82" s="358" t="s">
        <v>270</v>
      </c>
      <c r="H82" s="359"/>
      <c r="M82" s="395" t="s">
        <v>326</v>
      </c>
      <c r="N82" s="404">
        <v>5.0641446596897799</v>
      </c>
      <c r="O82" s="406">
        <v>5.9480925079288E-3</v>
      </c>
      <c r="P82" s="404">
        <v>1.1638118143731821E-2</v>
      </c>
      <c r="Q82" s="407">
        <v>1.9566135073081368</v>
      </c>
      <c r="R82" s="404">
        <v>5.0525065415460482</v>
      </c>
      <c r="S82" s="404">
        <v>5.0757827778335116</v>
      </c>
      <c r="T82" s="349">
        <f t="shared" si="2"/>
        <v>2.2981409351060579E-3</v>
      </c>
      <c r="U82" s="218" t="str">
        <f t="shared" si="3"/>
        <v>IN</v>
      </c>
      <c r="AD82"/>
      <c r="AE82"/>
    </row>
    <row r="83" spans="1:31" ht="13" x14ac:dyDescent="0.15">
      <c r="A83" s="480" t="s">
        <v>311</v>
      </c>
      <c r="B83" s="481">
        <v>0.98037971938868851</v>
      </c>
      <c r="C83" s="482" t="s">
        <v>461</v>
      </c>
      <c r="D83" s="483">
        <v>5.0410717407057168</v>
      </c>
      <c r="E83" t="s">
        <v>461</v>
      </c>
      <c r="G83" s="358" t="s">
        <v>271</v>
      </c>
      <c r="H83" s="359"/>
      <c r="M83" s="395" t="s">
        <v>327</v>
      </c>
      <c r="N83" s="404">
        <v>5.0639016778581771</v>
      </c>
      <c r="O83" s="406">
        <v>5.5294152769921126E-3</v>
      </c>
      <c r="P83" s="404">
        <v>1.0841346000817757E-2</v>
      </c>
      <c r="Q83" s="407">
        <v>1.9606677121771952</v>
      </c>
      <c r="R83" s="404">
        <v>5.0530603318573597</v>
      </c>
      <c r="S83" s="404">
        <v>5.0747430238589946</v>
      </c>
      <c r="T83" s="349">
        <f t="shared" si="2"/>
        <v>2.1409076815652557E-3</v>
      </c>
      <c r="U83" s="218" t="str">
        <f t="shared" si="3"/>
        <v>IN</v>
      </c>
      <c r="AD83"/>
      <c r="AE83"/>
    </row>
    <row r="84" spans="1:31" ht="13" x14ac:dyDescent="0.15">
      <c r="A84" s="272" t="s">
        <v>461</v>
      </c>
      <c r="B84" s="273" t="s">
        <v>461</v>
      </c>
      <c r="C84" s="274" t="s">
        <v>461</v>
      </c>
      <c r="D84" s="355" t="s">
        <v>461</v>
      </c>
      <c r="E84" t="s">
        <v>461</v>
      </c>
      <c r="G84" s="358" t="s">
        <v>272</v>
      </c>
      <c r="H84" s="359"/>
      <c r="M84" s="395" t="s">
        <v>328</v>
      </c>
      <c r="N84" s="404">
        <v>5.0415038479842362</v>
      </c>
      <c r="O84" s="406">
        <v>1.3476037790503945E-2</v>
      </c>
      <c r="P84" s="404">
        <v>2.2020413579004378E-2</v>
      </c>
      <c r="Q84" s="407">
        <v>1.6340421362220676</v>
      </c>
      <c r="R84" s="404">
        <v>5.0194834344052319</v>
      </c>
      <c r="S84" s="404">
        <v>5.0635242615632405</v>
      </c>
      <c r="T84" s="349">
        <f t="shared" si="2"/>
        <v>4.3678263952548375E-3</v>
      </c>
      <c r="U84" s="218" t="str">
        <f t="shared" si="3"/>
        <v>IN</v>
      </c>
      <c r="AD84"/>
      <c r="AE84"/>
    </row>
    <row r="85" spans="1:31" ht="14" thickBot="1" x14ac:dyDescent="0.2">
      <c r="A85" s="272" t="s">
        <v>461</v>
      </c>
      <c r="B85" s="273" t="s">
        <v>461</v>
      </c>
      <c r="C85" s="274" t="s">
        <v>461</v>
      </c>
      <c r="D85" s="355" t="s">
        <v>461</v>
      </c>
      <c r="E85" t="s">
        <v>461</v>
      </c>
      <c r="G85" s="360" t="s">
        <v>273</v>
      </c>
      <c r="H85" s="361"/>
      <c r="M85" s="408" t="s">
        <v>329</v>
      </c>
      <c r="N85" s="409">
        <v>5.0405890277278527</v>
      </c>
      <c r="O85" s="410">
        <v>3.96860460914749E-2</v>
      </c>
      <c r="P85" s="409">
        <v>5.0702809309800666E-2</v>
      </c>
      <c r="Q85" s="411">
        <v>1.2775979041331689</v>
      </c>
      <c r="R85" s="409">
        <v>4.9898862184180519</v>
      </c>
      <c r="S85" s="409">
        <v>5.0912918370376534</v>
      </c>
      <c r="T85" s="412">
        <f t="shared" si="2"/>
        <v>1.0058905622118528E-2</v>
      </c>
      <c r="U85" s="413" t="str">
        <f t="shared" si="3"/>
        <v>IN</v>
      </c>
      <c r="V85" t="s">
        <v>469</v>
      </c>
      <c r="AD85"/>
      <c r="AE85"/>
    </row>
    <row r="86" spans="1:31" ht="13" x14ac:dyDescent="0.15">
      <c r="A86" s="272" t="s">
        <v>461</v>
      </c>
      <c r="B86" s="273" t="s">
        <v>461</v>
      </c>
      <c r="C86" s="274" t="s">
        <v>461</v>
      </c>
      <c r="D86" s="355" t="s">
        <v>461</v>
      </c>
      <c r="E86" t="s">
        <v>461</v>
      </c>
      <c r="G86" s="86"/>
      <c r="M86" s="395" t="s">
        <v>330</v>
      </c>
      <c r="N86" s="404">
        <v>4.995236207257606</v>
      </c>
      <c r="O86" s="406">
        <v>8.3716967315388864E-3</v>
      </c>
      <c r="P86" s="404">
        <v>1.5485784400253142E-2</v>
      </c>
      <c r="Q86" s="407">
        <v>1.8497784734500939</v>
      </c>
      <c r="R86" s="404">
        <v>4.9797504228573528</v>
      </c>
      <c r="S86" s="404">
        <v>5.0107219916578591</v>
      </c>
      <c r="T86" s="349">
        <f t="shared" si="2"/>
        <v>3.1001105368658566E-3</v>
      </c>
      <c r="U86" s="218" t="str">
        <f t="shared" si="3"/>
        <v>IN</v>
      </c>
      <c r="AD86"/>
      <c r="AE86"/>
    </row>
    <row r="87" spans="1:31" ht="13" x14ac:dyDescent="0.15">
      <c r="A87" s="272" t="s">
        <v>461</v>
      </c>
      <c r="B87" s="273"/>
      <c r="C87" s="274" t="s">
        <v>461</v>
      </c>
      <c r="D87" s="355" t="s">
        <v>461</v>
      </c>
      <c r="E87" t="s">
        <v>461</v>
      </c>
      <c r="G87" s="86"/>
      <c r="M87" s="395" t="s">
        <v>331</v>
      </c>
      <c r="N87" s="404">
        <v>5.0596741120938997</v>
      </c>
      <c r="O87" s="406">
        <v>5.979544208454029E-3</v>
      </c>
      <c r="P87" s="404">
        <v>1.1673166312658412E-2</v>
      </c>
      <c r="Q87" s="407">
        <v>1.9521832945318136</v>
      </c>
      <c r="R87" s="404">
        <v>5.0480009457812409</v>
      </c>
      <c r="S87" s="404">
        <v>5.0713472784065585</v>
      </c>
      <c r="T87" s="349">
        <f t="shared" si="2"/>
        <v>2.3070984522020094E-3</v>
      </c>
      <c r="U87" s="218" t="str">
        <f t="shared" si="3"/>
        <v>IN</v>
      </c>
      <c r="AD87"/>
      <c r="AE87"/>
    </row>
    <row r="88" spans="1:31" ht="13" x14ac:dyDescent="0.15">
      <c r="A88" s="272" t="s">
        <v>461</v>
      </c>
      <c r="B88" s="273" t="s">
        <v>461</v>
      </c>
      <c r="C88" s="274" t="s">
        <v>461</v>
      </c>
      <c r="D88" s="355" t="s">
        <v>461</v>
      </c>
      <c r="E88" t="s">
        <v>461</v>
      </c>
      <c r="M88" s="395" t="s">
        <v>332</v>
      </c>
      <c r="N88" s="404">
        <v>4.9783677712573722</v>
      </c>
      <c r="O88" s="406">
        <v>7.6578500439037104E-3</v>
      </c>
      <c r="P88" s="404">
        <v>1.462931416922568E-2</v>
      </c>
      <c r="Q88" s="407">
        <v>1.910368326012317</v>
      </c>
      <c r="R88" s="404">
        <v>4.9637384570881462</v>
      </c>
      <c r="S88" s="404">
        <v>4.9929970854265981</v>
      </c>
      <c r="T88" s="349">
        <f t="shared" si="2"/>
        <v>2.9385764253272101E-3</v>
      </c>
      <c r="U88" s="218" t="str">
        <f t="shared" si="3"/>
        <v>OUT</v>
      </c>
      <c r="V88" t="s">
        <v>466</v>
      </c>
      <c r="AD88"/>
      <c r="AE88"/>
    </row>
    <row r="89" spans="1:31" ht="13" x14ac:dyDescent="0.15">
      <c r="A89" s="272" t="s">
        <v>461</v>
      </c>
      <c r="B89" s="273" t="s">
        <v>461</v>
      </c>
      <c r="C89" s="274" t="s">
        <v>461</v>
      </c>
      <c r="D89" s="355" t="s">
        <v>461</v>
      </c>
      <c r="E89" t="s">
        <v>461</v>
      </c>
      <c r="M89" s="408" t="s">
        <v>333</v>
      </c>
      <c r="N89" s="409">
        <v>5.0663345545218039</v>
      </c>
      <c r="O89" s="410">
        <v>1.8686485096960616E-2</v>
      </c>
      <c r="P89" s="409">
        <v>2.7209701231287908E-2</v>
      </c>
      <c r="Q89" s="411">
        <v>1.4561166045996314</v>
      </c>
      <c r="R89" s="409">
        <v>5.0391248532905157</v>
      </c>
      <c r="S89" s="409">
        <v>5.0935442557530921</v>
      </c>
      <c r="T89" s="412">
        <f t="shared" si="2"/>
        <v>5.3706878095925803E-3</v>
      </c>
      <c r="U89" s="413" t="str">
        <f t="shared" si="3"/>
        <v>IN</v>
      </c>
      <c r="V89" t="s">
        <v>469</v>
      </c>
      <c r="AD89"/>
      <c r="AE89"/>
    </row>
    <row r="90" spans="1:31" ht="13" x14ac:dyDescent="0.15">
      <c r="A90" s="272" t="s">
        <v>461</v>
      </c>
      <c r="B90" s="273" t="s">
        <v>461</v>
      </c>
      <c r="C90" s="274" t="s">
        <v>461</v>
      </c>
      <c r="D90" s="355" t="s">
        <v>461</v>
      </c>
      <c r="E90" t="s">
        <v>461</v>
      </c>
      <c r="M90" s="395" t="s">
        <v>334</v>
      </c>
      <c r="N90" s="404">
        <v>5.0766190599610859</v>
      </c>
      <c r="O90" s="406">
        <v>7.5341605980059172E-3</v>
      </c>
      <c r="P90" s="404">
        <v>1.4558206453952699E-2</v>
      </c>
      <c r="Q90" s="407">
        <v>1.9322930888685663</v>
      </c>
      <c r="R90" s="404">
        <v>5.0620608535071332</v>
      </c>
      <c r="S90" s="404">
        <v>5.0911772664150385</v>
      </c>
      <c r="T90" s="349">
        <f t="shared" si="2"/>
        <v>2.8676972374729044E-3</v>
      </c>
      <c r="U90" s="218" t="str">
        <f t="shared" si="3"/>
        <v>IN</v>
      </c>
      <c r="AD90"/>
      <c r="AE90"/>
    </row>
    <row r="91" spans="1:31" ht="13" x14ac:dyDescent="0.15">
      <c r="A91" s="272" t="s">
        <v>461</v>
      </c>
      <c r="B91" s="273" t="s">
        <v>461</v>
      </c>
      <c r="C91" s="274" t="s">
        <v>461</v>
      </c>
      <c r="D91" s="355" t="s">
        <v>461</v>
      </c>
      <c r="E91" t="s">
        <v>461</v>
      </c>
      <c r="M91" s="395" t="s">
        <v>335</v>
      </c>
      <c r="N91" s="404">
        <v>5.0063040525810552</v>
      </c>
      <c r="O91" s="406">
        <v>6.096436617074946E-3</v>
      </c>
      <c r="P91" s="404">
        <v>1.1917108378868712E-2</v>
      </c>
      <c r="Q91" s="407">
        <v>1.9547662228606106</v>
      </c>
      <c r="R91" s="404">
        <v>4.9943869442021862</v>
      </c>
      <c r="S91" s="404">
        <v>5.0182211609599241</v>
      </c>
      <c r="T91" s="349">
        <f t="shared" si="2"/>
        <v>2.3804204166793896E-3</v>
      </c>
      <c r="U91" s="218" t="str">
        <f t="shared" si="3"/>
        <v>IN</v>
      </c>
      <c r="AD91"/>
      <c r="AE91"/>
    </row>
    <row r="92" spans="1:31" ht="13" x14ac:dyDescent="0.15">
      <c r="A92" s="272" t="s">
        <v>461</v>
      </c>
      <c r="B92" s="316" t="s">
        <v>461</v>
      </c>
      <c r="C92" s="274" t="s">
        <v>461</v>
      </c>
      <c r="D92" s="355" t="s">
        <v>461</v>
      </c>
      <c r="E92" s="317" t="s">
        <v>461</v>
      </c>
      <c r="M92" s="395" t="s">
        <v>336</v>
      </c>
      <c r="N92" s="404">
        <v>5.0602584463509714</v>
      </c>
      <c r="O92" s="406">
        <v>7.5645630393524361E-3</v>
      </c>
      <c r="P92" s="404">
        <v>1.4689108406231513E-2</v>
      </c>
      <c r="Q92" s="407">
        <v>1.9418317131889449</v>
      </c>
      <c r="R92" s="404">
        <v>5.0455693379447402</v>
      </c>
      <c r="S92" s="404">
        <v>5.0749475547572027</v>
      </c>
      <c r="T92" s="349">
        <f t="shared" si="2"/>
        <v>2.9028375846739708E-3</v>
      </c>
      <c r="U92" s="218" t="str">
        <f t="shared" si="3"/>
        <v>IN</v>
      </c>
      <c r="AD92"/>
      <c r="AE92"/>
    </row>
    <row r="93" spans="1:31" ht="13" x14ac:dyDescent="0.15">
      <c r="A93" s="272" t="s">
        <v>461</v>
      </c>
      <c r="B93" s="316" t="s">
        <v>461</v>
      </c>
      <c r="C93" s="274" t="s">
        <v>461</v>
      </c>
      <c r="D93" s="355" t="s">
        <v>461</v>
      </c>
      <c r="E93" s="317" t="s">
        <v>461</v>
      </c>
      <c r="M93" s="395" t="s">
        <v>337</v>
      </c>
      <c r="N93" s="404">
        <v>5.0523999043432584</v>
      </c>
      <c r="O93" s="406">
        <v>6.7722272527792043E-3</v>
      </c>
      <c r="P93" s="404">
        <v>1.3181305312172903E-2</v>
      </c>
      <c r="Q93" s="407">
        <v>1.946376697084925</v>
      </c>
      <c r="R93" s="404">
        <v>5.0392185990310852</v>
      </c>
      <c r="S93" s="404">
        <v>5.0655812096554316</v>
      </c>
      <c r="T93" s="349">
        <f t="shared" si="2"/>
        <v>2.6089196345763705E-3</v>
      </c>
      <c r="U93" s="218" t="str">
        <f t="shared" si="3"/>
        <v>IN</v>
      </c>
      <c r="AD93"/>
      <c r="AE93"/>
    </row>
    <row r="94" spans="1:31" ht="13" x14ac:dyDescent="0.15">
      <c r="A94" s="272" t="s">
        <v>461</v>
      </c>
      <c r="B94" s="316" t="s">
        <v>461</v>
      </c>
      <c r="C94" s="274" t="s">
        <v>461</v>
      </c>
      <c r="D94" s="355" t="s">
        <v>461</v>
      </c>
      <c r="E94" s="317" t="s">
        <v>461</v>
      </c>
      <c r="M94" s="408" t="s">
        <v>338</v>
      </c>
      <c r="N94" s="409">
        <v>5.026604471100188</v>
      </c>
      <c r="O94" s="410">
        <v>2.4961047267280528E-2</v>
      </c>
      <c r="P94" s="409">
        <v>3.4175898668483515E-2</v>
      </c>
      <c r="Q94" s="411">
        <v>1.3691692621119311</v>
      </c>
      <c r="R94" s="409">
        <v>4.9924285724317041</v>
      </c>
      <c r="S94" s="409">
        <v>5.060780369768672</v>
      </c>
      <c r="T94" s="412">
        <f t="shared" si="2"/>
        <v>6.7990029581546391E-3</v>
      </c>
      <c r="U94" s="413" t="str">
        <f t="shared" si="3"/>
        <v>IN</v>
      </c>
      <c r="V94" t="s">
        <v>469</v>
      </c>
      <c r="AD94"/>
      <c r="AE94"/>
    </row>
    <row r="95" spans="1:31" ht="13" x14ac:dyDescent="0.15">
      <c r="A95" s="272" t="s">
        <v>461</v>
      </c>
      <c r="B95" s="316" t="s">
        <v>461</v>
      </c>
      <c r="C95" s="274" t="s">
        <v>461</v>
      </c>
      <c r="D95" s="355" t="s">
        <v>461</v>
      </c>
      <c r="E95" s="317" t="s">
        <v>461</v>
      </c>
      <c r="M95" s="395" t="s">
        <v>339</v>
      </c>
      <c r="N95" s="404">
        <v>5.0457349536806682</v>
      </c>
      <c r="O95" s="406">
        <v>7.5800759024792748E-3</v>
      </c>
      <c r="P95" s="404">
        <v>1.427230642791557E-2</v>
      </c>
      <c r="Q95" s="407">
        <v>1.8828711759004173</v>
      </c>
      <c r="R95" s="404">
        <v>5.0314626472527522</v>
      </c>
      <c r="S95" s="404">
        <v>5.0600072601085841</v>
      </c>
      <c r="T95" s="349">
        <f t="shared" si="2"/>
        <v>2.8285882153806898E-3</v>
      </c>
      <c r="U95" s="218" t="str">
        <f t="shared" si="3"/>
        <v>IN</v>
      </c>
      <c r="AD95"/>
      <c r="AE95"/>
    </row>
    <row r="96" spans="1:31" ht="13" x14ac:dyDescent="0.15">
      <c r="A96" s="272" t="s">
        <v>461</v>
      </c>
      <c r="B96" s="316" t="s">
        <v>461</v>
      </c>
      <c r="C96" s="274" t="s">
        <v>461</v>
      </c>
      <c r="D96" s="355" t="s">
        <v>461</v>
      </c>
      <c r="E96" s="317" t="s">
        <v>461</v>
      </c>
      <c r="M96" s="414" t="s">
        <v>340</v>
      </c>
      <c r="N96" s="415">
        <v>5.0601591068638383</v>
      </c>
      <c r="O96" s="416">
        <v>9.2761502762603899E-3</v>
      </c>
      <c r="P96" s="415">
        <v>1.7088129694149377E-2</v>
      </c>
      <c r="Q96" s="417">
        <v>1.8421574883151126</v>
      </c>
      <c r="R96" s="415">
        <v>5.0430709771696893</v>
      </c>
      <c r="S96" s="415">
        <v>5.0772472365579873</v>
      </c>
      <c r="T96" s="418">
        <f t="shared" si="2"/>
        <v>3.3769945437032273E-3</v>
      </c>
      <c r="U96" s="419" t="str">
        <f t="shared" si="3"/>
        <v>IN</v>
      </c>
      <c r="V96" t="s">
        <v>468</v>
      </c>
      <c r="AD96"/>
      <c r="AE96"/>
    </row>
    <row r="97" spans="1:31" ht="13" x14ac:dyDescent="0.15">
      <c r="A97" s="272" t="s">
        <v>461</v>
      </c>
      <c r="B97" s="316" t="s">
        <v>461</v>
      </c>
      <c r="C97" s="274" t="s">
        <v>461</v>
      </c>
      <c r="D97" s="355" t="s">
        <v>461</v>
      </c>
      <c r="E97" s="317" t="s">
        <v>461</v>
      </c>
      <c r="M97" s="395" t="s">
        <v>341</v>
      </c>
      <c r="N97" s="404">
        <v>5.0390684448041245</v>
      </c>
      <c r="O97" s="406">
        <v>6.5018020583548037E-3</v>
      </c>
      <c r="P97" s="404">
        <v>1.2754596872441737E-2</v>
      </c>
      <c r="Q97" s="407">
        <v>1.9617018109697915</v>
      </c>
      <c r="R97" s="404">
        <v>5.0263138479316831</v>
      </c>
      <c r="S97" s="404">
        <v>5.0518230416765659</v>
      </c>
      <c r="T97" s="349">
        <f t="shared" si="2"/>
        <v>2.5311418195943011E-3</v>
      </c>
      <c r="U97" s="218" t="str">
        <f t="shared" si="3"/>
        <v>IN</v>
      </c>
      <c r="AD97"/>
      <c r="AE97"/>
    </row>
    <row r="98" spans="1:31" ht="13" x14ac:dyDescent="0.15">
      <c r="A98" s="272" t="s">
        <v>461</v>
      </c>
      <c r="B98" s="316" t="s">
        <v>461</v>
      </c>
      <c r="C98" s="274" t="s">
        <v>461</v>
      </c>
      <c r="D98" s="355" t="s">
        <v>461</v>
      </c>
      <c r="E98" s="317" t="s">
        <v>461</v>
      </c>
      <c r="M98" s="395" t="s">
        <v>342</v>
      </c>
      <c r="N98" s="404">
        <v>5.071450516827916</v>
      </c>
      <c r="O98" s="406">
        <v>7.0012967953562745E-3</v>
      </c>
      <c r="P98" s="404">
        <v>1.3482988456347053E-2</v>
      </c>
      <c r="Q98" s="407">
        <v>1.9257844440032692</v>
      </c>
      <c r="R98" s="404">
        <v>5.0579675283715693</v>
      </c>
      <c r="S98" s="404">
        <v>5.0849335052842628</v>
      </c>
      <c r="T98" s="349">
        <f t="shared" si="2"/>
        <v>2.6586059376125736E-3</v>
      </c>
      <c r="U98" s="218" t="str">
        <f t="shared" si="3"/>
        <v>IN</v>
      </c>
      <c r="AD98"/>
      <c r="AE98"/>
    </row>
    <row r="99" spans="1:31" ht="13" x14ac:dyDescent="0.15">
      <c r="A99" s="272" t="s">
        <v>461</v>
      </c>
      <c r="B99" s="316" t="s">
        <v>461</v>
      </c>
      <c r="C99" s="274" t="s">
        <v>461</v>
      </c>
      <c r="D99" s="355" t="s">
        <v>461</v>
      </c>
      <c r="E99" s="317" t="s">
        <v>461</v>
      </c>
      <c r="M99" s="395" t="s">
        <v>343</v>
      </c>
      <c r="N99" s="404">
        <v>5.076335936943166</v>
      </c>
      <c r="O99" s="406">
        <v>6.1179808344401501E-3</v>
      </c>
      <c r="P99" s="404">
        <v>1.1932352954015128E-2</v>
      </c>
      <c r="Q99" s="407">
        <v>1.9503743599267167</v>
      </c>
      <c r="R99" s="404">
        <v>5.0644035839891508</v>
      </c>
      <c r="S99" s="404">
        <v>5.0882682898971812</v>
      </c>
      <c r="T99" s="349">
        <f t="shared" si="2"/>
        <v>2.3505837876443758E-3</v>
      </c>
      <c r="U99" s="218" t="str">
        <f t="shared" si="3"/>
        <v>IN</v>
      </c>
      <c r="AD99"/>
      <c r="AE99"/>
    </row>
    <row r="100" spans="1:31" ht="13" x14ac:dyDescent="0.15">
      <c r="A100" s="272" t="s">
        <v>461</v>
      </c>
      <c r="B100" s="316" t="s">
        <v>461</v>
      </c>
      <c r="C100" s="274" t="s">
        <v>461</v>
      </c>
      <c r="D100" s="355" t="s">
        <v>461</v>
      </c>
      <c r="E100" s="317" t="s">
        <v>461</v>
      </c>
      <c r="M100" s="395" t="s">
        <v>344</v>
      </c>
      <c r="N100" s="404">
        <v>5.0175566835242238</v>
      </c>
      <c r="O100" s="406">
        <v>5.9636803987250953E-3</v>
      </c>
      <c r="P100" s="404">
        <v>1.1643016293151471E-2</v>
      </c>
      <c r="Q100" s="407">
        <v>1.9523206333526011</v>
      </c>
      <c r="R100" s="404">
        <v>5.0059136672310727</v>
      </c>
      <c r="S100" s="404">
        <v>5.0291996998173749</v>
      </c>
      <c r="T100" s="349">
        <f t="shared" si="2"/>
        <v>2.3204553585578365E-3</v>
      </c>
      <c r="U100" s="218" t="str">
        <f t="shared" si="3"/>
        <v>IN</v>
      </c>
      <c r="AD100"/>
      <c r="AE100"/>
    </row>
    <row r="101" spans="1:31" ht="13" x14ac:dyDescent="0.15">
      <c r="A101" s="272"/>
      <c r="B101" s="316"/>
      <c r="C101" s="274"/>
      <c r="D101" s="355"/>
      <c r="E101" s="317"/>
      <c r="M101" s="395" t="s">
        <v>345</v>
      </c>
      <c r="N101" s="404">
        <v>5.0924223611013</v>
      </c>
      <c r="O101" s="406">
        <v>6.3508671746674824E-3</v>
      </c>
      <c r="P101" s="404">
        <v>1.242775834474228E-2</v>
      </c>
      <c r="Q101" s="407">
        <v>1.9568600638215947</v>
      </c>
      <c r="R101" s="404">
        <v>5.0799946027565577</v>
      </c>
      <c r="S101" s="404">
        <v>5.1048501194460423</v>
      </c>
      <c r="T101" s="349">
        <f t="shared" si="2"/>
        <v>2.4404413977269987E-3</v>
      </c>
      <c r="U101" s="218" t="str">
        <f t="shared" si="3"/>
        <v>IN</v>
      </c>
      <c r="AD101"/>
      <c r="AE101"/>
    </row>
    <row r="102" spans="1:31" ht="13" x14ac:dyDescent="0.15">
      <c r="A102" s="272"/>
      <c r="B102" s="316"/>
      <c r="C102" s="274"/>
      <c r="D102" s="355"/>
      <c r="E102" s="317"/>
      <c r="M102" s="408" t="s">
        <v>346</v>
      </c>
      <c r="N102" s="409">
        <v>4.9436918313852773</v>
      </c>
      <c r="O102" s="410">
        <v>7.311155320100105E-3</v>
      </c>
      <c r="P102" s="409">
        <v>1.4166540087918199E-2</v>
      </c>
      <c r="Q102" s="411">
        <v>1.9376609397109934</v>
      </c>
      <c r="R102" s="409">
        <v>4.9295252912973595</v>
      </c>
      <c r="S102" s="409">
        <v>4.9578583714731952</v>
      </c>
      <c r="T102" s="412">
        <f t="shared" si="2"/>
        <v>2.8655791200376209E-3</v>
      </c>
      <c r="U102" s="413" t="str">
        <f t="shared" si="3"/>
        <v>OUT</v>
      </c>
      <c r="V102" t="s">
        <v>467</v>
      </c>
      <c r="AD102"/>
      <c r="AE102"/>
    </row>
    <row r="103" spans="1:31" ht="13" x14ac:dyDescent="0.15">
      <c r="A103" s="272"/>
      <c r="B103" s="316"/>
      <c r="C103" s="274"/>
      <c r="D103" s="355"/>
      <c r="E103" s="317"/>
      <c r="M103" s="395" t="s">
        <v>347</v>
      </c>
      <c r="N103" s="404">
        <v>5.0394597078975982</v>
      </c>
      <c r="O103" s="406">
        <v>5.9772332437660562E-3</v>
      </c>
      <c r="P103" s="404">
        <v>1.1659210307485273E-2</v>
      </c>
      <c r="Q103" s="407">
        <v>1.9506032025176905</v>
      </c>
      <c r="R103" s="404">
        <v>5.0278004975901132</v>
      </c>
      <c r="S103" s="404">
        <v>5.0511189182050833</v>
      </c>
      <c r="T103" s="349">
        <f t="shared" si="2"/>
        <v>2.3135833964925885E-3</v>
      </c>
      <c r="U103" s="218" t="str">
        <f t="shared" si="3"/>
        <v>IN</v>
      </c>
      <c r="AD103"/>
      <c r="AE103"/>
    </row>
    <row r="104" spans="1:31" ht="13" x14ac:dyDescent="0.15">
      <c r="A104" s="272"/>
      <c r="B104" s="316"/>
      <c r="C104" s="274"/>
      <c r="D104" s="355"/>
      <c r="E104" s="317"/>
      <c r="M104" s="395" t="s">
        <v>348</v>
      </c>
      <c r="N104" s="404">
        <v>5.0074244917619168</v>
      </c>
      <c r="O104" s="406">
        <v>6.5985698111223345E-3</v>
      </c>
      <c r="P104" s="404">
        <v>1.2828251949953403E-2</v>
      </c>
      <c r="Q104" s="407">
        <v>1.9440958142672855</v>
      </c>
      <c r="R104" s="404">
        <v>4.9945962398119637</v>
      </c>
      <c r="S104" s="404">
        <v>5.02025274371187</v>
      </c>
      <c r="T104" s="349">
        <f t="shared" si="2"/>
        <v>2.5618463086279396E-3</v>
      </c>
      <c r="U104" s="218" t="str">
        <f t="shared" si="3"/>
        <v>IN</v>
      </c>
      <c r="AD104"/>
      <c r="AE104"/>
    </row>
    <row r="105" spans="1:31" ht="13" x14ac:dyDescent="0.15">
      <c r="A105" s="272"/>
      <c r="B105" s="316"/>
      <c r="C105" s="274"/>
      <c r="D105" s="355"/>
      <c r="E105" s="317"/>
      <c r="M105" s="395" t="s">
        <v>349</v>
      </c>
      <c r="N105" s="404">
        <v>5.0046537216501701</v>
      </c>
      <c r="O105" s="406">
        <v>6.6912300455893537E-3</v>
      </c>
      <c r="P105" s="404">
        <v>1.2938129045908173E-2</v>
      </c>
      <c r="Q105" s="407">
        <v>1.9335950128387196</v>
      </c>
      <c r="R105" s="404">
        <v>4.9917155926042618</v>
      </c>
      <c r="S105" s="404">
        <v>5.0175918506960784</v>
      </c>
      <c r="T105" s="349">
        <f t="shared" si="2"/>
        <v>2.5852196306684972E-3</v>
      </c>
      <c r="U105" s="218" t="str">
        <f t="shared" si="3"/>
        <v>IN</v>
      </c>
      <c r="AD105"/>
      <c r="AE105"/>
    </row>
    <row r="106" spans="1:31" ht="13" x14ac:dyDescent="0.15">
      <c r="A106" s="272"/>
      <c r="B106" s="316"/>
      <c r="C106" s="274"/>
      <c r="D106" s="355"/>
      <c r="E106" s="317"/>
      <c r="M106" s="395" t="s">
        <v>350</v>
      </c>
      <c r="N106" s="404">
        <v>5.0418838413835605</v>
      </c>
      <c r="O106" s="406">
        <v>6.1786328197444501E-3</v>
      </c>
      <c r="P106" s="404">
        <v>1.2013289323881113E-2</v>
      </c>
      <c r="Q106" s="407">
        <v>1.9443280858981333</v>
      </c>
      <c r="R106" s="404">
        <v>5.0298705520596796</v>
      </c>
      <c r="S106" s="404">
        <v>5.0538971307074414</v>
      </c>
      <c r="T106" s="349">
        <f t="shared" si="2"/>
        <v>2.3826985511400645E-3</v>
      </c>
      <c r="U106" s="218" t="str">
        <f t="shared" si="3"/>
        <v>IN</v>
      </c>
      <c r="AD106"/>
      <c r="AE106"/>
    </row>
    <row r="107" spans="1:31" ht="13" x14ac:dyDescent="0.15">
      <c r="A107" s="272"/>
      <c r="B107" s="316"/>
      <c r="C107" s="274"/>
      <c r="D107" s="276"/>
      <c r="E107" s="317"/>
      <c r="M107" s="220" t="s">
        <v>461</v>
      </c>
      <c r="N107" s="226" t="s">
        <v>461</v>
      </c>
      <c r="O107" s="259" t="s">
        <v>461</v>
      </c>
      <c r="P107" s="226" t="s">
        <v>461</v>
      </c>
      <c r="Q107" s="225" t="s">
        <v>461</v>
      </c>
      <c r="R107" s="226" t="s">
        <v>461</v>
      </c>
      <c r="S107" s="226" t="s">
        <v>461</v>
      </c>
      <c r="T107" s="349" t="str">
        <f t="shared" ref="T107:T112" si="6">IF(OR(ISBLANK(M107),M107=""),"",P107/N107)</f>
        <v/>
      </c>
      <c r="U107" s="218" t="str">
        <f t="shared" ref="U107:U113" si="7">IF(M107="","",IF(ABS(N107-$B$48)&lt;=$B$50*$X$43,"IN","OUT"))</f>
        <v/>
      </c>
      <c r="AD107"/>
      <c r="AE107"/>
    </row>
    <row r="108" spans="1:31" ht="13" x14ac:dyDescent="0.15">
      <c r="A108" s="272"/>
      <c r="B108" s="316"/>
      <c r="C108" s="274"/>
      <c r="D108" s="276"/>
      <c r="E108" s="317"/>
      <c r="M108" s="220" t="s">
        <v>461</v>
      </c>
      <c r="N108" s="226" t="s">
        <v>461</v>
      </c>
      <c r="O108" s="259" t="s">
        <v>461</v>
      </c>
      <c r="P108" s="226" t="s">
        <v>461</v>
      </c>
      <c r="Q108" s="225" t="s">
        <v>461</v>
      </c>
      <c r="R108" s="226" t="s">
        <v>461</v>
      </c>
      <c r="S108" s="226" t="s">
        <v>461</v>
      </c>
      <c r="T108" s="349" t="str">
        <f t="shared" si="6"/>
        <v/>
      </c>
      <c r="U108" s="218" t="str">
        <f t="shared" si="7"/>
        <v/>
      </c>
      <c r="AD108"/>
      <c r="AE108"/>
    </row>
    <row r="109" spans="1:31" ht="14" thickBot="1" x14ac:dyDescent="0.2">
      <c r="A109" s="352"/>
      <c r="B109" s="353"/>
      <c r="C109" s="274"/>
      <c r="D109" s="354"/>
      <c r="E109" s="317"/>
      <c r="M109" s="220" t="s">
        <v>461</v>
      </c>
      <c r="N109" s="226" t="s">
        <v>461</v>
      </c>
      <c r="O109" s="259" t="s">
        <v>461</v>
      </c>
      <c r="P109" s="226" t="s">
        <v>461</v>
      </c>
      <c r="Q109" s="225" t="s">
        <v>461</v>
      </c>
      <c r="R109" s="226" t="s">
        <v>461</v>
      </c>
      <c r="S109" s="226" t="s">
        <v>461</v>
      </c>
      <c r="T109" s="349" t="str">
        <f t="shared" si="6"/>
        <v/>
      </c>
      <c r="U109" s="218" t="str">
        <f t="shared" si="7"/>
        <v/>
      </c>
      <c r="AD109"/>
      <c r="AE109"/>
    </row>
    <row r="110" spans="1:31" ht="13" x14ac:dyDescent="0.15">
      <c r="A110" s="272"/>
      <c r="B110" s="316"/>
      <c r="C110" s="274"/>
      <c r="D110" s="276"/>
      <c r="E110" s="317"/>
      <c r="M110" s="220" t="s">
        <v>461</v>
      </c>
      <c r="N110" s="226" t="s">
        <v>461</v>
      </c>
      <c r="O110" s="259" t="s">
        <v>461</v>
      </c>
      <c r="P110" s="226" t="s">
        <v>461</v>
      </c>
      <c r="Q110" s="225" t="s">
        <v>461</v>
      </c>
      <c r="R110" s="226" t="s">
        <v>461</v>
      </c>
      <c r="S110" s="226" t="s">
        <v>461</v>
      </c>
      <c r="T110" s="349" t="str">
        <f t="shared" si="6"/>
        <v/>
      </c>
      <c r="U110" s="218" t="str">
        <f t="shared" si="7"/>
        <v/>
      </c>
      <c r="AD110"/>
      <c r="AE110"/>
    </row>
    <row r="111" spans="1:31" ht="13" x14ac:dyDescent="0.15">
      <c r="A111" s="272"/>
      <c r="B111" s="316"/>
      <c r="C111" s="274"/>
      <c r="D111" s="276"/>
      <c r="E111" s="317"/>
      <c r="M111" s="220" t="s">
        <v>461</v>
      </c>
      <c r="N111" s="226" t="s">
        <v>461</v>
      </c>
      <c r="O111" s="259" t="s">
        <v>461</v>
      </c>
      <c r="P111" s="226" t="s">
        <v>461</v>
      </c>
      <c r="Q111" s="225" t="s">
        <v>461</v>
      </c>
      <c r="R111" s="226" t="s">
        <v>461</v>
      </c>
      <c r="S111" s="226" t="s">
        <v>461</v>
      </c>
      <c r="T111" s="349" t="str">
        <f t="shared" si="6"/>
        <v/>
      </c>
      <c r="U111" s="218" t="str">
        <f t="shared" si="7"/>
        <v/>
      </c>
      <c r="AD111"/>
      <c r="AE111"/>
    </row>
    <row r="112" spans="1:31" ht="13" x14ac:dyDescent="0.15">
      <c r="A112" s="272"/>
      <c r="B112" s="316"/>
      <c r="C112" s="274"/>
      <c r="D112" s="276"/>
      <c r="E112" s="317"/>
      <c r="M112" s="220" t="s">
        <v>461</v>
      </c>
      <c r="N112" s="226" t="s">
        <v>461</v>
      </c>
      <c r="O112" s="259" t="s">
        <v>461</v>
      </c>
      <c r="P112" s="226" t="s">
        <v>461</v>
      </c>
      <c r="Q112" s="225" t="s">
        <v>461</v>
      </c>
      <c r="R112" s="226" t="s">
        <v>461</v>
      </c>
      <c r="S112" s="226" t="s">
        <v>461</v>
      </c>
      <c r="T112" s="349" t="str">
        <f t="shared" si="6"/>
        <v/>
      </c>
      <c r="U112" s="218" t="str">
        <f t="shared" si="7"/>
        <v/>
      </c>
      <c r="AD112"/>
      <c r="AE112"/>
    </row>
    <row r="113" spans="1:31" ht="13" x14ac:dyDescent="0.15">
      <c r="A113" s="272"/>
      <c r="B113" s="316"/>
      <c r="C113" s="274"/>
      <c r="D113" s="276"/>
      <c r="E113" s="317"/>
      <c r="M113" s="220" t="s">
        <v>461</v>
      </c>
      <c r="N113" s="226" t="s">
        <v>461</v>
      </c>
      <c r="O113" s="259" t="s">
        <v>461</v>
      </c>
      <c r="P113" s="226" t="s">
        <v>461</v>
      </c>
      <c r="Q113" s="225" t="s">
        <v>461</v>
      </c>
      <c r="R113" s="226" t="s">
        <v>461</v>
      </c>
      <c r="S113" s="226" t="s">
        <v>461</v>
      </c>
      <c r="T113" s="349" t="str">
        <f t="shared" ref="T113:T166" si="8">IF(OR(ISBLANK(M113),M113=""),"",P113/N113)</f>
        <v/>
      </c>
      <c r="U113" s="218" t="str">
        <f t="shared" si="7"/>
        <v/>
      </c>
      <c r="AD113"/>
      <c r="AE113"/>
    </row>
    <row r="114" spans="1:31" ht="13" x14ac:dyDescent="0.15">
      <c r="A114" s="272"/>
      <c r="B114" s="316"/>
      <c r="C114" s="274"/>
      <c r="D114" s="276"/>
      <c r="E114" s="317"/>
      <c r="M114" s="220" t="s">
        <v>461</v>
      </c>
      <c r="N114" s="226" t="s">
        <v>461</v>
      </c>
      <c r="O114" s="259" t="s">
        <v>461</v>
      </c>
      <c r="P114" s="226" t="s">
        <v>461</v>
      </c>
      <c r="Q114" s="225" t="s">
        <v>461</v>
      </c>
      <c r="R114" s="226" t="s">
        <v>461</v>
      </c>
      <c r="S114" s="226" t="s">
        <v>461</v>
      </c>
      <c r="T114" s="349" t="str">
        <f t="shared" si="8"/>
        <v/>
      </c>
      <c r="U114" s="218" t="str">
        <f t="shared" ref="U114:U166" si="9">IF(M114="","",IF(ABS(N114-$B$48)&lt;=$B$50*$X$43,"IN","OUT"))</f>
        <v/>
      </c>
      <c r="AD114"/>
      <c r="AE114"/>
    </row>
    <row r="115" spans="1:31" ht="13" x14ac:dyDescent="0.15">
      <c r="A115" s="272"/>
      <c r="B115" s="316"/>
      <c r="C115" s="274"/>
      <c r="D115" s="276"/>
      <c r="E115" s="317"/>
      <c r="M115" s="220" t="s">
        <v>461</v>
      </c>
      <c r="N115" s="226" t="s">
        <v>461</v>
      </c>
      <c r="O115" s="259" t="s">
        <v>461</v>
      </c>
      <c r="P115" s="226" t="s">
        <v>461</v>
      </c>
      <c r="Q115" s="225" t="s">
        <v>461</v>
      </c>
      <c r="R115" s="226" t="s">
        <v>461</v>
      </c>
      <c r="S115" s="226" t="s">
        <v>461</v>
      </c>
      <c r="T115" s="349" t="str">
        <f t="shared" si="8"/>
        <v/>
      </c>
      <c r="U115" s="218" t="str">
        <f t="shared" si="9"/>
        <v/>
      </c>
      <c r="AD115"/>
      <c r="AE115"/>
    </row>
    <row r="116" spans="1:31" ht="13" x14ac:dyDescent="0.15">
      <c r="A116" s="272"/>
      <c r="B116" s="316"/>
      <c r="C116" s="274"/>
      <c r="D116" s="276"/>
      <c r="E116" s="317"/>
      <c r="M116" s="206" t="s">
        <v>461</v>
      </c>
      <c r="N116" s="262" t="s">
        <v>461</v>
      </c>
      <c r="O116" s="260" t="s">
        <v>461</v>
      </c>
      <c r="P116" s="262" t="s">
        <v>461</v>
      </c>
      <c r="Q116" s="223" t="s">
        <v>461</v>
      </c>
      <c r="R116" s="262" t="s">
        <v>461</v>
      </c>
      <c r="S116" s="262" t="s">
        <v>461</v>
      </c>
      <c r="T116" s="349" t="str">
        <f t="shared" si="8"/>
        <v/>
      </c>
      <c r="U116" s="218" t="str">
        <f t="shared" si="9"/>
        <v/>
      </c>
      <c r="AD116"/>
      <c r="AE116"/>
    </row>
    <row r="117" spans="1:31" ht="13" x14ac:dyDescent="0.15">
      <c r="A117" s="272"/>
      <c r="B117" s="316"/>
      <c r="C117" s="274"/>
      <c r="D117" s="276"/>
      <c r="E117" s="317"/>
      <c r="M117" s="206" t="s">
        <v>461</v>
      </c>
      <c r="N117" s="262" t="s">
        <v>461</v>
      </c>
      <c r="O117" s="260" t="s">
        <v>461</v>
      </c>
      <c r="P117" s="262" t="s">
        <v>461</v>
      </c>
      <c r="Q117" s="223" t="s">
        <v>461</v>
      </c>
      <c r="R117" s="262" t="s">
        <v>461</v>
      </c>
      <c r="S117" s="262" t="s">
        <v>461</v>
      </c>
      <c r="T117" s="349" t="str">
        <f t="shared" si="8"/>
        <v/>
      </c>
      <c r="U117" s="218" t="str">
        <f t="shared" si="9"/>
        <v/>
      </c>
      <c r="AD117"/>
      <c r="AE117"/>
    </row>
    <row r="118" spans="1:31" ht="13" x14ac:dyDescent="0.15">
      <c r="A118" s="272"/>
      <c r="B118" s="316"/>
      <c r="C118" s="274"/>
      <c r="D118" s="276"/>
      <c r="E118" s="317"/>
      <c r="M118" s="206" t="s">
        <v>461</v>
      </c>
      <c r="N118" s="262" t="s">
        <v>461</v>
      </c>
      <c r="O118" s="260" t="s">
        <v>461</v>
      </c>
      <c r="P118" s="262" t="s">
        <v>461</v>
      </c>
      <c r="Q118" s="223" t="s">
        <v>461</v>
      </c>
      <c r="R118" s="262" t="s">
        <v>461</v>
      </c>
      <c r="S118" s="262" t="s">
        <v>461</v>
      </c>
      <c r="T118" s="349" t="str">
        <f t="shared" si="8"/>
        <v/>
      </c>
      <c r="U118" s="218" t="str">
        <f t="shared" si="9"/>
        <v/>
      </c>
      <c r="AD118"/>
      <c r="AE118"/>
    </row>
    <row r="119" spans="1:31" ht="13" x14ac:dyDescent="0.15">
      <c r="A119" s="272"/>
      <c r="B119" s="316"/>
      <c r="C119" s="274"/>
      <c r="D119" s="276"/>
      <c r="E119" s="317"/>
      <c r="M119" s="206" t="s">
        <v>461</v>
      </c>
      <c r="N119" s="262" t="s">
        <v>461</v>
      </c>
      <c r="O119" s="260" t="s">
        <v>461</v>
      </c>
      <c r="P119" s="262" t="s">
        <v>461</v>
      </c>
      <c r="Q119" s="223" t="s">
        <v>461</v>
      </c>
      <c r="R119" s="262" t="s">
        <v>461</v>
      </c>
      <c r="S119" s="262" t="s">
        <v>461</v>
      </c>
      <c r="T119" s="349" t="str">
        <f t="shared" si="8"/>
        <v/>
      </c>
      <c r="U119" s="218" t="str">
        <f t="shared" si="9"/>
        <v/>
      </c>
      <c r="AD119"/>
      <c r="AE119"/>
    </row>
    <row r="120" spans="1:31" ht="13" x14ac:dyDescent="0.15">
      <c r="A120" s="272"/>
      <c r="B120" s="316"/>
      <c r="C120" s="274"/>
      <c r="D120" s="276"/>
      <c r="E120" s="317"/>
      <c r="M120" s="206" t="s">
        <v>461</v>
      </c>
      <c r="N120" s="262" t="s">
        <v>461</v>
      </c>
      <c r="O120" s="260" t="s">
        <v>461</v>
      </c>
      <c r="P120" s="262" t="s">
        <v>461</v>
      </c>
      <c r="Q120" s="223" t="s">
        <v>461</v>
      </c>
      <c r="R120" s="262" t="s">
        <v>461</v>
      </c>
      <c r="S120" s="262" t="s">
        <v>461</v>
      </c>
      <c r="T120" s="349" t="str">
        <f t="shared" si="8"/>
        <v/>
      </c>
      <c r="U120" s="218" t="str">
        <f t="shared" si="9"/>
        <v/>
      </c>
      <c r="AD120"/>
      <c r="AE120"/>
    </row>
    <row r="121" spans="1:31" ht="13" x14ac:dyDescent="0.15">
      <c r="A121" s="272"/>
      <c r="B121" s="316"/>
      <c r="C121" s="274"/>
      <c r="D121" s="276"/>
      <c r="E121" s="317"/>
      <c r="M121" s="206" t="s">
        <v>461</v>
      </c>
      <c r="N121" s="262" t="s">
        <v>461</v>
      </c>
      <c r="O121" s="260" t="s">
        <v>461</v>
      </c>
      <c r="P121" s="262" t="s">
        <v>461</v>
      </c>
      <c r="Q121" s="223" t="s">
        <v>461</v>
      </c>
      <c r="R121" s="262" t="s">
        <v>461</v>
      </c>
      <c r="S121" s="262" t="s">
        <v>461</v>
      </c>
      <c r="T121" s="349" t="str">
        <f t="shared" si="8"/>
        <v/>
      </c>
      <c r="U121" s="218" t="str">
        <f t="shared" si="9"/>
        <v/>
      </c>
      <c r="AD121"/>
      <c r="AE121"/>
    </row>
    <row r="122" spans="1:31" ht="13" x14ac:dyDescent="0.15">
      <c r="A122" s="272"/>
      <c r="B122" s="316"/>
      <c r="C122" s="274"/>
      <c r="D122" s="276"/>
      <c r="E122" s="317"/>
      <c r="M122" s="206" t="s">
        <v>461</v>
      </c>
      <c r="N122" s="262" t="s">
        <v>461</v>
      </c>
      <c r="O122" s="260" t="s">
        <v>461</v>
      </c>
      <c r="P122" s="262" t="s">
        <v>461</v>
      </c>
      <c r="Q122" s="223" t="s">
        <v>461</v>
      </c>
      <c r="R122" s="262" t="s">
        <v>461</v>
      </c>
      <c r="S122" s="262" t="s">
        <v>461</v>
      </c>
      <c r="T122" s="349" t="str">
        <f t="shared" si="8"/>
        <v/>
      </c>
      <c r="U122" s="218" t="str">
        <f t="shared" si="9"/>
        <v/>
      </c>
      <c r="AD122"/>
      <c r="AE122"/>
    </row>
    <row r="123" spans="1:31" ht="13" x14ac:dyDescent="0.15">
      <c r="A123" s="272"/>
      <c r="B123" s="316"/>
      <c r="C123" s="274"/>
      <c r="D123" s="276"/>
      <c r="E123" s="317"/>
      <c r="M123" s="206" t="s">
        <v>461</v>
      </c>
      <c r="N123" s="262" t="s">
        <v>461</v>
      </c>
      <c r="O123" s="260" t="s">
        <v>461</v>
      </c>
      <c r="P123" s="262" t="s">
        <v>461</v>
      </c>
      <c r="Q123" s="223" t="s">
        <v>461</v>
      </c>
      <c r="R123" s="262" t="s">
        <v>461</v>
      </c>
      <c r="S123" s="262" t="s">
        <v>461</v>
      </c>
      <c r="T123" s="349" t="str">
        <f t="shared" si="8"/>
        <v/>
      </c>
      <c r="U123" s="218" t="str">
        <f t="shared" si="9"/>
        <v/>
      </c>
      <c r="AD123"/>
      <c r="AE123"/>
    </row>
    <row r="124" spans="1:31" ht="13" x14ac:dyDescent="0.15">
      <c r="A124" s="272"/>
      <c r="B124" s="316"/>
      <c r="C124" s="274"/>
      <c r="D124" s="276"/>
      <c r="M124" s="206" t="s">
        <v>461</v>
      </c>
      <c r="N124" s="262" t="s">
        <v>461</v>
      </c>
      <c r="O124" s="260" t="s">
        <v>461</v>
      </c>
      <c r="P124" s="262" t="s">
        <v>461</v>
      </c>
      <c r="Q124" s="223" t="s">
        <v>461</v>
      </c>
      <c r="R124" s="262" t="s">
        <v>461</v>
      </c>
      <c r="S124" s="262" t="s">
        <v>461</v>
      </c>
      <c r="T124" s="349" t="str">
        <f t="shared" si="8"/>
        <v/>
      </c>
      <c r="U124" s="218" t="str">
        <f t="shared" si="9"/>
        <v/>
      </c>
      <c r="AD124"/>
      <c r="AE124"/>
    </row>
    <row r="125" spans="1:31" ht="13" x14ac:dyDescent="0.15">
      <c r="A125" s="272"/>
      <c r="B125" s="316"/>
      <c r="C125" s="274"/>
      <c r="D125" s="276"/>
      <c r="M125" s="206" t="s">
        <v>461</v>
      </c>
      <c r="N125" s="262" t="s">
        <v>461</v>
      </c>
      <c r="O125" s="260" t="s">
        <v>461</v>
      </c>
      <c r="P125" s="262" t="s">
        <v>461</v>
      </c>
      <c r="Q125" s="223" t="s">
        <v>461</v>
      </c>
      <c r="R125" s="262" t="s">
        <v>461</v>
      </c>
      <c r="S125" s="262" t="s">
        <v>461</v>
      </c>
      <c r="T125" s="349" t="str">
        <f t="shared" si="8"/>
        <v/>
      </c>
      <c r="U125" s="218" t="str">
        <f t="shared" si="9"/>
        <v/>
      </c>
      <c r="AD125"/>
      <c r="AE125"/>
    </row>
    <row r="126" spans="1:31" ht="13" x14ac:dyDescent="0.15">
      <c r="A126" s="272"/>
      <c r="B126" s="316"/>
      <c r="C126" s="274"/>
      <c r="D126" s="276"/>
      <c r="M126" s="206" t="s">
        <v>461</v>
      </c>
      <c r="N126" s="262" t="s">
        <v>461</v>
      </c>
      <c r="O126" s="260" t="s">
        <v>461</v>
      </c>
      <c r="P126" s="262" t="s">
        <v>461</v>
      </c>
      <c r="Q126" s="223" t="s">
        <v>461</v>
      </c>
      <c r="R126" s="262" t="s">
        <v>461</v>
      </c>
      <c r="S126" s="262" t="s">
        <v>461</v>
      </c>
      <c r="T126" s="349" t="str">
        <f t="shared" si="8"/>
        <v/>
      </c>
      <c r="U126" s="218" t="str">
        <f t="shared" si="9"/>
        <v/>
      </c>
      <c r="AD126"/>
      <c r="AE126"/>
    </row>
    <row r="127" spans="1:31" ht="13" x14ac:dyDescent="0.15">
      <c r="A127" s="272"/>
      <c r="B127" s="316"/>
      <c r="C127" s="274"/>
      <c r="D127" s="276"/>
      <c r="M127" s="206" t="s">
        <v>461</v>
      </c>
      <c r="N127" s="262" t="s">
        <v>461</v>
      </c>
      <c r="O127" s="260" t="s">
        <v>461</v>
      </c>
      <c r="P127" s="262" t="s">
        <v>461</v>
      </c>
      <c r="Q127" s="223" t="s">
        <v>461</v>
      </c>
      <c r="R127" s="262" t="s">
        <v>461</v>
      </c>
      <c r="S127" s="262" t="s">
        <v>461</v>
      </c>
      <c r="T127" s="349" t="str">
        <f t="shared" si="8"/>
        <v/>
      </c>
      <c r="U127" s="218" t="str">
        <f t="shared" si="9"/>
        <v/>
      </c>
      <c r="AD127"/>
      <c r="AE127"/>
    </row>
    <row r="128" spans="1:31" ht="13" x14ac:dyDescent="0.15">
      <c r="A128" s="272"/>
      <c r="B128" s="316"/>
      <c r="C128" s="274"/>
      <c r="D128" s="276"/>
      <c r="M128" s="206" t="s">
        <v>461</v>
      </c>
      <c r="N128" s="262" t="s">
        <v>461</v>
      </c>
      <c r="O128" s="260" t="s">
        <v>461</v>
      </c>
      <c r="P128" s="262" t="s">
        <v>461</v>
      </c>
      <c r="Q128" s="223" t="s">
        <v>461</v>
      </c>
      <c r="R128" s="262" t="s">
        <v>461</v>
      </c>
      <c r="S128" s="262" t="s">
        <v>461</v>
      </c>
      <c r="T128" s="349" t="str">
        <f t="shared" si="8"/>
        <v/>
      </c>
      <c r="U128" s="218" t="str">
        <f t="shared" si="9"/>
        <v/>
      </c>
      <c r="AD128"/>
      <c r="AE128"/>
    </row>
    <row r="129" spans="1:31" ht="13" x14ac:dyDescent="0.15">
      <c r="A129" s="272"/>
      <c r="B129" s="316"/>
      <c r="C129" s="274"/>
      <c r="D129" s="276"/>
      <c r="M129" s="206" t="s">
        <v>461</v>
      </c>
      <c r="N129" s="262" t="s">
        <v>461</v>
      </c>
      <c r="O129" s="260" t="s">
        <v>461</v>
      </c>
      <c r="P129" s="262" t="s">
        <v>461</v>
      </c>
      <c r="Q129" s="223" t="s">
        <v>461</v>
      </c>
      <c r="R129" s="262" t="s">
        <v>461</v>
      </c>
      <c r="S129" s="262" t="s">
        <v>461</v>
      </c>
      <c r="T129" s="349" t="str">
        <f t="shared" si="8"/>
        <v/>
      </c>
      <c r="U129" s="218" t="str">
        <f t="shared" si="9"/>
        <v/>
      </c>
      <c r="AD129"/>
      <c r="AE129"/>
    </row>
    <row r="130" spans="1:31" ht="13" x14ac:dyDescent="0.15">
      <c r="A130" s="272"/>
      <c r="B130" s="316"/>
      <c r="C130" s="274"/>
      <c r="D130" s="276"/>
      <c r="M130" s="206" t="s">
        <v>461</v>
      </c>
      <c r="N130" s="262" t="s">
        <v>461</v>
      </c>
      <c r="O130" s="260" t="s">
        <v>461</v>
      </c>
      <c r="P130" s="262" t="s">
        <v>461</v>
      </c>
      <c r="Q130" s="223" t="s">
        <v>461</v>
      </c>
      <c r="R130" s="262" t="s">
        <v>461</v>
      </c>
      <c r="S130" s="262" t="s">
        <v>461</v>
      </c>
      <c r="T130" s="349" t="str">
        <f t="shared" si="8"/>
        <v/>
      </c>
      <c r="U130" s="218" t="str">
        <f t="shared" si="9"/>
        <v/>
      </c>
      <c r="AD130"/>
      <c r="AE130"/>
    </row>
    <row r="131" spans="1:31" ht="13" x14ac:dyDescent="0.15">
      <c r="A131" s="272"/>
      <c r="B131" s="316"/>
      <c r="C131" s="274"/>
      <c r="D131" s="276"/>
      <c r="M131" s="206" t="s">
        <v>461</v>
      </c>
      <c r="N131" s="262" t="s">
        <v>461</v>
      </c>
      <c r="O131" s="260" t="s">
        <v>461</v>
      </c>
      <c r="P131" s="262" t="s">
        <v>461</v>
      </c>
      <c r="Q131" s="223" t="s">
        <v>461</v>
      </c>
      <c r="R131" s="262" t="s">
        <v>461</v>
      </c>
      <c r="S131" s="262" t="s">
        <v>461</v>
      </c>
      <c r="T131" s="349" t="str">
        <f t="shared" si="8"/>
        <v/>
      </c>
      <c r="U131" s="218" t="str">
        <f t="shared" si="9"/>
        <v/>
      </c>
      <c r="AD131"/>
      <c r="AE131"/>
    </row>
    <row r="132" spans="1:31" ht="13" x14ac:dyDescent="0.15">
      <c r="A132" s="272"/>
      <c r="B132" s="316"/>
      <c r="C132" s="274"/>
      <c r="D132" s="276"/>
      <c r="M132" s="206" t="s">
        <v>461</v>
      </c>
      <c r="N132" s="262" t="s">
        <v>461</v>
      </c>
      <c r="O132" s="260" t="s">
        <v>461</v>
      </c>
      <c r="P132" s="262" t="s">
        <v>461</v>
      </c>
      <c r="Q132" s="223" t="s">
        <v>461</v>
      </c>
      <c r="R132" s="262" t="s">
        <v>461</v>
      </c>
      <c r="S132" s="262" t="s">
        <v>461</v>
      </c>
      <c r="T132" s="349" t="str">
        <f t="shared" si="8"/>
        <v/>
      </c>
      <c r="U132" s="218" t="str">
        <f t="shared" si="9"/>
        <v/>
      </c>
      <c r="AD132"/>
      <c r="AE132"/>
    </row>
    <row r="133" spans="1:31" ht="13" x14ac:dyDescent="0.15">
      <c r="A133" s="272"/>
      <c r="B133" s="316"/>
      <c r="C133" s="274"/>
      <c r="D133" s="276"/>
      <c r="M133" s="206" t="s">
        <v>461</v>
      </c>
      <c r="N133" s="262" t="s">
        <v>461</v>
      </c>
      <c r="O133" s="260" t="s">
        <v>461</v>
      </c>
      <c r="P133" s="262" t="s">
        <v>461</v>
      </c>
      <c r="Q133" s="223" t="s">
        <v>461</v>
      </c>
      <c r="R133" s="262" t="s">
        <v>461</v>
      </c>
      <c r="S133" s="262" t="s">
        <v>461</v>
      </c>
      <c r="T133" s="349" t="str">
        <f t="shared" si="8"/>
        <v/>
      </c>
      <c r="U133" s="218" t="str">
        <f t="shared" si="9"/>
        <v/>
      </c>
      <c r="AD133"/>
      <c r="AE133"/>
    </row>
    <row r="134" spans="1:31" ht="13" x14ac:dyDescent="0.15">
      <c r="A134" s="272"/>
      <c r="B134" s="316"/>
      <c r="C134" s="274"/>
      <c r="D134" s="276"/>
      <c r="M134" s="206" t="s">
        <v>461</v>
      </c>
      <c r="N134" s="262" t="s">
        <v>461</v>
      </c>
      <c r="O134" s="260" t="s">
        <v>461</v>
      </c>
      <c r="P134" s="262" t="s">
        <v>461</v>
      </c>
      <c r="Q134" s="223" t="s">
        <v>461</v>
      </c>
      <c r="R134" s="262" t="s">
        <v>461</v>
      </c>
      <c r="S134" s="262" t="s">
        <v>461</v>
      </c>
      <c r="T134" s="349" t="str">
        <f t="shared" si="8"/>
        <v/>
      </c>
      <c r="U134" s="218" t="str">
        <f t="shared" si="9"/>
        <v/>
      </c>
      <c r="AD134"/>
      <c r="AE134"/>
    </row>
    <row r="135" spans="1:31" ht="13" x14ac:dyDescent="0.15">
      <c r="A135" s="272"/>
      <c r="B135" s="316"/>
      <c r="C135" s="274"/>
      <c r="D135" s="276"/>
      <c r="M135" s="206" t="s">
        <v>461</v>
      </c>
      <c r="N135" s="262" t="s">
        <v>461</v>
      </c>
      <c r="O135" s="260" t="s">
        <v>461</v>
      </c>
      <c r="P135" s="262" t="s">
        <v>461</v>
      </c>
      <c r="Q135" s="223" t="s">
        <v>461</v>
      </c>
      <c r="R135" s="262" t="s">
        <v>461</v>
      </c>
      <c r="S135" s="262" t="s">
        <v>461</v>
      </c>
      <c r="T135" s="349" t="str">
        <f t="shared" si="8"/>
        <v/>
      </c>
      <c r="U135" s="218" t="str">
        <f t="shared" si="9"/>
        <v/>
      </c>
      <c r="AD135"/>
      <c r="AE135"/>
    </row>
    <row r="136" spans="1:31" ht="13" x14ac:dyDescent="0.15">
      <c r="A136" s="272"/>
      <c r="B136" s="316"/>
      <c r="C136" s="274"/>
      <c r="D136" s="276"/>
      <c r="M136" s="206" t="s">
        <v>461</v>
      </c>
      <c r="N136" s="262" t="s">
        <v>461</v>
      </c>
      <c r="O136" s="260" t="s">
        <v>461</v>
      </c>
      <c r="P136" s="262" t="s">
        <v>461</v>
      </c>
      <c r="Q136" s="223" t="s">
        <v>461</v>
      </c>
      <c r="R136" s="262" t="s">
        <v>461</v>
      </c>
      <c r="S136" s="262" t="s">
        <v>461</v>
      </c>
      <c r="T136" s="349" t="str">
        <f t="shared" si="8"/>
        <v/>
      </c>
      <c r="U136" s="218" t="str">
        <f t="shared" si="9"/>
        <v/>
      </c>
      <c r="AD136"/>
      <c r="AE136"/>
    </row>
    <row r="137" spans="1:31" ht="13" x14ac:dyDescent="0.15">
      <c r="A137" s="272"/>
      <c r="B137" s="316"/>
      <c r="C137" s="274"/>
      <c r="D137" s="276"/>
      <c r="M137" s="206" t="s">
        <v>461</v>
      </c>
      <c r="N137" s="262" t="s">
        <v>461</v>
      </c>
      <c r="O137" s="260" t="s">
        <v>461</v>
      </c>
      <c r="P137" s="262" t="s">
        <v>461</v>
      </c>
      <c r="Q137" s="223" t="s">
        <v>461</v>
      </c>
      <c r="R137" s="262" t="s">
        <v>461</v>
      </c>
      <c r="S137" s="262" t="s">
        <v>461</v>
      </c>
      <c r="T137" s="349" t="str">
        <f t="shared" si="8"/>
        <v/>
      </c>
      <c r="U137" s="218" t="str">
        <f t="shared" si="9"/>
        <v/>
      </c>
      <c r="AD137"/>
      <c r="AE137"/>
    </row>
    <row r="138" spans="1:31" ht="13" x14ac:dyDescent="0.15">
      <c r="A138" s="272"/>
      <c r="B138" s="316"/>
      <c r="C138" s="274"/>
      <c r="D138" s="276"/>
      <c r="M138" s="206" t="s">
        <v>461</v>
      </c>
      <c r="N138" s="262" t="s">
        <v>461</v>
      </c>
      <c r="O138" s="260" t="s">
        <v>461</v>
      </c>
      <c r="P138" s="262" t="s">
        <v>461</v>
      </c>
      <c r="Q138" s="223" t="s">
        <v>461</v>
      </c>
      <c r="R138" s="262" t="s">
        <v>461</v>
      </c>
      <c r="S138" s="262" t="s">
        <v>461</v>
      </c>
      <c r="T138" s="349" t="str">
        <f t="shared" si="8"/>
        <v/>
      </c>
      <c r="U138" s="218" t="str">
        <f t="shared" si="9"/>
        <v/>
      </c>
      <c r="AD138"/>
      <c r="AE138"/>
    </row>
    <row r="139" spans="1:31" ht="13" x14ac:dyDescent="0.15">
      <c r="A139" s="272"/>
      <c r="B139" s="316"/>
      <c r="C139" s="274"/>
      <c r="D139" s="276"/>
      <c r="M139" s="206" t="s">
        <v>461</v>
      </c>
      <c r="N139" s="262" t="s">
        <v>461</v>
      </c>
      <c r="O139" s="260" t="s">
        <v>461</v>
      </c>
      <c r="P139" s="262" t="s">
        <v>461</v>
      </c>
      <c r="Q139" s="223" t="s">
        <v>461</v>
      </c>
      <c r="R139" s="262" t="s">
        <v>461</v>
      </c>
      <c r="S139" s="262" t="s">
        <v>461</v>
      </c>
      <c r="T139" s="349" t="str">
        <f t="shared" si="8"/>
        <v/>
      </c>
      <c r="U139" s="218" t="str">
        <f t="shared" si="9"/>
        <v/>
      </c>
      <c r="AD139"/>
      <c r="AE139"/>
    </row>
    <row r="140" spans="1:31" ht="13" x14ac:dyDescent="0.15">
      <c r="A140" s="272"/>
      <c r="B140" s="316"/>
      <c r="C140" s="274"/>
      <c r="D140" s="276"/>
      <c r="M140" s="206" t="s">
        <v>461</v>
      </c>
      <c r="N140" s="262" t="s">
        <v>461</v>
      </c>
      <c r="O140" s="260" t="s">
        <v>461</v>
      </c>
      <c r="P140" s="262" t="s">
        <v>461</v>
      </c>
      <c r="Q140" s="223" t="s">
        <v>461</v>
      </c>
      <c r="R140" s="262" t="s">
        <v>461</v>
      </c>
      <c r="S140" s="262" t="s">
        <v>461</v>
      </c>
      <c r="T140" s="349" t="str">
        <f t="shared" si="8"/>
        <v/>
      </c>
      <c r="U140" s="218" t="str">
        <f t="shared" si="9"/>
        <v/>
      </c>
      <c r="AD140"/>
      <c r="AE140"/>
    </row>
    <row r="141" spans="1:31" ht="13" x14ac:dyDescent="0.15">
      <c r="A141" s="272"/>
      <c r="B141" s="316"/>
      <c r="C141" s="274"/>
      <c r="D141" s="276"/>
      <c r="M141" s="206" t="s">
        <v>461</v>
      </c>
      <c r="N141" s="262" t="s">
        <v>461</v>
      </c>
      <c r="O141" s="260" t="s">
        <v>461</v>
      </c>
      <c r="P141" s="262" t="s">
        <v>461</v>
      </c>
      <c r="Q141" s="223" t="s">
        <v>461</v>
      </c>
      <c r="R141" s="262" t="s">
        <v>461</v>
      </c>
      <c r="S141" s="262" t="s">
        <v>461</v>
      </c>
      <c r="T141" s="349" t="str">
        <f t="shared" si="8"/>
        <v/>
      </c>
      <c r="U141" s="218" t="str">
        <f t="shared" si="9"/>
        <v/>
      </c>
      <c r="AD141"/>
      <c r="AE141"/>
    </row>
    <row r="142" spans="1:31" ht="13" x14ac:dyDescent="0.15">
      <c r="A142" s="272"/>
      <c r="B142" s="316"/>
      <c r="C142" s="274"/>
      <c r="D142" s="276"/>
      <c r="M142" s="206" t="s">
        <v>461</v>
      </c>
      <c r="N142" s="262" t="s">
        <v>461</v>
      </c>
      <c r="O142" s="260" t="s">
        <v>461</v>
      </c>
      <c r="P142" s="262" t="s">
        <v>461</v>
      </c>
      <c r="Q142" s="223" t="s">
        <v>461</v>
      </c>
      <c r="R142" s="262" t="s">
        <v>461</v>
      </c>
      <c r="S142" s="262" t="s">
        <v>461</v>
      </c>
      <c r="T142" s="349" t="str">
        <f t="shared" si="8"/>
        <v/>
      </c>
      <c r="U142" s="218" t="str">
        <f t="shared" si="9"/>
        <v/>
      </c>
      <c r="AD142"/>
      <c r="AE142"/>
    </row>
    <row r="143" spans="1:31" ht="13" x14ac:dyDescent="0.15">
      <c r="A143" s="29"/>
      <c r="C143" s="274"/>
      <c r="D143" s="275"/>
      <c r="M143" s="206" t="s">
        <v>461</v>
      </c>
      <c r="N143" s="262" t="s">
        <v>461</v>
      </c>
      <c r="O143" s="260" t="s">
        <v>461</v>
      </c>
      <c r="P143" s="262" t="s">
        <v>461</v>
      </c>
      <c r="Q143" s="223" t="s">
        <v>461</v>
      </c>
      <c r="R143" s="262" t="s">
        <v>461</v>
      </c>
      <c r="S143" s="262" t="s">
        <v>461</v>
      </c>
      <c r="T143" s="349" t="str">
        <f t="shared" si="8"/>
        <v/>
      </c>
      <c r="U143" s="218" t="str">
        <f t="shared" si="9"/>
        <v/>
      </c>
      <c r="AD143"/>
      <c r="AE143"/>
    </row>
    <row r="144" spans="1:31" ht="13" x14ac:dyDescent="0.15">
      <c r="A144" s="29"/>
      <c r="C144" s="274"/>
      <c r="D144" s="275"/>
      <c r="M144" s="206" t="s">
        <v>461</v>
      </c>
      <c r="N144" s="262" t="s">
        <v>461</v>
      </c>
      <c r="O144" s="260" t="s">
        <v>461</v>
      </c>
      <c r="P144" s="262" t="s">
        <v>461</v>
      </c>
      <c r="Q144" s="223" t="s">
        <v>461</v>
      </c>
      <c r="R144" s="262" t="s">
        <v>461</v>
      </c>
      <c r="S144" s="262" t="s">
        <v>461</v>
      </c>
      <c r="T144" s="349" t="str">
        <f t="shared" si="8"/>
        <v/>
      </c>
      <c r="U144" s="218" t="str">
        <f t="shared" si="9"/>
        <v/>
      </c>
      <c r="AD144"/>
      <c r="AE144"/>
    </row>
    <row r="145" spans="1:31" ht="13" x14ac:dyDescent="0.15">
      <c r="A145" s="29"/>
      <c r="C145" s="274"/>
      <c r="D145" s="275"/>
      <c r="M145" s="206" t="s">
        <v>461</v>
      </c>
      <c r="N145" s="262" t="s">
        <v>461</v>
      </c>
      <c r="O145" s="260" t="s">
        <v>461</v>
      </c>
      <c r="P145" s="262" t="s">
        <v>461</v>
      </c>
      <c r="Q145" s="223" t="s">
        <v>461</v>
      </c>
      <c r="R145" s="262" t="s">
        <v>461</v>
      </c>
      <c r="S145" s="262" t="s">
        <v>461</v>
      </c>
      <c r="T145" s="349" t="str">
        <f t="shared" si="8"/>
        <v/>
      </c>
      <c r="U145" s="218" t="str">
        <f t="shared" si="9"/>
        <v/>
      </c>
      <c r="AD145"/>
      <c r="AE145"/>
    </row>
    <row r="146" spans="1:31" ht="13" x14ac:dyDescent="0.15">
      <c r="A146" s="29"/>
      <c r="C146" s="274"/>
      <c r="D146" s="275"/>
      <c r="M146" s="206" t="s">
        <v>461</v>
      </c>
      <c r="N146" s="262" t="s">
        <v>461</v>
      </c>
      <c r="O146" s="260" t="s">
        <v>461</v>
      </c>
      <c r="P146" s="262" t="s">
        <v>461</v>
      </c>
      <c r="Q146" s="223" t="s">
        <v>461</v>
      </c>
      <c r="R146" s="262" t="s">
        <v>461</v>
      </c>
      <c r="S146" s="262" t="s">
        <v>461</v>
      </c>
      <c r="T146" s="349" t="str">
        <f t="shared" si="8"/>
        <v/>
      </c>
      <c r="U146" s="218" t="str">
        <f t="shared" si="9"/>
        <v/>
      </c>
      <c r="AD146"/>
      <c r="AE146"/>
    </row>
    <row r="147" spans="1:31" ht="13" x14ac:dyDescent="0.15">
      <c r="A147" s="29"/>
      <c r="C147" s="274"/>
      <c r="D147" s="275"/>
      <c r="M147" s="206" t="s">
        <v>461</v>
      </c>
      <c r="N147" s="262" t="s">
        <v>461</v>
      </c>
      <c r="O147" s="260" t="s">
        <v>461</v>
      </c>
      <c r="P147" s="262" t="s">
        <v>461</v>
      </c>
      <c r="Q147" s="223" t="s">
        <v>461</v>
      </c>
      <c r="R147" s="262" t="s">
        <v>461</v>
      </c>
      <c r="S147" s="262" t="s">
        <v>461</v>
      </c>
      <c r="T147" s="349" t="str">
        <f t="shared" si="8"/>
        <v/>
      </c>
      <c r="U147" s="218" t="str">
        <f t="shared" si="9"/>
        <v/>
      </c>
      <c r="AD147"/>
      <c r="AE147"/>
    </row>
    <row r="148" spans="1:31" ht="13" x14ac:dyDescent="0.15">
      <c r="A148" s="29"/>
      <c r="C148" s="274"/>
      <c r="D148" s="275"/>
      <c r="M148" s="206" t="s">
        <v>461</v>
      </c>
      <c r="N148" s="262" t="s">
        <v>461</v>
      </c>
      <c r="O148" s="260" t="s">
        <v>461</v>
      </c>
      <c r="P148" s="262" t="s">
        <v>461</v>
      </c>
      <c r="Q148" s="223" t="s">
        <v>461</v>
      </c>
      <c r="R148" s="262" t="s">
        <v>461</v>
      </c>
      <c r="S148" s="262" t="s">
        <v>461</v>
      </c>
      <c r="T148" s="349" t="str">
        <f t="shared" si="8"/>
        <v/>
      </c>
      <c r="U148" s="218" t="str">
        <f t="shared" si="9"/>
        <v/>
      </c>
      <c r="AD148"/>
      <c r="AE148"/>
    </row>
    <row r="149" spans="1:31" ht="13" x14ac:dyDescent="0.15">
      <c r="A149" s="29"/>
      <c r="C149" s="274"/>
      <c r="D149" s="275"/>
      <c r="M149" s="206" t="s">
        <v>461</v>
      </c>
      <c r="N149" s="262" t="s">
        <v>461</v>
      </c>
      <c r="O149" s="260" t="s">
        <v>461</v>
      </c>
      <c r="P149" s="262" t="s">
        <v>461</v>
      </c>
      <c r="Q149" s="223" t="s">
        <v>461</v>
      </c>
      <c r="R149" s="262" t="s">
        <v>461</v>
      </c>
      <c r="S149" s="262" t="s">
        <v>461</v>
      </c>
      <c r="T149" s="349" t="str">
        <f t="shared" si="8"/>
        <v/>
      </c>
      <c r="U149" s="218" t="str">
        <f t="shared" si="9"/>
        <v/>
      </c>
      <c r="AD149"/>
      <c r="AE149"/>
    </row>
    <row r="150" spans="1:31" ht="13" x14ac:dyDescent="0.15">
      <c r="A150" s="29"/>
      <c r="C150" s="274"/>
      <c r="D150" s="275"/>
      <c r="M150" s="206" t="s">
        <v>461</v>
      </c>
      <c r="N150" s="262" t="s">
        <v>461</v>
      </c>
      <c r="O150" s="260" t="s">
        <v>461</v>
      </c>
      <c r="P150" s="262" t="s">
        <v>461</v>
      </c>
      <c r="Q150" s="223" t="s">
        <v>461</v>
      </c>
      <c r="R150" s="262" t="s">
        <v>461</v>
      </c>
      <c r="S150" s="262" t="s">
        <v>461</v>
      </c>
      <c r="T150" s="349" t="str">
        <f t="shared" si="8"/>
        <v/>
      </c>
      <c r="U150" s="218" t="str">
        <f t="shared" si="9"/>
        <v/>
      </c>
      <c r="AD150"/>
      <c r="AE150"/>
    </row>
    <row r="151" spans="1:31" ht="13" x14ac:dyDescent="0.15">
      <c r="A151" s="29"/>
      <c r="C151" s="274"/>
      <c r="D151" s="275"/>
      <c r="M151" s="206" t="s">
        <v>461</v>
      </c>
      <c r="N151" s="262" t="s">
        <v>461</v>
      </c>
      <c r="O151" s="260" t="s">
        <v>461</v>
      </c>
      <c r="P151" s="262" t="s">
        <v>461</v>
      </c>
      <c r="Q151" s="223" t="s">
        <v>461</v>
      </c>
      <c r="R151" s="262" t="s">
        <v>461</v>
      </c>
      <c r="S151" s="262" t="s">
        <v>461</v>
      </c>
      <c r="T151" s="349" t="str">
        <f t="shared" si="8"/>
        <v/>
      </c>
      <c r="U151" s="218" t="str">
        <f t="shared" si="9"/>
        <v/>
      </c>
      <c r="AD151"/>
      <c r="AE151"/>
    </row>
    <row r="152" spans="1:31" ht="13" x14ac:dyDescent="0.15">
      <c r="A152" s="29"/>
      <c r="C152" s="274"/>
      <c r="D152" s="275"/>
      <c r="M152" s="206" t="s">
        <v>461</v>
      </c>
      <c r="N152" s="262" t="s">
        <v>461</v>
      </c>
      <c r="O152" s="260" t="s">
        <v>461</v>
      </c>
      <c r="P152" s="262" t="s">
        <v>461</v>
      </c>
      <c r="Q152" s="223" t="s">
        <v>461</v>
      </c>
      <c r="R152" s="262" t="s">
        <v>461</v>
      </c>
      <c r="S152" s="262" t="s">
        <v>461</v>
      </c>
      <c r="T152" s="349" t="str">
        <f t="shared" si="8"/>
        <v/>
      </c>
      <c r="U152" s="218" t="str">
        <f t="shared" si="9"/>
        <v/>
      </c>
      <c r="AD152"/>
      <c r="AE152"/>
    </row>
    <row r="153" spans="1:31" ht="13" x14ac:dyDescent="0.15">
      <c r="A153" s="29"/>
      <c r="C153" s="274"/>
      <c r="D153" s="275"/>
      <c r="M153" s="206" t="s">
        <v>461</v>
      </c>
      <c r="N153" s="262" t="s">
        <v>461</v>
      </c>
      <c r="O153" s="260" t="s">
        <v>461</v>
      </c>
      <c r="P153" s="262" t="s">
        <v>461</v>
      </c>
      <c r="Q153" s="223" t="s">
        <v>461</v>
      </c>
      <c r="R153" s="262" t="s">
        <v>461</v>
      </c>
      <c r="S153" s="262" t="s">
        <v>461</v>
      </c>
      <c r="T153" s="349" t="str">
        <f t="shared" si="8"/>
        <v/>
      </c>
      <c r="U153" s="218" t="str">
        <f t="shared" si="9"/>
        <v/>
      </c>
      <c r="AD153"/>
      <c r="AE153"/>
    </row>
    <row r="154" spans="1:31" ht="13" x14ac:dyDescent="0.15">
      <c r="A154" s="29"/>
      <c r="C154" s="274"/>
      <c r="D154" s="275"/>
      <c r="M154" s="206" t="s">
        <v>461</v>
      </c>
      <c r="N154" s="262" t="s">
        <v>461</v>
      </c>
      <c r="O154" s="260" t="s">
        <v>461</v>
      </c>
      <c r="P154" s="262" t="s">
        <v>461</v>
      </c>
      <c r="Q154" s="223" t="s">
        <v>461</v>
      </c>
      <c r="R154" s="262" t="s">
        <v>461</v>
      </c>
      <c r="S154" s="262" t="s">
        <v>461</v>
      </c>
      <c r="T154" s="349" t="str">
        <f t="shared" si="8"/>
        <v/>
      </c>
      <c r="U154" s="218" t="str">
        <f t="shared" si="9"/>
        <v/>
      </c>
      <c r="AD154"/>
      <c r="AE154"/>
    </row>
    <row r="155" spans="1:31" ht="13" x14ac:dyDescent="0.15">
      <c r="A155" s="29"/>
      <c r="C155" s="274"/>
      <c r="D155" s="275"/>
      <c r="M155" s="206" t="s">
        <v>461</v>
      </c>
      <c r="N155" s="262" t="s">
        <v>461</v>
      </c>
      <c r="O155" s="260" t="s">
        <v>461</v>
      </c>
      <c r="P155" s="262" t="s">
        <v>461</v>
      </c>
      <c r="Q155" s="223" t="s">
        <v>461</v>
      </c>
      <c r="R155" s="262" t="s">
        <v>461</v>
      </c>
      <c r="S155" s="262" t="s">
        <v>461</v>
      </c>
      <c r="T155" s="349" t="str">
        <f t="shared" si="8"/>
        <v/>
      </c>
      <c r="U155" s="218" t="str">
        <f t="shared" si="9"/>
        <v/>
      </c>
      <c r="AD155"/>
      <c r="AE155"/>
    </row>
    <row r="156" spans="1:31" ht="13" x14ac:dyDescent="0.15">
      <c r="A156" s="29"/>
      <c r="C156" s="274"/>
      <c r="D156" s="275"/>
      <c r="M156" s="206" t="s">
        <v>461</v>
      </c>
      <c r="N156" s="262" t="s">
        <v>461</v>
      </c>
      <c r="O156" s="260" t="s">
        <v>461</v>
      </c>
      <c r="P156" s="262" t="s">
        <v>461</v>
      </c>
      <c r="Q156" s="223" t="s">
        <v>461</v>
      </c>
      <c r="R156" s="262" t="s">
        <v>461</v>
      </c>
      <c r="S156" s="262" t="s">
        <v>461</v>
      </c>
      <c r="T156" s="349" t="str">
        <f t="shared" si="8"/>
        <v/>
      </c>
      <c r="U156" s="218" t="str">
        <f t="shared" si="9"/>
        <v/>
      </c>
      <c r="AD156"/>
      <c r="AE156"/>
    </row>
    <row r="157" spans="1:31" ht="13" x14ac:dyDescent="0.15">
      <c r="A157" s="29"/>
      <c r="C157" s="274"/>
      <c r="D157" s="275"/>
      <c r="M157" s="206" t="s">
        <v>461</v>
      </c>
      <c r="N157" s="262" t="s">
        <v>461</v>
      </c>
      <c r="O157" s="260" t="s">
        <v>461</v>
      </c>
      <c r="P157" s="262" t="s">
        <v>461</v>
      </c>
      <c r="Q157" s="223" t="s">
        <v>461</v>
      </c>
      <c r="R157" s="262" t="s">
        <v>461</v>
      </c>
      <c r="S157" s="262" t="s">
        <v>461</v>
      </c>
      <c r="T157" s="349" t="str">
        <f t="shared" si="8"/>
        <v/>
      </c>
      <c r="U157" s="218" t="str">
        <f t="shared" si="9"/>
        <v/>
      </c>
      <c r="AD157"/>
      <c r="AE157"/>
    </row>
    <row r="158" spans="1:31" ht="13" x14ac:dyDescent="0.15">
      <c r="A158" s="29"/>
      <c r="C158" s="274"/>
      <c r="D158" s="275"/>
      <c r="M158" s="206" t="s">
        <v>461</v>
      </c>
      <c r="N158" s="262" t="s">
        <v>461</v>
      </c>
      <c r="O158" s="260" t="s">
        <v>461</v>
      </c>
      <c r="P158" s="262" t="s">
        <v>461</v>
      </c>
      <c r="Q158" s="223" t="s">
        <v>461</v>
      </c>
      <c r="R158" s="262" t="s">
        <v>461</v>
      </c>
      <c r="S158" s="262" t="s">
        <v>461</v>
      </c>
      <c r="T158" s="349" t="str">
        <f t="shared" si="8"/>
        <v/>
      </c>
      <c r="U158" s="218" t="str">
        <f t="shared" si="9"/>
        <v/>
      </c>
      <c r="W158" s="343" t="s">
        <v>461</v>
      </c>
      <c r="X158" s="350" t="s">
        <v>461</v>
      </c>
      <c r="Y158" s="350" t="s">
        <v>461</v>
      </c>
      <c r="Z158" s="350" t="s">
        <v>461</v>
      </c>
      <c r="AA158" s="350" t="s">
        <v>461</v>
      </c>
      <c r="AB158" s="350" t="s">
        <v>461</v>
      </c>
      <c r="AC158" s="350" t="s">
        <v>461</v>
      </c>
      <c r="AD158" s="357" t="str">
        <f t="shared" ref="AD158:AD166" si="10">IF(OR(ISBLANK(W158),W158=""),"",Z158/X158)</f>
        <v/>
      </c>
      <c r="AE158" s="342" t="str">
        <f t="shared" ref="AE158:AE166" si="11">IF(W158="","",IF(ABS(X158-$H$80)&lt;=$H$82*$X$43,"IN","OUT"))</f>
        <v/>
      </c>
    </row>
    <row r="159" spans="1:31" ht="13" x14ac:dyDescent="0.15">
      <c r="A159" s="29"/>
      <c r="C159" s="274"/>
      <c r="D159" s="275"/>
      <c r="M159" s="206" t="s">
        <v>461</v>
      </c>
      <c r="N159" s="262" t="s">
        <v>461</v>
      </c>
      <c r="O159" s="260" t="s">
        <v>461</v>
      </c>
      <c r="P159" s="262" t="s">
        <v>461</v>
      </c>
      <c r="Q159" s="223" t="s">
        <v>461</v>
      </c>
      <c r="R159" s="262" t="s">
        <v>461</v>
      </c>
      <c r="S159" s="262" t="s">
        <v>461</v>
      </c>
      <c r="T159" s="349" t="str">
        <f t="shared" si="8"/>
        <v/>
      </c>
      <c r="U159" s="218" t="str">
        <f t="shared" si="9"/>
        <v/>
      </c>
      <c r="W159" s="343" t="s">
        <v>461</v>
      </c>
      <c r="X159" s="350" t="s">
        <v>461</v>
      </c>
      <c r="Y159" s="350" t="s">
        <v>461</v>
      </c>
      <c r="Z159" s="350" t="s">
        <v>461</v>
      </c>
      <c r="AA159" s="350" t="s">
        <v>461</v>
      </c>
      <c r="AB159" s="350" t="s">
        <v>461</v>
      </c>
      <c r="AC159" s="350" t="s">
        <v>461</v>
      </c>
      <c r="AD159" s="357" t="str">
        <f t="shared" si="10"/>
        <v/>
      </c>
      <c r="AE159" s="342" t="str">
        <f t="shared" si="11"/>
        <v/>
      </c>
    </row>
    <row r="160" spans="1:31" ht="13" x14ac:dyDescent="0.15">
      <c r="A160" s="29"/>
      <c r="C160" s="274"/>
      <c r="D160" s="275"/>
      <c r="M160" s="206" t="s">
        <v>461</v>
      </c>
      <c r="N160" s="262" t="s">
        <v>461</v>
      </c>
      <c r="O160" s="260" t="s">
        <v>461</v>
      </c>
      <c r="P160" s="262" t="s">
        <v>461</v>
      </c>
      <c r="Q160" s="223" t="s">
        <v>461</v>
      </c>
      <c r="R160" s="262" t="s">
        <v>461</v>
      </c>
      <c r="S160" s="262" t="s">
        <v>461</v>
      </c>
      <c r="T160" s="349" t="str">
        <f t="shared" si="8"/>
        <v/>
      </c>
      <c r="U160" s="218" t="str">
        <f t="shared" si="9"/>
        <v/>
      </c>
      <c r="W160" s="343" t="s">
        <v>461</v>
      </c>
      <c r="X160" s="350" t="s">
        <v>461</v>
      </c>
      <c r="Y160" s="350" t="s">
        <v>461</v>
      </c>
      <c r="Z160" s="350" t="s">
        <v>461</v>
      </c>
      <c r="AA160" s="350" t="s">
        <v>461</v>
      </c>
      <c r="AB160" s="350" t="s">
        <v>461</v>
      </c>
      <c r="AC160" s="350" t="s">
        <v>461</v>
      </c>
      <c r="AD160" s="357" t="str">
        <f t="shared" si="10"/>
        <v/>
      </c>
      <c r="AE160" s="342" t="str">
        <f t="shared" si="11"/>
        <v/>
      </c>
    </row>
    <row r="161" spans="1:31" ht="13" x14ac:dyDescent="0.15">
      <c r="A161" s="29"/>
      <c r="C161" s="274"/>
      <c r="D161" s="275"/>
      <c r="M161" s="206" t="s">
        <v>461</v>
      </c>
      <c r="N161" s="262" t="s">
        <v>461</v>
      </c>
      <c r="O161" s="260" t="s">
        <v>461</v>
      </c>
      <c r="P161" s="262" t="s">
        <v>461</v>
      </c>
      <c r="Q161" s="223" t="s">
        <v>461</v>
      </c>
      <c r="R161" s="262" t="s">
        <v>461</v>
      </c>
      <c r="S161" s="262" t="s">
        <v>461</v>
      </c>
      <c r="T161" s="349" t="str">
        <f t="shared" si="8"/>
        <v/>
      </c>
      <c r="U161" s="218" t="str">
        <f t="shared" si="9"/>
        <v/>
      </c>
      <c r="W161" s="343" t="s">
        <v>461</v>
      </c>
      <c r="X161" s="350" t="s">
        <v>461</v>
      </c>
      <c r="Y161" s="350" t="s">
        <v>461</v>
      </c>
      <c r="Z161" s="350" t="s">
        <v>461</v>
      </c>
      <c r="AA161" s="350" t="s">
        <v>461</v>
      </c>
      <c r="AB161" s="350" t="s">
        <v>461</v>
      </c>
      <c r="AC161" s="350" t="s">
        <v>461</v>
      </c>
      <c r="AD161" s="357" t="str">
        <f t="shared" si="10"/>
        <v/>
      </c>
      <c r="AE161" s="342" t="str">
        <f t="shared" si="11"/>
        <v/>
      </c>
    </row>
    <row r="162" spans="1:31" ht="13" x14ac:dyDescent="0.15">
      <c r="A162" s="29"/>
      <c r="C162" s="274"/>
      <c r="D162" s="275"/>
      <c r="M162" s="206" t="s">
        <v>461</v>
      </c>
      <c r="N162" s="262" t="s">
        <v>461</v>
      </c>
      <c r="O162" s="260" t="s">
        <v>461</v>
      </c>
      <c r="P162" s="262" t="s">
        <v>461</v>
      </c>
      <c r="Q162" s="223" t="s">
        <v>461</v>
      </c>
      <c r="R162" s="262" t="s">
        <v>461</v>
      </c>
      <c r="S162" s="262" t="s">
        <v>461</v>
      </c>
      <c r="T162" s="349" t="str">
        <f t="shared" si="8"/>
        <v/>
      </c>
      <c r="U162" s="218" t="str">
        <f t="shared" si="9"/>
        <v/>
      </c>
      <c r="W162" s="343" t="s">
        <v>461</v>
      </c>
      <c r="X162" s="350" t="s">
        <v>461</v>
      </c>
      <c r="Y162" s="350" t="s">
        <v>461</v>
      </c>
      <c r="Z162" s="350" t="s">
        <v>461</v>
      </c>
      <c r="AA162" s="350" t="s">
        <v>461</v>
      </c>
      <c r="AB162" s="350" t="s">
        <v>461</v>
      </c>
      <c r="AC162" s="350" t="s">
        <v>461</v>
      </c>
      <c r="AD162" s="357" t="str">
        <f t="shared" si="10"/>
        <v/>
      </c>
      <c r="AE162" s="342" t="str">
        <f t="shared" si="11"/>
        <v/>
      </c>
    </row>
    <row r="163" spans="1:31" ht="13" x14ac:dyDescent="0.15">
      <c r="A163" s="29"/>
      <c r="C163" s="274"/>
      <c r="D163" s="275"/>
      <c r="M163" s="206" t="s">
        <v>461</v>
      </c>
      <c r="N163" s="262" t="s">
        <v>461</v>
      </c>
      <c r="O163" s="260" t="s">
        <v>461</v>
      </c>
      <c r="P163" s="262" t="s">
        <v>461</v>
      </c>
      <c r="Q163" s="223" t="s">
        <v>461</v>
      </c>
      <c r="R163" s="262" t="s">
        <v>461</v>
      </c>
      <c r="S163" s="262" t="s">
        <v>461</v>
      </c>
      <c r="T163" s="349" t="str">
        <f t="shared" si="8"/>
        <v/>
      </c>
      <c r="U163" s="218" t="str">
        <f t="shared" si="9"/>
        <v/>
      </c>
      <c r="W163" s="343" t="s">
        <v>461</v>
      </c>
      <c r="X163" s="350" t="s">
        <v>461</v>
      </c>
      <c r="Y163" s="350" t="s">
        <v>461</v>
      </c>
      <c r="Z163" s="350" t="s">
        <v>461</v>
      </c>
      <c r="AA163" s="350" t="s">
        <v>461</v>
      </c>
      <c r="AB163" s="350" t="s">
        <v>461</v>
      </c>
      <c r="AC163" s="350" t="s">
        <v>461</v>
      </c>
      <c r="AD163" s="357" t="str">
        <f t="shared" si="10"/>
        <v/>
      </c>
      <c r="AE163" s="342" t="str">
        <f t="shared" si="11"/>
        <v/>
      </c>
    </row>
    <row r="164" spans="1:31" ht="13" x14ac:dyDescent="0.15">
      <c r="A164" s="29"/>
      <c r="C164" s="274"/>
      <c r="D164" s="275"/>
      <c r="M164" s="206" t="s">
        <v>461</v>
      </c>
      <c r="N164" s="262" t="s">
        <v>461</v>
      </c>
      <c r="O164" s="260" t="s">
        <v>461</v>
      </c>
      <c r="P164" s="262" t="s">
        <v>461</v>
      </c>
      <c r="Q164" s="223" t="s">
        <v>461</v>
      </c>
      <c r="R164" s="262" t="s">
        <v>461</v>
      </c>
      <c r="S164" s="262" t="s">
        <v>461</v>
      </c>
      <c r="T164" s="349" t="str">
        <f t="shared" si="8"/>
        <v/>
      </c>
      <c r="U164" s="218" t="str">
        <f t="shared" si="9"/>
        <v/>
      </c>
      <c r="W164" s="343" t="s">
        <v>461</v>
      </c>
      <c r="X164" s="350" t="s">
        <v>461</v>
      </c>
      <c r="Y164" s="350" t="s">
        <v>461</v>
      </c>
      <c r="Z164" s="350" t="s">
        <v>461</v>
      </c>
      <c r="AA164" s="350" t="s">
        <v>461</v>
      </c>
      <c r="AB164" s="350" t="s">
        <v>461</v>
      </c>
      <c r="AC164" s="350" t="s">
        <v>461</v>
      </c>
      <c r="AD164" s="357" t="str">
        <f t="shared" si="10"/>
        <v/>
      </c>
      <c r="AE164" s="342" t="str">
        <f t="shared" si="11"/>
        <v/>
      </c>
    </row>
    <row r="165" spans="1:31" ht="14" thickBot="1" x14ac:dyDescent="0.2">
      <c r="A165" s="30"/>
      <c r="B165" s="31"/>
      <c r="C165" s="274"/>
      <c r="D165" s="356"/>
      <c r="M165" s="206" t="s">
        <v>461</v>
      </c>
      <c r="N165" s="262" t="s">
        <v>461</v>
      </c>
      <c r="O165" s="260" t="s">
        <v>461</v>
      </c>
      <c r="P165" s="262" t="s">
        <v>461</v>
      </c>
      <c r="Q165" s="223" t="s">
        <v>461</v>
      </c>
      <c r="R165" s="262" t="s">
        <v>461</v>
      </c>
      <c r="S165" s="262" t="s">
        <v>461</v>
      </c>
      <c r="T165" s="349" t="str">
        <f t="shared" si="8"/>
        <v/>
      </c>
      <c r="U165" s="218" t="str">
        <f t="shared" si="9"/>
        <v/>
      </c>
      <c r="W165" s="343" t="s">
        <v>461</v>
      </c>
      <c r="X165" s="350" t="s">
        <v>461</v>
      </c>
      <c r="Y165" s="350" t="s">
        <v>461</v>
      </c>
      <c r="Z165" s="350" t="s">
        <v>461</v>
      </c>
      <c r="AA165" s="350" t="s">
        <v>461</v>
      </c>
      <c r="AB165" s="350" t="s">
        <v>461</v>
      </c>
      <c r="AC165" s="350" t="s">
        <v>461</v>
      </c>
      <c r="AD165" s="357" t="str">
        <f t="shared" si="10"/>
        <v/>
      </c>
      <c r="AE165" s="342" t="str">
        <f t="shared" si="11"/>
        <v/>
      </c>
    </row>
    <row r="166" spans="1:31" ht="14" thickBot="1" x14ac:dyDescent="0.2">
      <c r="C166" s="274"/>
      <c r="M166" s="209" t="s">
        <v>461</v>
      </c>
      <c r="N166" s="263" t="s">
        <v>461</v>
      </c>
      <c r="O166" s="261" t="s">
        <v>461</v>
      </c>
      <c r="P166" s="263" t="s">
        <v>461</v>
      </c>
      <c r="Q166" s="224" t="s">
        <v>461</v>
      </c>
      <c r="R166" s="263" t="s">
        <v>461</v>
      </c>
      <c r="S166" s="263" t="s">
        <v>461</v>
      </c>
      <c r="T166" s="349" t="str">
        <f t="shared" si="8"/>
        <v/>
      </c>
      <c r="U166" s="218" t="str">
        <f t="shared" si="9"/>
        <v/>
      </c>
      <c r="W166" s="348" t="s">
        <v>461</v>
      </c>
      <c r="X166" s="351" t="s">
        <v>461</v>
      </c>
      <c r="Y166" s="351" t="s">
        <v>461</v>
      </c>
      <c r="Z166" s="351" t="s">
        <v>461</v>
      </c>
      <c r="AA166" s="351" t="s">
        <v>461</v>
      </c>
      <c r="AB166" s="351" t="s">
        <v>461</v>
      </c>
      <c r="AC166" s="351" t="s">
        <v>461</v>
      </c>
      <c r="AD166" s="357" t="str">
        <f t="shared" si="10"/>
        <v/>
      </c>
      <c r="AE166" s="342" t="str">
        <f t="shared" si="11"/>
        <v/>
      </c>
    </row>
    <row r="167" spans="1:31" x14ac:dyDescent="0.15">
      <c r="M167" t="s">
        <v>461</v>
      </c>
      <c r="N167" t="s">
        <v>461</v>
      </c>
      <c r="O167" t="s">
        <v>461</v>
      </c>
      <c r="P167" t="s">
        <v>461</v>
      </c>
      <c r="Q167" t="s">
        <v>461</v>
      </c>
      <c r="R167" t="s">
        <v>461</v>
      </c>
      <c r="S167" t="s">
        <v>461</v>
      </c>
      <c r="W167" t="s">
        <v>461</v>
      </c>
      <c r="X167" t="s">
        <v>461</v>
      </c>
      <c r="Y167" t="s">
        <v>461</v>
      </c>
      <c r="Z167" t="s">
        <v>461</v>
      </c>
      <c r="AA167" t="s">
        <v>461</v>
      </c>
      <c r="AB167" t="s">
        <v>461</v>
      </c>
      <c r="AC167" t="s">
        <v>461</v>
      </c>
    </row>
    <row r="168" spans="1:31" x14ac:dyDescent="0.15">
      <c r="M168" t="s">
        <v>461</v>
      </c>
      <c r="N168" t="s">
        <v>461</v>
      </c>
      <c r="O168" t="s">
        <v>461</v>
      </c>
      <c r="P168" t="s">
        <v>461</v>
      </c>
      <c r="Q168" t="s">
        <v>461</v>
      </c>
      <c r="R168" t="s">
        <v>461</v>
      </c>
      <c r="S168" t="s">
        <v>461</v>
      </c>
      <c r="W168" t="s">
        <v>461</v>
      </c>
      <c r="X168" t="s">
        <v>461</v>
      </c>
      <c r="Y168" t="s">
        <v>461</v>
      </c>
      <c r="Z168" t="s">
        <v>461</v>
      </c>
      <c r="AA168" t="s">
        <v>461</v>
      </c>
      <c r="AB168" t="s">
        <v>461</v>
      </c>
      <c r="AC168" t="s">
        <v>461</v>
      </c>
    </row>
    <row r="169" spans="1:31" x14ac:dyDescent="0.15">
      <c r="M169" t="s">
        <v>461</v>
      </c>
      <c r="N169" t="s">
        <v>461</v>
      </c>
      <c r="O169" t="s">
        <v>461</v>
      </c>
      <c r="P169" t="s">
        <v>461</v>
      </c>
      <c r="Q169" t="s">
        <v>461</v>
      </c>
      <c r="R169" t="s">
        <v>461</v>
      </c>
      <c r="S169" t="s">
        <v>461</v>
      </c>
      <c r="W169" t="s">
        <v>461</v>
      </c>
      <c r="X169" t="s">
        <v>461</v>
      </c>
      <c r="Y169" t="s">
        <v>461</v>
      </c>
      <c r="Z169" t="s">
        <v>461</v>
      </c>
      <c r="AA169" t="s">
        <v>461</v>
      </c>
      <c r="AB169" t="s">
        <v>461</v>
      </c>
      <c r="AC169" t="s">
        <v>461</v>
      </c>
    </row>
    <row r="170" spans="1:31" x14ac:dyDescent="0.15">
      <c r="M170" t="s">
        <v>461</v>
      </c>
      <c r="N170" t="s">
        <v>461</v>
      </c>
      <c r="O170" t="s">
        <v>461</v>
      </c>
      <c r="P170" t="s">
        <v>461</v>
      </c>
      <c r="Q170" t="s">
        <v>461</v>
      </c>
      <c r="R170" t="s">
        <v>461</v>
      </c>
      <c r="S170" t="s">
        <v>461</v>
      </c>
      <c r="W170" t="s">
        <v>461</v>
      </c>
      <c r="X170" t="s">
        <v>461</v>
      </c>
      <c r="Y170" t="s">
        <v>461</v>
      </c>
      <c r="Z170" t="s">
        <v>461</v>
      </c>
      <c r="AA170" t="s">
        <v>461</v>
      </c>
      <c r="AB170" t="s">
        <v>461</v>
      </c>
      <c r="AC170" t="s">
        <v>461</v>
      </c>
    </row>
    <row r="171" spans="1:31" x14ac:dyDescent="0.15">
      <c r="M171" t="s">
        <v>461</v>
      </c>
      <c r="N171" t="s">
        <v>461</v>
      </c>
      <c r="O171" t="s">
        <v>461</v>
      </c>
      <c r="P171" t="s">
        <v>461</v>
      </c>
      <c r="Q171" t="s">
        <v>461</v>
      </c>
      <c r="R171" t="s">
        <v>461</v>
      </c>
      <c r="S171" t="s">
        <v>461</v>
      </c>
      <c r="W171" t="s">
        <v>461</v>
      </c>
      <c r="X171" t="s">
        <v>461</v>
      </c>
      <c r="Y171" t="s">
        <v>461</v>
      </c>
      <c r="Z171" t="s">
        <v>461</v>
      </c>
      <c r="AA171" t="s">
        <v>461</v>
      </c>
      <c r="AB171" t="s">
        <v>461</v>
      </c>
      <c r="AC171" t="s">
        <v>461</v>
      </c>
    </row>
    <row r="172" spans="1:31" x14ac:dyDescent="0.15">
      <c r="M172" t="s">
        <v>461</v>
      </c>
      <c r="N172" t="s">
        <v>461</v>
      </c>
      <c r="O172" t="s">
        <v>461</v>
      </c>
      <c r="P172" t="s">
        <v>461</v>
      </c>
      <c r="Q172" t="s">
        <v>461</v>
      </c>
      <c r="R172" t="s">
        <v>461</v>
      </c>
      <c r="S172" t="s">
        <v>461</v>
      </c>
      <c r="W172" t="s">
        <v>461</v>
      </c>
      <c r="X172" t="s">
        <v>461</v>
      </c>
      <c r="Y172" t="s">
        <v>461</v>
      </c>
      <c r="Z172" t="s">
        <v>461</v>
      </c>
      <c r="AA172" t="s">
        <v>461</v>
      </c>
      <c r="AB172" t="s">
        <v>461</v>
      </c>
      <c r="AC172" t="s">
        <v>461</v>
      </c>
    </row>
    <row r="173" spans="1:31" x14ac:dyDescent="0.15">
      <c r="M173" t="s">
        <v>461</v>
      </c>
      <c r="N173" t="s">
        <v>461</v>
      </c>
      <c r="O173" t="s">
        <v>461</v>
      </c>
      <c r="P173" t="s">
        <v>461</v>
      </c>
      <c r="Q173" t="s">
        <v>461</v>
      </c>
      <c r="R173" t="s">
        <v>461</v>
      </c>
      <c r="S173" t="s">
        <v>461</v>
      </c>
      <c r="W173" t="s">
        <v>461</v>
      </c>
      <c r="X173" t="s">
        <v>461</v>
      </c>
      <c r="Y173" t="s">
        <v>461</v>
      </c>
      <c r="Z173" t="s">
        <v>461</v>
      </c>
      <c r="AA173" t="s">
        <v>461</v>
      </c>
      <c r="AB173" t="s">
        <v>461</v>
      </c>
      <c r="AC173" t="s">
        <v>461</v>
      </c>
    </row>
    <row r="174" spans="1:31" x14ac:dyDescent="0.15">
      <c r="M174" t="s">
        <v>461</v>
      </c>
      <c r="N174" t="s">
        <v>461</v>
      </c>
      <c r="O174" t="s">
        <v>461</v>
      </c>
      <c r="P174" t="s">
        <v>461</v>
      </c>
      <c r="Q174" t="s">
        <v>461</v>
      </c>
      <c r="R174" t="s">
        <v>461</v>
      </c>
      <c r="S174" t="s">
        <v>461</v>
      </c>
      <c r="W174" t="s">
        <v>461</v>
      </c>
      <c r="X174" t="s">
        <v>461</v>
      </c>
      <c r="Y174" t="s">
        <v>461</v>
      </c>
      <c r="Z174" t="s">
        <v>461</v>
      </c>
      <c r="AA174" t="s">
        <v>461</v>
      </c>
      <c r="AB174" t="s">
        <v>461</v>
      </c>
      <c r="AC174" t="s">
        <v>461</v>
      </c>
    </row>
    <row r="175" spans="1:31" x14ac:dyDescent="0.15">
      <c r="M175" t="s">
        <v>461</v>
      </c>
      <c r="N175" t="s">
        <v>461</v>
      </c>
      <c r="O175" t="s">
        <v>461</v>
      </c>
      <c r="P175" t="s">
        <v>461</v>
      </c>
      <c r="Q175" t="s">
        <v>461</v>
      </c>
      <c r="R175" t="s">
        <v>461</v>
      </c>
      <c r="S175" t="s">
        <v>461</v>
      </c>
      <c r="W175" t="s">
        <v>461</v>
      </c>
      <c r="X175" t="s">
        <v>461</v>
      </c>
      <c r="Y175" t="s">
        <v>461</v>
      </c>
      <c r="Z175" t="s">
        <v>461</v>
      </c>
      <c r="AA175" t="s">
        <v>461</v>
      </c>
      <c r="AB175" t="s">
        <v>461</v>
      </c>
      <c r="AC175" t="s">
        <v>461</v>
      </c>
    </row>
    <row r="176" spans="1:31" x14ac:dyDescent="0.15">
      <c r="M176" t="s">
        <v>461</v>
      </c>
      <c r="N176" t="s">
        <v>461</v>
      </c>
      <c r="O176" t="s">
        <v>461</v>
      </c>
      <c r="P176" t="s">
        <v>461</v>
      </c>
      <c r="Q176" t="s">
        <v>461</v>
      </c>
      <c r="R176" t="s">
        <v>461</v>
      </c>
      <c r="S176" t="s">
        <v>461</v>
      </c>
      <c r="W176" t="s">
        <v>461</v>
      </c>
      <c r="X176" t="s">
        <v>461</v>
      </c>
      <c r="Y176" t="s">
        <v>461</v>
      </c>
      <c r="Z176" t="s">
        <v>461</v>
      </c>
      <c r="AA176" t="s">
        <v>461</v>
      </c>
      <c r="AB176" t="s">
        <v>461</v>
      </c>
      <c r="AC176" t="s">
        <v>461</v>
      </c>
    </row>
    <row r="177" spans="13:29" x14ac:dyDescent="0.15">
      <c r="M177" t="s">
        <v>461</v>
      </c>
      <c r="N177" t="s">
        <v>461</v>
      </c>
      <c r="O177" t="s">
        <v>461</v>
      </c>
      <c r="P177" t="s">
        <v>461</v>
      </c>
      <c r="Q177" t="s">
        <v>461</v>
      </c>
      <c r="R177" t="s">
        <v>461</v>
      </c>
      <c r="S177" t="s">
        <v>461</v>
      </c>
      <c r="W177" t="s">
        <v>461</v>
      </c>
      <c r="X177" t="s">
        <v>461</v>
      </c>
      <c r="Y177" t="s">
        <v>461</v>
      </c>
      <c r="Z177" t="s">
        <v>461</v>
      </c>
      <c r="AA177" t="s">
        <v>461</v>
      </c>
      <c r="AB177" t="s">
        <v>461</v>
      </c>
      <c r="AC177" t="s">
        <v>461</v>
      </c>
    </row>
    <row r="178" spans="13:29" x14ac:dyDescent="0.15">
      <c r="M178" t="s">
        <v>461</v>
      </c>
      <c r="N178" t="s">
        <v>461</v>
      </c>
      <c r="O178" t="s">
        <v>461</v>
      </c>
      <c r="P178" t="s">
        <v>461</v>
      </c>
      <c r="Q178" t="s">
        <v>461</v>
      </c>
      <c r="R178" t="s">
        <v>461</v>
      </c>
      <c r="S178" t="s">
        <v>461</v>
      </c>
      <c r="W178" t="s">
        <v>461</v>
      </c>
      <c r="X178" t="s">
        <v>461</v>
      </c>
      <c r="Y178" t="s">
        <v>461</v>
      </c>
      <c r="Z178" t="s">
        <v>461</v>
      </c>
      <c r="AA178" t="s">
        <v>461</v>
      </c>
      <c r="AB178" t="s">
        <v>461</v>
      </c>
      <c r="AC178" t="s">
        <v>461</v>
      </c>
    </row>
    <row r="179" spans="13:29" x14ac:dyDescent="0.15">
      <c r="M179" t="s">
        <v>461</v>
      </c>
      <c r="N179" t="s">
        <v>461</v>
      </c>
      <c r="O179" t="s">
        <v>461</v>
      </c>
      <c r="P179" t="s">
        <v>461</v>
      </c>
      <c r="Q179" t="s">
        <v>461</v>
      </c>
      <c r="R179" t="s">
        <v>461</v>
      </c>
      <c r="S179" t="s">
        <v>461</v>
      </c>
      <c r="W179" t="s">
        <v>461</v>
      </c>
      <c r="X179" t="s">
        <v>461</v>
      </c>
      <c r="Y179" t="s">
        <v>461</v>
      </c>
      <c r="Z179" t="s">
        <v>461</v>
      </c>
      <c r="AA179" t="s">
        <v>461</v>
      </c>
      <c r="AB179" t="s">
        <v>461</v>
      </c>
      <c r="AC179" t="s">
        <v>461</v>
      </c>
    </row>
    <row r="180" spans="13:29" x14ac:dyDescent="0.15">
      <c r="M180" t="s">
        <v>461</v>
      </c>
      <c r="N180" t="s">
        <v>461</v>
      </c>
      <c r="O180" t="s">
        <v>461</v>
      </c>
      <c r="P180" t="s">
        <v>461</v>
      </c>
      <c r="Q180" t="s">
        <v>461</v>
      </c>
      <c r="R180" t="s">
        <v>461</v>
      </c>
      <c r="S180" t="s">
        <v>461</v>
      </c>
      <c r="W180" t="s">
        <v>461</v>
      </c>
      <c r="X180" t="s">
        <v>461</v>
      </c>
      <c r="Y180" t="s">
        <v>461</v>
      </c>
      <c r="Z180" t="s">
        <v>461</v>
      </c>
      <c r="AA180" t="s">
        <v>461</v>
      </c>
      <c r="AB180" t="s">
        <v>461</v>
      </c>
      <c r="AC180" t="s">
        <v>461</v>
      </c>
    </row>
    <row r="181" spans="13:29" x14ac:dyDescent="0.15">
      <c r="M181" t="s">
        <v>461</v>
      </c>
      <c r="N181" t="s">
        <v>461</v>
      </c>
      <c r="O181" t="s">
        <v>461</v>
      </c>
      <c r="P181" t="s">
        <v>461</v>
      </c>
      <c r="Q181" t="s">
        <v>461</v>
      </c>
      <c r="R181" t="s">
        <v>461</v>
      </c>
      <c r="S181" t="s">
        <v>461</v>
      </c>
      <c r="W181" t="s">
        <v>461</v>
      </c>
      <c r="X181" t="s">
        <v>461</v>
      </c>
      <c r="Y181" t="s">
        <v>461</v>
      </c>
      <c r="Z181" t="s">
        <v>461</v>
      </c>
      <c r="AA181" t="s">
        <v>461</v>
      </c>
      <c r="AB181" t="s">
        <v>461</v>
      </c>
      <c r="AC181" t="s">
        <v>461</v>
      </c>
    </row>
    <row r="182" spans="13:29" x14ac:dyDescent="0.15">
      <c r="M182" t="s">
        <v>461</v>
      </c>
      <c r="N182" t="s">
        <v>461</v>
      </c>
      <c r="O182" t="s">
        <v>461</v>
      </c>
      <c r="P182" t="s">
        <v>461</v>
      </c>
      <c r="Q182" t="s">
        <v>461</v>
      </c>
      <c r="R182" t="s">
        <v>461</v>
      </c>
      <c r="S182" t="s">
        <v>461</v>
      </c>
      <c r="W182" t="s">
        <v>461</v>
      </c>
      <c r="X182" t="s">
        <v>461</v>
      </c>
      <c r="Y182" t="s">
        <v>461</v>
      </c>
      <c r="Z182" t="s">
        <v>461</v>
      </c>
      <c r="AA182" t="s">
        <v>461</v>
      </c>
      <c r="AB182" t="s">
        <v>461</v>
      </c>
      <c r="AC182" t="s">
        <v>461</v>
      </c>
    </row>
    <row r="183" spans="13:29" x14ac:dyDescent="0.15">
      <c r="M183" t="s">
        <v>461</v>
      </c>
      <c r="N183" t="s">
        <v>461</v>
      </c>
      <c r="O183" t="s">
        <v>461</v>
      </c>
      <c r="P183" t="s">
        <v>461</v>
      </c>
      <c r="Q183" t="s">
        <v>461</v>
      </c>
      <c r="R183" t="s">
        <v>461</v>
      </c>
      <c r="S183" t="s">
        <v>461</v>
      </c>
      <c r="W183" t="s">
        <v>461</v>
      </c>
      <c r="X183" t="s">
        <v>461</v>
      </c>
      <c r="Y183" t="s">
        <v>461</v>
      </c>
      <c r="Z183" t="s">
        <v>461</v>
      </c>
      <c r="AA183" t="s">
        <v>461</v>
      </c>
      <c r="AB183" t="s">
        <v>461</v>
      </c>
      <c r="AC183" t="s">
        <v>461</v>
      </c>
    </row>
    <row r="184" spans="13:29" x14ac:dyDescent="0.15">
      <c r="M184" t="s">
        <v>461</v>
      </c>
      <c r="N184" t="s">
        <v>461</v>
      </c>
      <c r="O184" t="s">
        <v>461</v>
      </c>
      <c r="P184" t="s">
        <v>461</v>
      </c>
      <c r="Q184" t="s">
        <v>461</v>
      </c>
      <c r="R184" t="s">
        <v>461</v>
      </c>
      <c r="S184" t="s">
        <v>461</v>
      </c>
      <c r="W184" t="s">
        <v>461</v>
      </c>
      <c r="X184" t="s">
        <v>461</v>
      </c>
      <c r="Y184" t="s">
        <v>461</v>
      </c>
      <c r="Z184" t="s">
        <v>461</v>
      </c>
      <c r="AA184" t="s">
        <v>461</v>
      </c>
      <c r="AB184" t="s">
        <v>461</v>
      </c>
      <c r="AC184" t="s">
        <v>461</v>
      </c>
    </row>
    <row r="185" spans="13:29" x14ac:dyDescent="0.15">
      <c r="M185" t="s">
        <v>461</v>
      </c>
      <c r="N185" t="s">
        <v>461</v>
      </c>
      <c r="O185" t="s">
        <v>461</v>
      </c>
      <c r="P185" t="s">
        <v>461</v>
      </c>
      <c r="Q185" t="s">
        <v>461</v>
      </c>
      <c r="R185" t="s">
        <v>461</v>
      </c>
      <c r="S185" t="s">
        <v>461</v>
      </c>
      <c r="W185" t="s">
        <v>461</v>
      </c>
      <c r="X185" t="s">
        <v>461</v>
      </c>
      <c r="Y185" t="s">
        <v>461</v>
      </c>
      <c r="Z185" t="s">
        <v>461</v>
      </c>
      <c r="AA185" t="s">
        <v>461</v>
      </c>
      <c r="AB185" t="s">
        <v>461</v>
      </c>
      <c r="AC185" t="s">
        <v>461</v>
      </c>
    </row>
    <row r="186" spans="13:29" x14ac:dyDescent="0.15">
      <c r="M186" t="s">
        <v>461</v>
      </c>
      <c r="N186" t="s">
        <v>461</v>
      </c>
      <c r="O186" t="s">
        <v>461</v>
      </c>
      <c r="P186" t="s">
        <v>461</v>
      </c>
      <c r="Q186" t="s">
        <v>461</v>
      </c>
      <c r="R186" t="s">
        <v>461</v>
      </c>
      <c r="S186" t="s">
        <v>461</v>
      </c>
      <c r="W186" t="s">
        <v>461</v>
      </c>
      <c r="X186" t="s">
        <v>461</v>
      </c>
      <c r="Y186" t="s">
        <v>461</v>
      </c>
      <c r="Z186" t="s">
        <v>461</v>
      </c>
      <c r="AA186" t="s">
        <v>461</v>
      </c>
      <c r="AB186" t="s">
        <v>461</v>
      </c>
      <c r="AC186" t="s">
        <v>461</v>
      </c>
    </row>
    <row r="187" spans="13:29" x14ac:dyDescent="0.15">
      <c r="M187" t="s">
        <v>461</v>
      </c>
      <c r="N187" t="s">
        <v>461</v>
      </c>
      <c r="O187" t="s">
        <v>461</v>
      </c>
      <c r="P187" t="s">
        <v>461</v>
      </c>
      <c r="Q187" t="s">
        <v>461</v>
      </c>
      <c r="R187" t="s">
        <v>461</v>
      </c>
      <c r="S187" t="s">
        <v>461</v>
      </c>
      <c r="W187" t="s">
        <v>461</v>
      </c>
      <c r="X187" t="s">
        <v>461</v>
      </c>
      <c r="Y187" t="s">
        <v>461</v>
      </c>
      <c r="Z187" t="s">
        <v>461</v>
      </c>
      <c r="AA187" t="s">
        <v>461</v>
      </c>
      <c r="AB187" t="s">
        <v>461</v>
      </c>
      <c r="AC187" t="s">
        <v>461</v>
      </c>
    </row>
    <row r="188" spans="13:29" x14ac:dyDescent="0.15">
      <c r="M188" t="s">
        <v>461</v>
      </c>
      <c r="N188" t="s">
        <v>461</v>
      </c>
      <c r="O188" t="s">
        <v>461</v>
      </c>
      <c r="P188" t="s">
        <v>461</v>
      </c>
      <c r="Q188" t="s">
        <v>461</v>
      </c>
      <c r="R188" t="s">
        <v>461</v>
      </c>
      <c r="S188" t="s">
        <v>461</v>
      </c>
      <c r="W188" t="s">
        <v>461</v>
      </c>
      <c r="X188" t="s">
        <v>461</v>
      </c>
      <c r="Y188" t="s">
        <v>461</v>
      </c>
      <c r="Z188" t="s">
        <v>461</v>
      </c>
      <c r="AA188" t="s">
        <v>461</v>
      </c>
      <c r="AB188" t="s">
        <v>461</v>
      </c>
      <c r="AC188" t="s">
        <v>461</v>
      </c>
    </row>
    <row r="189" spans="13:29" x14ac:dyDescent="0.15">
      <c r="M189" t="s">
        <v>461</v>
      </c>
      <c r="N189" t="s">
        <v>461</v>
      </c>
      <c r="O189" t="s">
        <v>461</v>
      </c>
      <c r="P189" t="s">
        <v>461</v>
      </c>
      <c r="Q189" t="s">
        <v>461</v>
      </c>
      <c r="R189" t="s">
        <v>461</v>
      </c>
      <c r="S189" t="s">
        <v>461</v>
      </c>
      <c r="W189" t="s">
        <v>461</v>
      </c>
      <c r="X189" t="s">
        <v>461</v>
      </c>
      <c r="Y189" t="s">
        <v>461</v>
      </c>
      <c r="Z189" t="s">
        <v>461</v>
      </c>
      <c r="AA189" t="s">
        <v>461</v>
      </c>
      <c r="AB189" t="s">
        <v>461</v>
      </c>
      <c r="AC189" t="s">
        <v>461</v>
      </c>
    </row>
    <row r="190" spans="13:29" x14ac:dyDescent="0.15">
      <c r="M190" t="s">
        <v>461</v>
      </c>
      <c r="N190" t="s">
        <v>461</v>
      </c>
      <c r="O190" t="s">
        <v>461</v>
      </c>
      <c r="P190" t="s">
        <v>461</v>
      </c>
      <c r="Q190" t="s">
        <v>461</v>
      </c>
      <c r="R190" t="s">
        <v>461</v>
      </c>
      <c r="S190" t="s">
        <v>461</v>
      </c>
      <c r="W190" t="s">
        <v>461</v>
      </c>
      <c r="X190" t="s">
        <v>461</v>
      </c>
      <c r="Y190" t="s">
        <v>461</v>
      </c>
      <c r="Z190" t="s">
        <v>461</v>
      </c>
      <c r="AA190" t="s">
        <v>461</v>
      </c>
      <c r="AB190" t="s">
        <v>461</v>
      </c>
      <c r="AC190" t="s">
        <v>461</v>
      </c>
    </row>
    <row r="191" spans="13:29" x14ac:dyDescent="0.15">
      <c r="M191" t="s">
        <v>461</v>
      </c>
      <c r="N191" t="s">
        <v>461</v>
      </c>
      <c r="O191" t="s">
        <v>461</v>
      </c>
      <c r="P191" t="s">
        <v>461</v>
      </c>
      <c r="Q191" t="s">
        <v>461</v>
      </c>
      <c r="R191" t="s">
        <v>461</v>
      </c>
      <c r="S191" t="s">
        <v>461</v>
      </c>
      <c r="W191" t="s">
        <v>461</v>
      </c>
      <c r="X191" t="s">
        <v>461</v>
      </c>
      <c r="Y191" t="s">
        <v>461</v>
      </c>
      <c r="Z191" t="s">
        <v>461</v>
      </c>
      <c r="AA191" t="s">
        <v>461</v>
      </c>
      <c r="AB191" t="s">
        <v>461</v>
      </c>
      <c r="AC191" t="s">
        <v>461</v>
      </c>
    </row>
    <row r="192" spans="13:29" x14ac:dyDescent="0.15">
      <c r="M192" t="s">
        <v>461</v>
      </c>
      <c r="N192" t="s">
        <v>461</v>
      </c>
      <c r="O192" t="s">
        <v>461</v>
      </c>
      <c r="P192" t="s">
        <v>461</v>
      </c>
      <c r="Q192" t="s">
        <v>461</v>
      </c>
      <c r="R192" t="s">
        <v>461</v>
      </c>
      <c r="S192" t="s">
        <v>461</v>
      </c>
      <c r="W192" t="s">
        <v>461</v>
      </c>
      <c r="X192" t="s">
        <v>461</v>
      </c>
      <c r="Y192" t="s">
        <v>461</v>
      </c>
      <c r="Z192" t="s">
        <v>461</v>
      </c>
      <c r="AA192" t="s">
        <v>461</v>
      </c>
      <c r="AB192" t="s">
        <v>461</v>
      </c>
      <c r="AC192" t="s">
        <v>461</v>
      </c>
    </row>
    <row r="193" spans="8:29" x14ac:dyDescent="0.15">
      <c r="M193" t="s">
        <v>461</v>
      </c>
      <c r="N193" t="s">
        <v>461</v>
      </c>
      <c r="O193" t="s">
        <v>461</v>
      </c>
      <c r="P193" t="s">
        <v>461</v>
      </c>
      <c r="Q193" t="s">
        <v>461</v>
      </c>
      <c r="R193" t="s">
        <v>461</v>
      </c>
      <c r="S193" t="s">
        <v>461</v>
      </c>
      <c r="W193" t="s">
        <v>461</v>
      </c>
      <c r="X193" t="s">
        <v>461</v>
      </c>
      <c r="Y193" t="s">
        <v>461</v>
      </c>
      <c r="Z193" t="s">
        <v>461</v>
      </c>
      <c r="AA193" t="s">
        <v>461</v>
      </c>
      <c r="AB193" t="s">
        <v>461</v>
      </c>
      <c r="AC193" t="s">
        <v>461</v>
      </c>
    </row>
    <row r="194" spans="8:29" x14ac:dyDescent="0.15">
      <c r="M194" t="s">
        <v>461</v>
      </c>
      <c r="N194" t="s">
        <v>461</v>
      </c>
      <c r="O194" t="s">
        <v>461</v>
      </c>
      <c r="P194" t="s">
        <v>461</v>
      </c>
      <c r="Q194" t="s">
        <v>461</v>
      </c>
      <c r="R194" t="s">
        <v>461</v>
      </c>
      <c r="S194" t="s">
        <v>461</v>
      </c>
      <c r="W194" t="s">
        <v>461</v>
      </c>
      <c r="X194" t="s">
        <v>461</v>
      </c>
      <c r="Y194" t="s">
        <v>461</v>
      </c>
      <c r="Z194" t="s">
        <v>461</v>
      </c>
      <c r="AA194" t="s">
        <v>461</v>
      </c>
      <c r="AB194" t="s">
        <v>461</v>
      </c>
      <c r="AC194" t="s">
        <v>461</v>
      </c>
    </row>
    <row r="195" spans="8:29" x14ac:dyDescent="0.15">
      <c r="M195" t="s">
        <v>461</v>
      </c>
      <c r="N195" t="s">
        <v>461</v>
      </c>
      <c r="O195" t="s">
        <v>461</v>
      </c>
      <c r="P195" t="s">
        <v>461</v>
      </c>
      <c r="Q195" t="s">
        <v>461</v>
      </c>
      <c r="R195" t="s">
        <v>461</v>
      </c>
      <c r="S195" t="s">
        <v>461</v>
      </c>
      <c r="W195" t="s">
        <v>461</v>
      </c>
      <c r="X195" t="s">
        <v>461</v>
      </c>
      <c r="Y195" t="s">
        <v>461</v>
      </c>
      <c r="Z195" t="s">
        <v>461</v>
      </c>
      <c r="AA195" t="s">
        <v>461</v>
      </c>
      <c r="AB195" t="s">
        <v>461</v>
      </c>
      <c r="AC195" t="s">
        <v>461</v>
      </c>
    </row>
    <row r="196" spans="8:29" x14ac:dyDescent="0.15">
      <c r="M196" t="s">
        <v>461</v>
      </c>
      <c r="N196" t="s">
        <v>461</v>
      </c>
      <c r="O196" t="s">
        <v>461</v>
      </c>
      <c r="P196" t="s">
        <v>461</v>
      </c>
      <c r="Q196" t="s">
        <v>461</v>
      </c>
      <c r="R196" t="s">
        <v>461</v>
      </c>
      <c r="S196" t="s">
        <v>461</v>
      </c>
      <c r="W196" t="s">
        <v>461</v>
      </c>
      <c r="X196" t="s">
        <v>461</v>
      </c>
      <c r="Y196" t="s">
        <v>461</v>
      </c>
      <c r="Z196" t="s">
        <v>461</v>
      </c>
      <c r="AA196" t="s">
        <v>461</v>
      </c>
      <c r="AB196" t="s">
        <v>461</v>
      </c>
      <c r="AC196" t="s">
        <v>461</v>
      </c>
    </row>
    <row r="197" spans="8:29" x14ac:dyDescent="0.15">
      <c r="M197" t="s">
        <v>461</v>
      </c>
      <c r="N197" t="s">
        <v>461</v>
      </c>
      <c r="O197" t="s">
        <v>461</v>
      </c>
      <c r="P197" t="s">
        <v>461</v>
      </c>
      <c r="Q197" t="s">
        <v>461</v>
      </c>
      <c r="R197" t="s">
        <v>461</v>
      </c>
      <c r="S197" t="s">
        <v>461</v>
      </c>
      <c r="W197" t="s">
        <v>461</v>
      </c>
      <c r="X197" t="s">
        <v>461</v>
      </c>
      <c r="Y197" t="s">
        <v>461</v>
      </c>
      <c r="Z197" t="s">
        <v>461</v>
      </c>
      <c r="AA197" t="s">
        <v>461</v>
      </c>
      <c r="AB197" t="s">
        <v>461</v>
      </c>
      <c r="AC197" t="s">
        <v>461</v>
      </c>
    </row>
    <row r="198" spans="8:29" x14ac:dyDescent="0.15">
      <c r="H198" s="2">
        <v>0.01</v>
      </c>
    </row>
    <row r="199" spans="8:29" x14ac:dyDescent="0.15">
      <c r="H199" s="2">
        <v>0.01</v>
      </c>
    </row>
    <row r="200" spans="8:29" x14ac:dyDescent="0.15">
      <c r="H200" s="2">
        <v>0.01</v>
      </c>
    </row>
    <row r="201" spans="8:29" x14ac:dyDescent="0.15">
      <c r="H201" s="2">
        <v>0.01</v>
      </c>
    </row>
    <row r="202" spans="8:29" x14ac:dyDescent="0.15">
      <c r="H202" s="2">
        <v>0.01</v>
      </c>
    </row>
    <row r="203" spans="8:29" x14ac:dyDescent="0.15">
      <c r="H203" s="2">
        <v>0.01</v>
      </c>
    </row>
    <row r="204" spans="8:29" x14ac:dyDescent="0.15">
      <c r="H204" s="2">
        <v>0.01</v>
      </c>
    </row>
    <row r="205" spans="8:29" x14ac:dyDescent="0.15">
      <c r="H205" s="2">
        <v>0.01</v>
      </c>
    </row>
    <row r="206" spans="8:29" x14ac:dyDescent="0.15">
      <c r="H206" s="2">
        <v>0.01</v>
      </c>
    </row>
    <row r="207" spans="8:29" x14ac:dyDescent="0.15">
      <c r="H207" s="2">
        <v>0.01</v>
      </c>
    </row>
    <row r="208" spans="8:29" x14ac:dyDescent="0.15">
      <c r="H208" s="2">
        <v>0.01</v>
      </c>
    </row>
    <row r="209" spans="8:8" x14ac:dyDescent="0.15">
      <c r="H209" s="2">
        <v>0.01</v>
      </c>
    </row>
    <row r="210" spans="8:8" x14ac:dyDescent="0.15">
      <c r="H210" s="2">
        <v>0.01</v>
      </c>
    </row>
    <row r="211" spans="8:8" x14ac:dyDescent="0.15">
      <c r="H211" s="2">
        <v>0.01</v>
      </c>
    </row>
    <row r="212" spans="8:8" x14ac:dyDescent="0.15">
      <c r="H212" s="2">
        <v>0.01</v>
      </c>
    </row>
    <row r="213" spans="8:8" x14ac:dyDescent="0.15">
      <c r="H213" s="2">
        <v>0.01</v>
      </c>
    </row>
    <row r="214" spans="8:8" x14ac:dyDescent="0.15">
      <c r="H214" s="2">
        <v>0.01</v>
      </c>
    </row>
    <row r="215" spans="8:8" x14ac:dyDescent="0.15">
      <c r="H215" s="2">
        <v>0.01</v>
      </c>
    </row>
    <row r="216" spans="8:8" x14ac:dyDescent="0.15">
      <c r="H216" s="2">
        <v>0.01</v>
      </c>
    </row>
    <row r="217" spans="8:8" x14ac:dyDescent="0.15">
      <c r="H217" s="2">
        <v>0.01</v>
      </c>
    </row>
    <row r="218" spans="8:8" x14ac:dyDescent="0.15">
      <c r="H218" s="2">
        <v>0.01</v>
      </c>
    </row>
    <row r="219" spans="8:8" x14ac:dyDescent="0.15">
      <c r="H219" s="2">
        <v>0.01</v>
      </c>
    </row>
    <row r="220" spans="8:8" x14ac:dyDescent="0.15">
      <c r="H220" s="2">
        <v>0.01</v>
      </c>
    </row>
    <row r="221" spans="8:8" x14ac:dyDescent="0.15">
      <c r="H221" s="2">
        <v>0.01</v>
      </c>
    </row>
    <row r="222" spans="8:8" x14ac:dyDescent="0.15">
      <c r="H222" s="2">
        <v>0.01</v>
      </c>
    </row>
    <row r="223" spans="8:8" x14ac:dyDescent="0.15">
      <c r="H223" s="2">
        <v>0.01</v>
      </c>
    </row>
    <row r="224" spans="8:8" x14ac:dyDescent="0.15">
      <c r="H224" s="2">
        <v>0.01</v>
      </c>
    </row>
    <row r="225" spans="8:8" x14ac:dyDescent="0.15">
      <c r="H225" s="2">
        <v>0.01</v>
      </c>
    </row>
    <row r="226" spans="8:8" x14ac:dyDescent="0.15">
      <c r="H226" s="2">
        <v>0.01</v>
      </c>
    </row>
    <row r="227" spans="8:8" x14ac:dyDescent="0.15">
      <c r="H227" s="2">
        <v>0.01</v>
      </c>
    </row>
    <row r="228" spans="8:8" x14ac:dyDescent="0.15">
      <c r="H228" s="2">
        <v>0.01</v>
      </c>
    </row>
    <row r="229" spans="8:8" x14ac:dyDescent="0.15">
      <c r="H229" s="2">
        <v>0.01</v>
      </c>
    </row>
    <row r="230" spans="8:8" x14ac:dyDescent="0.15">
      <c r="H230" s="2">
        <v>0.01</v>
      </c>
    </row>
    <row r="231" spans="8:8" x14ac:dyDescent="0.15">
      <c r="H231" s="2">
        <v>0.01</v>
      </c>
    </row>
    <row r="232" spans="8:8" x14ac:dyDescent="0.15">
      <c r="H232" s="2">
        <v>0.01</v>
      </c>
    </row>
    <row r="233" spans="8:8" x14ac:dyDescent="0.15">
      <c r="H233" s="2">
        <v>0.01</v>
      </c>
    </row>
    <row r="234" spans="8:8" x14ac:dyDescent="0.15">
      <c r="H234" s="2">
        <v>0.01</v>
      </c>
    </row>
    <row r="235" spans="8:8" x14ac:dyDescent="0.15">
      <c r="H235" s="2">
        <v>0.01</v>
      </c>
    </row>
    <row r="236" spans="8:8" x14ac:dyDescent="0.15">
      <c r="H236" s="2">
        <v>0.01</v>
      </c>
    </row>
    <row r="237" spans="8:8" x14ac:dyDescent="0.15">
      <c r="H237" s="2">
        <v>0.01</v>
      </c>
    </row>
    <row r="238" spans="8:8" x14ac:dyDescent="0.15">
      <c r="H238" s="2">
        <v>0.01</v>
      </c>
    </row>
    <row r="239" spans="8:8" x14ac:dyDescent="0.15">
      <c r="H239" s="2">
        <v>0.01</v>
      </c>
    </row>
    <row r="240" spans="8:8" x14ac:dyDescent="0.15">
      <c r="H240" s="2">
        <v>0.01</v>
      </c>
    </row>
    <row r="241" spans="8:8" x14ac:dyDescent="0.15">
      <c r="H241" s="2">
        <v>0.01</v>
      </c>
    </row>
    <row r="242" spans="8:8" x14ac:dyDescent="0.15">
      <c r="H242" s="2">
        <v>0.01</v>
      </c>
    </row>
    <row r="243" spans="8:8" x14ac:dyDescent="0.15">
      <c r="H243" s="2">
        <v>0.01</v>
      </c>
    </row>
    <row r="244" spans="8:8" x14ac:dyDescent="0.15">
      <c r="H244" s="2">
        <v>0.01</v>
      </c>
    </row>
    <row r="245" spans="8:8" x14ac:dyDescent="0.15">
      <c r="H245" s="2">
        <v>0.01</v>
      </c>
    </row>
    <row r="246" spans="8:8" x14ac:dyDescent="0.15">
      <c r="H246" s="2">
        <v>0.01</v>
      </c>
    </row>
    <row r="247" spans="8:8" x14ac:dyDescent="0.15">
      <c r="H247" s="2">
        <v>0.01</v>
      </c>
    </row>
    <row r="248" spans="8:8" x14ac:dyDescent="0.15">
      <c r="H248" s="2">
        <v>0.01</v>
      </c>
    </row>
    <row r="249" spans="8:8" x14ac:dyDescent="0.15">
      <c r="H249" s="2">
        <v>0.01</v>
      </c>
    </row>
    <row r="250" spans="8:8" x14ac:dyDescent="0.15">
      <c r="H250" s="2">
        <v>0.01</v>
      </c>
    </row>
    <row r="251" spans="8:8" x14ac:dyDescent="0.15">
      <c r="H251" s="2">
        <v>0.01</v>
      </c>
    </row>
    <row r="252" spans="8:8" x14ac:dyDescent="0.15">
      <c r="H252" s="2">
        <v>0.01</v>
      </c>
    </row>
    <row r="253" spans="8:8" x14ac:dyDescent="0.15">
      <c r="H253" s="2">
        <v>0.01</v>
      </c>
    </row>
    <row r="254" spans="8:8" x14ac:dyDescent="0.15">
      <c r="H254" s="2">
        <v>0.01</v>
      </c>
    </row>
    <row r="255" spans="8:8" x14ac:dyDescent="0.15">
      <c r="H255" s="2">
        <v>0.01</v>
      </c>
    </row>
    <row r="256" spans="8:8" x14ac:dyDescent="0.15">
      <c r="H256" s="2">
        <v>0.01</v>
      </c>
    </row>
  </sheetData>
  <mergeCells count="2">
    <mergeCell ref="M45:U45"/>
    <mergeCell ref="G79:H79"/>
  </mergeCells>
  <phoneticPr fontId="16" type="noConversion"/>
  <conditionalFormatting sqref="A81:D81 M49:U166 A82:B165 D82:D165 W158:AE166">
    <cfRule type="containsBlanks" dxfId="3" priority="27" stopIfTrue="1">
      <formula>LEN(TRIM(A49))=0</formula>
    </cfRule>
  </conditionalFormatting>
  <conditionalFormatting sqref="C81:C166">
    <cfRule type="expression" dxfId="2" priority="2" stopIfTrue="1">
      <formula>A81&lt;&gt;""</formula>
    </cfRule>
  </conditionalFormatting>
  <conditionalFormatting sqref="C82:C166">
    <cfRule type="containsBlanks" dxfId="1" priority="3" stopIfTrue="1">
      <formula>LEN(TRIM(C82))=0</formula>
    </cfRule>
  </conditionalFormatting>
  <conditionalFormatting sqref="T48:T106">
    <cfRule type="cellIs" dxfId="0" priority="1" stopIfTrue="1" operator="greaterThan">
      <formula>0.0049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20</vt:i4>
      </vt:variant>
    </vt:vector>
  </HeadingPairs>
  <TitlesOfParts>
    <vt:vector size="28" baseType="lpstr">
      <vt:lpstr>Ratio Data</vt:lpstr>
      <vt:lpstr>Vendor Data</vt:lpstr>
      <vt:lpstr>Standards Data</vt:lpstr>
      <vt:lpstr>Past LS</vt:lpstr>
      <vt:lpstr>Ratio Analysis</vt:lpstr>
      <vt:lpstr>Std Analysis</vt:lpstr>
      <vt:lpstr>Certified Value</vt:lpstr>
      <vt:lpstr>RCertification</vt:lpstr>
      <vt:lpstr>CertifiedValue</vt:lpstr>
      <vt:lpstr>DegFree</vt:lpstr>
      <vt:lpstr>fef</vt:lpstr>
      <vt:lpstr>Intercept</vt:lpstr>
      <vt:lpstr>MeanRatio</vt:lpstr>
      <vt:lpstr>'Certified Value'!Print_Area</vt:lpstr>
      <vt:lpstr>'Past LS'!Print_Area</vt:lpstr>
      <vt:lpstr>'Ratio Analysis'!Print_Area</vt:lpstr>
      <vt:lpstr>'Ratio Data'!Print_Area</vt:lpstr>
      <vt:lpstr>'Vendor Data'!Print_Area</vt:lpstr>
      <vt:lpstr>RatioData</vt:lpstr>
      <vt:lpstr>Regdf</vt:lpstr>
      <vt:lpstr>SConc</vt:lpstr>
      <vt:lpstr>ScottData</vt:lpstr>
      <vt:lpstr>Slope</vt:lpstr>
      <vt:lpstr>SRatio</vt:lpstr>
      <vt:lpstr>StdUnc</vt:lpstr>
      <vt:lpstr>uintercept</vt:lpstr>
      <vt:lpstr>umb</vt:lpstr>
      <vt:lpstr>uslope</vt:lpstr>
    </vt:vector>
  </TitlesOfParts>
  <Company>NIST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Guenther</dc:creator>
  <cp:lastModifiedBy>Krekelberg, William P. (Fed)</cp:lastModifiedBy>
  <cp:lastPrinted>2003-09-25T15:28:51Z</cp:lastPrinted>
  <dcterms:created xsi:type="dcterms:W3CDTF">1997-07-09T17:41:46Z</dcterms:created>
  <dcterms:modified xsi:type="dcterms:W3CDTF">2026-08-27T15:56:52Z</dcterms:modified>
</cp:coreProperties>
</file>